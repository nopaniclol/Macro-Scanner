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4959_zone1_scb_net/Documents/Documents/"/>
    </mc:Choice>
  </mc:AlternateContent>
  <xr:revisionPtr revIDLastSave="0" documentId="8_{7B2A5032-A133-784B-A1B7-8CC07017C0D0}" xr6:coauthVersionLast="47" xr6:coauthVersionMax="47" xr10:uidLastSave="{00000000-0000-0000-0000-000000000000}"/>
  <bookViews>
    <workbookView xWindow="59070" yWindow="-17025" windowWidth="25230" windowHeight="15735" xr2:uid="{D1927324-61B6-4829-B546-4A1A0BDF653E}"/>
  </bookViews>
  <sheets>
    <sheet name="Info" sheetId="1" r:id="rId1"/>
    <sheet name="Tables" sheetId="2" r:id="rId2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13" i="1" l="1" a="1"/>
  <c r="AG413" i="1"/>
  <c r="AG407" i="1" a="1"/>
  <c r="AG407" i="1"/>
  <c r="AG412" i="1" a="1"/>
  <c r="AG412" i="1"/>
  <c r="AG405" i="1" a="1"/>
  <c r="AG405" i="1"/>
  <c r="AG408" i="1" a="1"/>
  <c r="AG408" i="1"/>
  <c r="AG419" i="1" a="1"/>
  <c r="AG419" i="1"/>
  <c r="AG417" i="1" a="1"/>
  <c r="AG417" i="1"/>
  <c r="AG411" i="1" a="1"/>
  <c r="AG411" i="1"/>
  <c r="AG414" i="1" a="1"/>
  <c r="AG414" i="1"/>
  <c r="AG418" i="1" a="1"/>
  <c r="AG418" i="1"/>
  <c r="AG415" i="1" a="1"/>
  <c r="AG415" i="1"/>
  <c r="AG409" i="1" a="1"/>
  <c r="AG409" i="1"/>
  <c r="AG402" i="1" a="1"/>
  <c r="AG402" i="1"/>
  <c r="AG406" i="1" a="1"/>
  <c r="AG406" i="1"/>
  <c r="AG416" i="1" a="1"/>
  <c r="AG416" i="1"/>
  <c r="AG410" i="1" a="1"/>
  <c r="AG410" i="1"/>
  <c r="AG403" i="1" a="1"/>
  <c r="AG403" i="1"/>
  <c r="AG401" i="1" a="1"/>
  <c r="AG401" i="1"/>
  <c r="Q401" i="1" a="1"/>
  <c r="Q417" i="1" a="1"/>
  <c r="Q433" i="1" a="1"/>
  <c r="Q443" i="1" a="1"/>
  <c r="Q415" i="1" a="1"/>
  <c r="Q418" i="1" a="1"/>
  <c r="Q436" i="1" a="1"/>
  <c r="Q440" i="1" a="1"/>
  <c r="Q411" i="1" a="1"/>
  <c r="Q402" i="1" a="1"/>
  <c r="Q434" i="1" a="1"/>
  <c r="Q439" i="1" a="1"/>
  <c r="Q419" i="1" a="1"/>
  <c r="Q437" i="1" a="1"/>
  <c r="Q424" i="1" a="1"/>
  <c r="Q403" i="1" a="1"/>
  <c r="Q435" i="1" a="1"/>
  <c r="Q413" i="1" a="1"/>
  <c r="Q416" i="1" a="1"/>
  <c r="Q420" i="1" a="1"/>
  <c r="Q438" i="1" a="1"/>
  <c r="Q409" i="1" a="1"/>
  <c r="Q425" i="1" a="1"/>
  <c r="Q427" i="1" a="1"/>
  <c r="Q404" i="1" a="1"/>
  <c r="Q408" i="1" a="1"/>
  <c r="Q426" i="1" a="1"/>
  <c r="Q412" i="1" a="1"/>
  <c r="Q421" i="1" a="1"/>
  <c r="Q423" i="1" a="1"/>
  <c r="Q442" i="1" a="1"/>
  <c r="Q429" i="1" a="1"/>
  <c r="Q405" i="1" a="1"/>
  <c r="Q428" i="1" a="1"/>
  <c r="Q422" i="1" a="1"/>
  <c r="Q431" i="1" a="1"/>
  <c r="Q406" i="1" a="1"/>
  <c r="Q432" i="1" a="1"/>
  <c r="Q407" i="1" a="1"/>
  <c r="Q410" i="1" a="1"/>
  <c r="Q414" i="1" a="1"/>
  <c r="Q441" i="1" a="1"/>
  <c r="Q430" i="1" a="1"/>
  <c r="Q400" i="1" a="1"/>
  <c r="Q399" i="1" a="1"/>
  <c r="Q430" i="1"/>
  <c r="Q441" i="1"/>
  <c r="Q414" i="1"/>
  <c r="Q410" i="1"/>
  <c r="Q407" i="1"/>
  <c r="Q432" i="1"/>
  <c r="Q406" i="1"/>
  <c r="Q431" i="1"/>
  <c r="Q422" i="1"/>
  <c r="Q428" i="1"/>
  <c r="Q405" i="1"/>
  <c r="Q429" i="1"/>
  <c r="Q442" i="1"/>
  <c r="Q423" i="1"/>
  <c r="Q421" i="1"/>
  <c r="Q412" i="1"/>
  <c r="Q426" i="1"/>
  <c r="Q408" i="1"/>
  <c r="Q404" i="1"/>
  <c r="Q427" i="1"/>
  <c r="Q425" i="1"/>
  <c r="Q409" i="1"/>
  <c r="Q438" i="1"/>
  <c r="Q420" i="1"/>
  <c r="Q416" i="1"/>
  <c r="Q413" i="1"/>
  <c r="Q435" i="1"/>
  <c r="Q403" i="1"/>
  <c r="Q424" i="1"/>
  <c r="Q437" i="1"/>
  <c r="Q419" i="1"/>
  <c r="Q439" i="1"/>
  <c r="Q434" i="1"/>
  <c r="Q402" i="1"/>
  <c r="Q411" i="1"/>
  <c r="Q440" i="1"/>
  <c r="Q436" i="1"/>
  <c r="Q418" i="1"/>
  <c r="Q415" i="1"/>
  <c r="Q443" i="1"/>
  <c r="Q433" i="1"/>
  <c r="Q417" i="1"/>
  <c r="Q401" i="1"/>
  <c r="Q400" i="1"/>
  <c r="Q399" i="1"/>
  <c r="D164" i="1" a="1"/>
  <c r="D164" i="1"/>
  <c r="D163" i="1" a="1"/>
  <c r="D163" i="1"/>
  <c r="D162" i="1" a="1"/>
  <c r="D162" i="1"/>
  <c r="D161" i="1" a="1"/>
  <c r="D161" i="1"/>
  <c r="D160" i="1" a="1"/>
  <c r="D160" i="1"/>
  <c r="D159" i="1" a="1"/>
  <c r="D159" i="1"/>
  <c r="D158" i="1" a="1"/>
  <c r="D158" i="1"/>
  <c r="D157" i="1" a="1"/>
  <c r="D157" i="1"/>
  <c r="D156" i="1" a="1"/>
  <c r="D156" i="1"/>
  <c r="D155" i="1" a="1"/>
  <c r="D155" i="1"/>
  <c r="D154" i="1" a="1"/>
  <c r="D154" i="1"/>
  <c r="D153" i="1" a="1"/>
  <c r="D153" i="1"/>
  <c r="D152" i="1" a="1"/>
  <c r="D152" i="1"/>
  <c r="D151" i="1" a="1"/>
  <c r="D151" i="1"/>
  <c r="D150" i="1" a="1"/>
  <c r="D150" i="1"/>
  <c r="D149" i="1" a="1"/>
  <c r="D149" i="1"/>
  <c r="D148" i="1" a="1"/>
  <c r="D148" i="1"/>
  <c r="D147" i="1" a="1"/>
  <c r="D147" i="1"/>
  <c r="D146" i="1" a="1"/>
  <c r="D146" i="1"/>
  <c r="D145" i="1" a="1"/>
  <c r="D145" i="1"/>
  <c r="D144" i="1" a="1"/>
  <c r="D144" i="1"/>
  <c r="D143" i="1" a="1"/>
  <c r="D143" i="1"/>
  <c r="D142" i="1" a="1"/>
  <c r="D142" i="1"/>
  <c r="D141" i="1" a="1"/>
  <c r="D141" i="1"/>
  <c r="D140" i="1" a="1"/>
  <c r="D140" i="1"/>
  <c r="D139" i="1" a="1"/>
  <c r="D139" i="1"/>
  <c r="D138" i="1" a="1"/>
  <c r="D138" i="1"/>
  <c r="D137" i="1" a="1"/>
  <c r="D137" i="1"/>
  <c r="D136" i="1" a="1"/>
  <c r="D136" i="1"/>
  <c r="D135" i="1" a="1"/>
  <c r="D135" i="1"/>
  <c r="D134" i="1" a="1"/>
  <c r="D134" i="1"/>
  <c r="D133" i="1" a="1"/>
  <c r="D133" i="1"/>
  <c r="D132" i="1" a="1"/>
  <c r="D132" i="1"/>
  <c r="D131" i="1" a="1"/>
  <c r="D131" i="1"/>
  <c r="D130" i="1" a="1"/>
  <c r="D130" i="1"/>
  <c r="D129" i="1" a="1"/>
  <c r="D129" i="1"/>
  <c r="D128" i="1" a="1"/>
  <c r="D128" i="1"/>
  <c r="D127" i="1" a="1"/>
  <c r="D127" i="1"/>
  <c r="D126" i="1" a="1"/>
  <c r="D126" i="1"/>
  <c r="D125" i="1" a="1"/>
  <c r="D125" i="1"/>
  <c r="D124" i="1" a="1"/>
  <c r="D124" i="1"/>
  <c r="D123" i="1" a="1"/>
  <c r="D123" i="1"/>
  <c r="D660" i="1" a="1"/>
  <c r="D660" i="1"/>
  <c r="D659" i="1" a="1"/>
  <c r="D659" i="1"/>
  <c r="D658" i="1" a="1"/>
  <c r="D658" i="1"/>
  <c r="D657" i="1" a="1"/>
  <c r="D657" i="1"/>
  <c r="D656" i="1" a="1"/>
  <c r="D656" i="1"/>
  <c r="D655" i="1" a="1"/>
  <c r="D655" i="1"/>
  <c r="D654" i="1" a="1"/>
  <c r="D654" i="1"/>
  <c r="D653" i="1" a="1"/>
  <c r="D653" i="1"/>
  <c r="D652" i="1" a="1"/>
  <c r="D652" i="1"/>
  <c r="D651" i="1" a="1"/>
  <c r="D651" i="1"/>
  <c r="D650" i="1" a="1"/>
  <c r="D650" i="1"/>
  <c r="D649" i="1" a="1"/>
  <c r="D649" i="1"/>
  <c r="D648" i="1" a="1"/>
  <c r="D648" i="1"/>
  <c r="D647" i="1" a="1"/>
  <c r="D647" i="1"/>
  <c r="D646" i="1" a="1"/>
  <c r="D646" i="1"/>
  <c r="D645" i="1" a="1"/>
  <c r="D645" i="1"/>
  <c r="D644" i="1" a="1"/>
  <c r="D644" i="1"/>
  <c r="D643" i="1" a="1"/>
  <c r="D643" i="1"/>
  <c r="D642" i="1" a="1"/>
  <c r="D642" i="1"/>
  <c r="D641" i="1" a="1"/>
  <c r="D641" i="1"/>
  <c r="D640" i="1" a="1"/>
  <c r="D640" i="1"/>
  <c r="D639" i="1" a="1"/>
  <c r="D639" i="1"/>
  <c r="D638" i="1" a="1"/>
  <c r="D638" i="1"/>
  <c r="D637" i="1" a="1"/>
  <c r="D637" i="1"/>
  <c r="D636" i="1" a="1"/>
  <c r="D636" i="1"/>
  <c r="D635" i="1" a="1"/>
  <c r="D635" i="1"/>
  <c r="D634" i="1" a="1"/>
  <c r="D634" i="1"/>
  <c r="D633" i="1" a="1"/>
  <c r="D633" i="1"/>
  <c r="D632" i="1" a="1"/>
  <c r="D632" i="1"/>
  <c r="D631" i="1" a="1"/>
  <c r="D631" i="1"/>
  <c r="D630" i="1" a="1"/>
  <c r="D630" i="1"/>
  <c r="D629" i="1" a="1"/>
  <c r="D629" i="1"/>
  <c r="D628" i="1" a="1"/>
  <c r="D628" i="1"/>
  <c r="D627" i="1" a="1"/>
  <c r="D627" i="1"/>
  <c r="D626" i="1" a="1"/>
  <c r="D626" i="1"/>
  <c r="D625" i="1" a="1"/>
  <c r="D625" i="1"/>
  <c r="D624" i="1" a="1"/>
  <c r="D624" i="1"/>
  <c r="D623" i="1" a="1"/>
  <c r="D623" i="1"/>
  <c r="D622" i="1" a="1"/>
  <c r="D622" i="1"/>
  <c r="D621" i="1" a="1"/>
  <c r="D621" i="1"/>
  <c r="D335" i="1" a="1"/>
  <c r="D335" i="1"/>
  <c r="D334" i="1" a="1"/>
  <c r="D334" i="1"/>
  <c r="D333" i="1" a="1"/>
  <c r="D333" i="1"/>
  <c r="D332" i="1" a="1"/>
  <c r="D332" i="1"/>
  <c r="D331" i="1" a="1"/>
  <c r="D331" i="1"/>
  <c r="D330" i="1" a="1"/>
  <c r="D330" i="1"/>
  <c r="D329" i="1" a="1"/>
  <c r="D329" i="1"/>
  <c r="D328" i="1" a="1"/>
  <c r="D328" i="1"/>
  <c r="D327" i="1" a="1"/>
  <c r="D327" i="1"/>
  <c r="D326" i="1" a="1"/>
  <c r="D326" i="1"/>
  <c r="D325" i="1" a="1"/>
  <c r="D325" i="1"/>
  <c r="D324" i="1" a="1"/>
  <c r="D324" i="1"/>
  <c r="D323" i="1" a="1"/>
  <c r="D323" i="1"/>
  <c r="D322" i="1" a="1"/>
  <c r="D322" i="1"/>
  <c r="D321" i="1" a="1"/>
  <c r="D321" i="1"/>
  <c r="D320" i="1" a="1"/>
  <c r="D320" i="1"/>
  <c r="D319" i="1" a="1"/>
  <c r="D319" i="1"/>
  <c r="D318" i="1" a="1"/>
  <c r="D318" i="1"/>
  <c r="D317" i="1" a="1"/>
  <c r="D317" i="1"/>
  <c r="D316" i="1" a="1"/>
  <c r="D316" i="1"/>
  <c r="D315" i="1" a="1"/>
  <c r="D315" i="1"/>
  <c r="D314" i="1" a="1"/>
  <c r="D314" i="1"/>
  <c r="D313" i="1" a="1"/>
  <c r="D313" i="1"/>
  <c r="D312" i="1" a="1"/>
  <c r="D312" i="1"/>
  <c r="D311" i="1" a="1"/>
  <c r="D311" i="1"/>
  <c r="D310" i="1" a="1"/>
  <c r="D310" i="1"/>
  <c r="D309" i="1" a="1"/>
  <c r="D309" i="1"/>
  <c r="D308" i="1" a="1"/>
  <c r="D308" i="1"/>
  <c r="D307" i="1" a="1"/>
  <c r="D307" i="1"/>
  <c r="D306" i="1" a="1"/>
  <c r="D306" i="1"/>
  <c r="D305" i="1" a="1"/>
  <c r="D305" i="1"/>
  <c r="D304" i="1" a="1"/>
  <c r="D304" i="1"/>
  <c r="D303" i="1" a="1"/>
  <c r="D303" i="1"/>
  <c r="D302" i="1" a="1"/>
  <c r="D302" i="1"/>
  <c r="D301" i="1" a="1"/>
  <c r="D301" i="1"/>
  <c r="D300" i="1" a="1"/>
  <c r="D300" i="1"/>
  <c r="D299" i="1" a="1"/>
  <c r="D299" i="1"/>
  <c r="D298" i="1" a="1"/>
  <c r="D298" i="1"/>
  <c r="D297" i="1" a="1"/>
  <c r="D297" i="1"/>
  <c r="D296" i="1" a="1"/>
  <c r="D296" i="1"/>
  <c r="D295" i="1" a="1"/>
  <c r="D295" i="1"/>
  <c r="D9" i="1" a="1"/>
  <c r="D9" i="1"/>
  <c r="D8" i="1" a="1"/>
  <c r="D8" i="1"/>
  <c r="D7" i="1" a="1"/>
  <c r="D7" i="1"/>
  <c r="D6" i="1" a="1"/>
  <c r="D6" i="1"/>
  <c r="D5" i="1" a="1"/>
  <c r="D5" i="1"/>
  <c r="D42" i="1" a="1"/>
  <c r="D42" i="1"/>
  <c r="D41" i="1" a="1"/>
  <c r="D41" i="1"/>
  <c r="D40" i="1" a="1"/>
  <c r="D40" i="1"/>
  <c r="D4" i="1" a="1"/>
  <c r="D4" i="1"/>
  <c r="D39" i="1" a="1"/>
  <c r="D39" i="1"/>
  <c r="D38" i="1" a="1"/>
  <c r="D38" i="1"/>
  <c r="D37" i="1" a="1"/>
  <c r="D37" i="1"/>
  <c r="D36" i="1" a="1"/>
  <c r="D36" i="1"/>
  <c r="D35" i="1" a="1"/>
  <c r="D35" i="1"/>
  <c r="D34" i="1" a="1"/>
  <c r="D34" i="1"/>
  <c r="D33" i="1" a="1"/>
  <c r="D33" i="1"/>
  <c r="D32" i="1" a="1"/>
  <c r="D32" i="1"/>
  <c r="D31" i="1" a="1"/>
  <c r="D31" i="1"/>
  <c r="D30" i="1" a="1"/>
  <c r="D30" i="1"/>
  <c r="D29" i="1" a="1"/>
  <c r="D29" i="1"/>
  <c r="D28" i="1" a="1"/>
  <c r="D28" i="1"/>
  <c r="D27" i="1" a="1"/>
  <c r="D27" i="1"/>
  <c r="D26" i="1" a="1"/>
  <c r="D26" i="1"/>
  <c r="D25" i="1" a="1"/>
  <c r="D25" i="1"/>
  <c r="D24" i="1" a="1"/>
  <c r="D24" i="1"/>
  <c r="D23" i="1" a="1"/>
  <c r="D23" i="1"/>
  <c r="D22" i="1" a="1"/>
  <c r="D22" i="1"/>
  <c r="D21" i="1" a="1"/>
  <c r="D21" i="1"/>
  <c r="D20" i="1" a="1"/>
  <c r="D20" i="1"/>
  <c r="D19" i="1" a="1"/>
  <c r="D19" i="1"/>
  <c r="D18" i="1" a="1"/>
  <c r="D18" i="1"/>
  <c r="D17" i="1" a="1"/>
  <c r="D17" i="1"/>
  <c r="D16" i="1" a="1"/>
  <c r="D16" i="1"/>
  <c r="D15" i="1" a="1"/>
  <c r="D15" i="1"/>
  <c r="D14" i="1" a="1"/>
  <c r="D14" i="1"/>
  <c r="D13" i="1" a="1"/>
  <c r="D13" i="1"/>
  <c r="D12" i="1" a="1"/>
  <c r="D12" i="1"/>
  <c r="D11" i="1" a="1"/>
  <c r="D11" i="1"/>
  <c r="D10" i="1" a="1"/>
  <c r="D10" i="1"/>
  <c r="Q61" i="1" a="1"/>
  <c r="Q61" i="1"/>
  <c r="Q60" i="1" a="1"/>
  <c r="Q60" i="1"/>
  <c r="Q59" i="1" a="1"/>
  <c r="Q59" i="1"/>
  <c r="Q58" i="1" a="1"/>
  <c r="Q58" i="1"/>
  <c r="Q57" i="1" a="1"/>
  <c r="Q57" i="1"/>
  <c r="Q56" i="1" a="1"/>
  <c r="Q56" i="1"/>
  <c r="Q55" i="1" a="1"/>
  <c r="Q55" i="1"/>
  <c r="Q54" i="1" a="1"/>
  <c r="Q54" i="1"/>
  <c r="Q53" i="1" a="1"/>
  <c r="Q53" i="1"/>
  <c r="Q52" i="1" a="1"/>
  <c r="Q52" i="1"/>
  <c r="Q51" i="1" a="1"/>
  <c r="Q51" i="1"/>
  <c r="Q50" i="1" a="1"/>
  <c r="Q50" i="1"/>
  <c r="Q49" i="1" a="1"/>
  <c r="Q49" i="1"/>
  <c r="Q48" i="1" a="1"/>
  <c r="Q48" i="1"/>
  <c r="Q47" i="1" a="1"/>
  <c r="Q47" i="1"/>
  <c r="Q46" i="1" a="1"/>
  <c r="Q46" i="1"/>
  <c r="Q45" i="1" a="1"/>
  <c r="Q45" i="1"/>
  <c r="Q44" i="1" a="1"/>
  <c r="Q44" i="1"/>
  <c r="Q43" i="1" a="1"/>
  <c r="Q43" i="1"/>
  <c r="Q42" i="1" a="1"/>
  <c r="Q42" i="1"/>
  <c r="Q41" i="1" a="1"/>
  <c r="Q41" i="1"/>
  <c r="Q40" i="1" a="1"/>
  <c r="Q40" i="1"/>
  <c r="Q39" i="1" a="1"/>
  <c r="Q39" i="1"/>
  <c r="Q38" i="1" a="1"/>
  <c r="Q38" i="1"/>
  <c r="Q37" i="1" a="1"/>
  <c r="Q37" i="1"/>
  <c r="Q36" i="1" a="1"/>
  <c r="Q36" i="1"/>
  <c r="Q35" i="1" a="1"/>
  <c r="Q35" i="1"/>
  <c r="Q34" i="1" a="1"/>
  <c r="Q34" i="1"/>
  <c r="Q33" i="1" a="1"/>
  <c r="Q33" i="1"/>
  <c r="Q32" i="1" a="1"/>
  <c r="Q32" i="1"/>
  <c r="Q31" i="1" a="1"/>
  <c r="Q31" i="1"/>
  <c r="Q30" i="1" a="1"/>
  <c r="Q30" i="1"/>
  <c r="Q29" i="1" a="1"/>
  <c r="Q29" i="1"/>
  <c r="Q28" i="1" a="1"/>
  <c r="Q28" i="1"/>
  <c r="Q27" i="1" a="1"/>
  <c r="Q27" i="1"/>
  <c r="Q26" i="1" a="1"/>
  <c r="Q26" i="1"/>
  <c r="Q25" i="1" a="1"/>
  <c r="Q25" i="1"/>
  <c r="Q24" i="1" a="1"/>
  <c r="Q24" i="1"/>
  <c r="Q398" i="1" a="1"/>
  <c r="Q398" i="1"/>
  <c r="Q397" i="1" a="1"/>
  <c r="Q397" i="1"/>
  <c r="Q396" i="1" a="1"/>
  <c r="Q396" i="1"/>
  <c r="Q395" i="1" a="1"/>
  <c r="Q395" i="1"/>
  <c r="Q394" i="1" a="1"/>
  <c r="Q394" i="1"/>
  <c r="Q393" i="1" a="1"/>
  <c r="Q393" i="1"/>
  <c r="Q392" i="1" a="1"/>
  <c r="Q392" i="1"/>
  <c r="Q391" i="1" a="1"/>
  <c r="Q391" i="1"/>
  <c r="Q390" i="1" a="1"/>
  <c r="Q390" i="1"/>
  <c r="Q389" i="1" a="1"/>
  <c r="Q389" i="1"/>
  <c r="Q388" i="1" a="1"/>
  <c r="Q388" i="1"/>
  <c r="Q387" i="1" a="1"/>
  <c r="Q387" i="1"/>
  <c r="Q386" i="1" a="1"/>
  <c r="Q386" i="1"/>
  <c r="Q385" i="1" a="1"/>
  <c r="Q385" i="1"/>
  <c r="Q384" i="1" a="1"/>
  <c r="Q384" i="1"/>
  <c r="Q383" i="1" a="1"/>
  <c r="Q383" i="1"/>
  <c r="Q382" i="1" a="1"/>
  <c r="Q382" i="1"/>
  <c r="Q381" i="1" a="1"/>
  <c r="Q381" i="1"/>
  <c r="Q380" i="1" a="1"/>
  <c r="Q380" i="1"/>
  <c r="Q379" i="1" a="1"/>
  <c r="Q379" i="1"/>
  <c r="Q378" i="1" a="1"/>
  <c r="Q378" i="1"/>
  <c r="Q377" i="1" a="1"/>
  <c r="Q377" i="1"/>
  <c r="Q376" i="1" a="1"/>
  <c r="Q376" i="1"/>
  <c r="Q375" i="1" a="1"/>
  <c r="Q375" i="1"/>
  <c r="Q374" i="1" a="1"/>
  <c r="Q374" i="1"/>
  <c r="Q373" i="1" a="1"/>
  <c r="Q373" i="1"/>
  <c r="Q372" i="1" a="1"/>
  <c r="Q372" i="1"/>
  <c r="Q371" i="1" a="1"/>
  <c r="Q371" i="1"/>
  <c r="Q370" i="1" a="1"/>
  <c r="Q370" i="1"/>
  <c r="Q369" i="1" a="1"/>
  <c r="Q369" i="1"/>
  <c r="Q368" i="1" a="1"/>
  <c r="Q368" i="1"/>
  <c r="Q367" i="1" a="1"/>
  <c r="Q367" i="1"/>
  <c r="Q366" i="1" a="1"/>
  <c r="Q366" i="1"/>
  <c r="Q365" i="1" a="1"/>
  <c r="Q365" i="1"/>
  <c r="Q364" i="1" a="1"/>
  <c r="Q364" i="1"/>
  <c r="Q363" i="1" a="1"/>
  <c r="Q363" i="1"/>
  <c r="Q362" i="1" a="1"/>
  <c r="Q362" i="1"/>
  <c r="Q361" i="1" a="1"/>
  <c r="Q361" i="1"/>
  <c r="Q360" i="1" a="1"/>
  <c r="Q360" i="1"/>
  <c r="Q359" i="1" a="1"/>
  <c r="Q359" i="1"/>
  <c r="Q358" i="1" a="1"/>
  <c r="Q358" i="1"/>
  <c r="Q357" i="1" a="1"/>
  <c r="Q357" i="1"/>
  <c r="Q356" i="1" a="1"/>
  <c r="Q356" i="1"/>
  <c r="Q639" i="1" a="1"/>
  <c r="Q639" i="1"/>
  <c r="Q638" i="1" a="1"/>
  <c r="Q638" i="1"/>
  <c r="Q637" i="1" a="1"/>
  <c r="Q637" i="1"/>
  <c r="Q636" i="1" a="1"/>
  <c r="Q636" i="1"/>
  <c r="Q635" i="1" a="1"/>
  <c r="Q635" i="1"/>
  <c r="Q634" i="1" a="1"/>
  <c r="Q634" i="1"/>
  <c r="Q633" i="1" a="1"/>
  <c r="Q633" i="1"/>
  <c r="Q632" i="1" a="1"/>
  <c r="Q632" i="1"/>
  <c r="Q631" i="1" a="1"/>
  <c r="Q631" i="1"/>
  <c r="Q630" i="1" a="1"/>
  <c r="Q630" i="1"/>
  <c r="Q629" i="1" a="1"/>
  <c r="Q629" i="1"/>
  <c r="Q628" i="1" a="1"/>
  <c r="Q628" i="1"/>
  <c r="Q627" i="1" a="1"/>
  <c r="Q627" i="1"/>
  <c r="Q626" i="1" a="1"/>
  <c r="Q626" i="1"/>
  <c r="Q625" i="1" a="1"/>
  <c r="Q625" i="1"/>
  <c r="Q624" i="1" a="1"/>
  <c r="Q624" i="1"/>
  <c r="Q623" i="1" a="1"/>
  <c r="Q623" i="1"/>
  <c r="Q622" i="1" a="1"/>
  <c r="Q622" i="1"/>
  <c r="Q621" i="1" a="1"/>
  <c r="Q621" i="1"/>
  <c r="Q620" i="1" a="1"/>
  <c r="Q620" i="1"/>
  <c r="Q619" i="1" a="1"/>
  <c r="Q619" i="1"/>
  <c r="Q618" i="1" a="1"/>
  <c r="Q618" i="1"/>
  <c r="Q617" i="1" a="1"/>
  <c r="Q617" i="1"/>
  <c r="Q616" i="1" a="1"/>
  <c r="Q616" i="1"/>
  <c r="Q615" i="1" a="1"/>
  <c r="Q615" i="1"/>
  <c r="Q614" i="1" a="1"/>
  <c r="Q614" i="1"/>
  <c r="Q613" i="1" a="1"/>
  <c r="Q613" i="1"/>
  <c r="Q612" i="1" a="1"/>
  <c r="Q612" i="1"/>
  <c r="Q611" i="1" a="1"/>
  <c r="Q611" i="1"/>
  <c r="Q610" i="1" a="1"/>
  <c r="Q610" i="1"/>
  <c r="D590" i="1" a="1"/>
  <c r="D590" i="1"/>
  <c r="D589" i="1" a="1"/>
  <c r="D589" i="1"/>
  <c r="D588" i="1" a="1"/>
  <c r="D588" i="1"/>
  <c r="D587" i="1" a="1"/>
  <c r="D587" i="1"/>
  <c r="D586" i="1" a="1"/>
  <c r="D586" i="1"/>
  <c r="D585" i="1" a="1"/>
  <c r="D585" i="1"/>
  <c r="D584" i="1" a="1"/>
  <c r="D584" i="1"/>
  <c r="D583" i="1" a="1"/>
  <c r="D583" i="1"/>
  <c r="D582" i="1" a="1"/>
  <c r="D582" i="1"/>
  <c r="D581" i="1" a="1"/>
  <c r="D581" i="1"/>
  <c r="D580" i="1" a="1"/>
  <c r="D580" i="1"/>
  <c r="D579" i="1" a="1"/>
  <c r="D579" i="1"/>
  <c r="D578" i="1" a="1"/>
  <c r="D578" i="1"/>
  <c r="D577" i="1" a="1"/>
  <c r="D577" i="1"/>
  <c r="D576" i="1" a="1"/>
  <c r="D576" i="1"/>
  <c r="D575" i="1" a="1"/>
  <c r="D575" i="1"/>
  <c r="D574" i="1" a="1"/>
  <c r="D574" i="1"/>
  <c r="D573" i="1" a="1"/>
  <c r="D573" i="1"/>
  <c r="D572" i="1" a="1"/>
  <c r="D572" i="1"/>
  <c r="D571" i="1" a="1"/>
  <c r="D571" i="1"/>
  <c r="D570" i="1" a="1"/>
  <c r="D570" i="1"/>
  <c r="D569" i="1" a="1"/>
  <c r="D569" i="1"/>
  <c r="D568" i="1" a="1"/>
  <c r="D568" i="1"/>
  <c r="D567" i="1" a="1"/>
  <c r="D567" i="1"/>
  <c r="D566" i="1" a="1"/>
  <c r="D566" i="1"/>
  <c r="D565" i="1" a="1"/>
  <c r="D565" i="1"/>
  <c r="D564" i="1" a="1"/>
  <c r="D564" i="1"/>
  <c r="D563" i="1" a="1"/>
  <c r="D563" i="1"/>
  <c r="D562" i="1" a="1"/>
  <c r="D562" i="1"/>
  <c r="D561" i="1" a="1"/>
  <c r="D561" i="1"/>
  <c r="D560" i="1" a="1"/>
  <c r="D560" i="1"/>
  <c r="D559" i="1" a="1"/>
  <c r="D559" i="1"/>
  <c r="D558" i="1" a="1"/>
  <c r="D558" i="1"/>
  <c r="D557" i="1" a="1"/>
  <c r="D557" i="1"/>
  <c r="D556" i="1" a="1"/>
  <c r="D556" i="1"/>
  <c r="D555" i="1" a="1"/>
  <c r="D555" i="1"/>
  <c r="D554" i="1" a="1"/>
  <c r="D554" i="1"/>
  <c r="D553" i="1" a="1"/>
  <c r="D553" i="1"/>
  <c r="D552" i="1" a="1"/>
  <c r="D552" i="1"/>
  <c r="D551" i="1" a="1"/>
  <c r="D551" i="1"/>
  <c r="D550" i="1" a="1"/>
  <c r="D550" i="1"/>
  <c r="Q609" i="1" a="1"/>
  <c r="Q609" i="1"/>
  <c r="Q608" i="1" a="1"/>
  <c r="Q608" i="1"/>
  <c r="Q607" i="1" a="1"/>
  <c r="Q607" i="1"/>
  <c r="Q606" i="1" a="1"/>
  <c r="Q606" i="1"/>
  <c r="Q605" i="1" a="1"/>
  <c r="Q605" i="1"/>
  <c r="Q604" i="1" a="1"/>
  <c r="Q604" i="1"/>
  <c r="Q603" i="1" a="1"/>
  <c r="Q603" i="1"/>
  <c r="Q602" i="1" a="1"/>
  <c r="Q602" i="1"/>
  <c r="Q601" i="1" a="1"/>
  <c r="Q601" i="1"/>
  <c r="Q600" i="1" a="1"/>
  <c r="Q600" i="1"/>
  <c r="Q599" i="1" a="1"/>
  <c r="Q599" i="1"/>
  <c r="Q598" i="1" a="1"/>
  <c r="Q598" i="1"/>
  <c r="Q597" i="1" a="1"/>
  <c r="Q597" i="1"/>
  <c r="Q596" i="1" a="1"/>
  <c r="Q596" i="1"/>
  <c r="Q595" i="1" a="1"/>
  <c r="Q595" i="1"/>
  <c r="Q594" i="1" a="1"/>
  <c r="Q594" i="1"/>
  <c r="Q593" i="1" a="1"/>
  <c r="Q593" i="1"/>
  <c r="Q592" i="1" a="1"/>
  <c r="Q592" i="1"/>
  <c r="Q591" i="1" a="1"/>
  <c r="Q591" i="1"/>
  <c r="Q590" i="1" a="1"/>
  <c r="Q590" i="1"/>
  <c r="Q589" i="1" a="1"/>
  <c r="Q589" i="1"/>
  <c r="Q588" i="1" a="1"/>
  <c r="Q588" i="1"/>
  <c r="Q587" i="1" a="1"/>
  <c r="Q587" i="1"/>
  <c r="Q586" i="1" a="1"/>
  <c r="Q586" i="1"/>
  <c r="Q585" i="1" a="1"/>
  <c r="Q585" i="1"/>
  <c r="Q584" i="1" a="1"/>
  <c r="Q584" i="1"/>
  <c r="Q583" i="1" a="1"/>
  <c r="Q583" i="1"/>
  <c r="Q582" i="1" a="1"/>
  <c r="Q582" i="1"/>
  <c r="Q581" i="1" a="1"/>
  <c r="Q581" i="1"/>
  <c r="Q580" i="1" a="1"/>
  <c r="Q580" i="1"/>
  <c r="Q579" i="1" a="1"/>
  <c r="Q579" i="1"/>
  <c r="Q578" i="1" a="1"/>
  <c r="Q578" i="1"/>
  <c r="Q577" i="1" a="1"/>
  <c r="Q577" i="1"/>
  <c r="Q576" i="1" a="1"/>
  <c r="Q576" i="1"/>
  <c r="Q575" i="1" a="1"/>
  <c r="Q575" i="1"/>
  <c r="Q574" i="1" a="1"/>
  <c r="Q574" i="1"/>
  <c r="Q573" i="1" a="1"/>
  <c r="Q573" i="1"/>
  <c r="Q572" i="1" a="1"/>
  <c r="Q572" i="1"/>
  <c r="Q571" i="1" a="1"/>
  <c r="Q571" i="1"/>
  <c r="D420" i="1" a="1"/>
  <c r="D420" i="1"/>
  <c r="D419" i="1" a="1"/>
  <c r="D419" i="1"/>
  <c r="D418" i="1" a="1"/>
  <c r="D418" i="1"/>
  <c r="D417" i="1" a="1"/>
  <c r="D417" i="1"/>
  <c r="D416" i="1" a="1"/>
  <c r="D416" i="1"/>
  <c r="D415" i="1" a="1"/>
  <c r="D415" i="1"/>
  <c r="D414" i="1" a="1"/>
  <c r="D414" i="1"/>
  <c r="D413" i="1" a="1"/>
  <c r="D413" i="1"/>
  <c r="D412" i="1" a="1"/>
  <c r="D412" i="1"/>
  <c r="D411" i="1" a="1"/>
  <c r="D411" i="1"/>
  <c r="D410" i="1" a="1"/>
  <c r="D410" i="1"/>
  <c r="D409" i="1" a="1"/>
  <c r="D409" i="1"/>
  <c r="D408" i="1" a="1"/>
  <c r="D408" i="1"/>
  <c r="D407" i="1" a="1"/>
  <c r="D407" i="1"/>
  <c r="D406" i="1" a="1"/>
  <c r="D406" i="1"/>
  <c r="D405" i="1" a="1"/>
  <c r="D405" i="1"/>
  <c r="D404" i="1" a="1"/>
  <c r="D404" i="1"/>
  <c r="D403" i="1" a="1"/>
  <c r="D403" i="1"/>
  <c r="D402" i="1" a="1"/>
  <c r="D402" i="1"/>
  <c r="D401" i="1" a="1"/>
  <c r="D401" i="1"/>
  <c r="D400" i="1" a="1"/>
  <c r="D400" i="1"/>
  <c r="D399" i="1" a="1"/>
  <c r="D399" i="1"/>
  <c r="D398" i="1" a="1"/>
  <c r="D398" i="1"/>
  <c r="D397" i="1" a="1"/>
  <c r="D397" i="1"/>
  <c r="D396" i="1" a="1"/>
  <c r="D396" i="1"/>
  <c r="D395" i="1" a="1"/>
  <c r="D395" i="1"/>
  <c r="D394" i="1" a="1"/>
  <c r="D394" i="1"/>
  <c r="D393" i="1" a="1"/>
  <c r="D393" i="1"/>
  <c r="D392" i="1" a="1"/>
  <c r="D392" i="1"/>
  <c r="D391" i="1" a="1"/>
  <c r="D391" i="1"/>
  <c r="D390" i="1" a="1"/>
  <c r="D390" i="1"/>
  <c r="D389" i="1" a="1"/>
  <c r="D389" i="1"/>
  <c r="D388" i="1" a="1"/>
  <c r="D388" i="1"/>
  <c r="D387" i="1" a="1"/>
  <c r="D387" i="1"/>
  <c r="D386" i="1" a="1"/>
  <c r="D386" i="1"/>
  <c r="D385" i="1" a="1"/>
  <c r="D385" i="1"/>
  <c r="D384" i="1" a="1"/>
  <c r="D384" i="1"/>
  <c r="D383" i="1" a="1"/>
  <c r="D383" i="1"/>
  <c r="D382" i="1" a="1"/>
  <c r="D382" i="1"/>
  <c r="D381" i="1" a="1"/>
  <c r="D381" i="1"/>
  <c r="D380" i="1" a="1"/>
  <c r="D380" i="1"/>
  <c r="D379" i="1" a="1"/>
  <c r="D379" i="1"/>
  <c r="Q570" i="1" a="1"/>
  <c r="Q570" i="1"/>
  <c r="Q99" i="1" a="1"/>
  <c r="Q99" i="1"/>
  <c r="Q98" i="1" a="1"/>
  <c r="Q98" i="1"/>
  <c r="Q97" i="1" a="1"/>
  <c r="Q97" i="1"/>
  <c r="Q96" i="1" a="1"/>
  <c r="Q96" i="1"/>
  <c r="Q95" i="1" a="1"/>
  <c r="Q95" i="1"/>
  <c r="Q94" i="1" a="1"/>
  <c r="Q94" i="1"/>
  <c r="Q93" i="1" a="1"/>
  <c r="Q93" i="1"/>
  <c r="Q92" i="1" a="1"/>
  <c r="Q92" i="1"/>
  <c r="Q91" i="1" a="1"/>
  <c r="Q91" i="1"/>
  <c r="Q90" i="1" a="1"/>
  <c r="Q90" i="1"/>
  <c r="Q89" i="1" a="1"/>
  <c r="Q89" i="1"/>
  <c r="Q88" i="1" a="1"/>
  <c r="Q88" i="1"/>
  <c r="Q87" i="1" a="1"/>
  <c r="Q87" i="1"/>
  <c r="Q86" i="1" a="1"/>
  <c r="Q86" i="1"/>
  <c r="Q85" i="1" a="1"/>
  <c r="Q85" i="1"/>
  <c r="Q84" i="1" a="1"/>
  <c r="Q84" i="1"/>
  <c r="Q83" i="1" a="1"/>
  <c r="Q83" i="1"/>
  <c r="Q82" i="1" a="1"/>
  <c r="Q82" i="1"/>
  <c r="Q81" i="1" a="1"/>
  <c r="Q81" i="1"/>
  <c r="Q80" i="1" a="1"/>
  <c r="Q80" i="1"/>
  <c r="Q79" i="1" a="1"/>
  <c r="Q79" i="1"/>
  <c r="Q78" i="1" a="1"/>
  <c r="Q78" i="1"/>
  <c r="Q77" i="1" a="1"/>
  <c r="Q77" i="1"/>
  <c r="Q76" i="1" a="1"/>
  <c r="Q76" i="1"/>
  <c r="Q75" i="1" a="1"/>
  <c r="Q75" i="1"/>
  <c r="Q74" i="1" a="1"/>
  <c r="Q74" i="1"/>
  <c r="Q73" i="1" a="1"/>
  <c r="Q73" i="1"/>
  <c r="Q72" i="1" a="1"/>
  <c r="Q72" i="1"/>
  <c r="Q71" i="1" a="1"/>
  <c r="Q71" i="1"/>
  <c r="Q70" i="1" a="1"/>
  <c r="Q70" i="1"/>
  <c r="Q69" i="1" a="1"/>
  <c r="Q69" i="1"/>
  <c r="Q68" i="1" a="1"/>
  <c r="Q68" i="1"/>
  <c r="Q67" i="1" a="1"/>
  <c r="Q67" i="1"/>
  <c r="Q66" i="1" a="1"/>
  <c r="Q66" i="1"/>
  <c r="Q65" i="1" a="1"/>
  <c r="Q65" i="1"/>
  <c r="Q64" i="1" a="1"/>
  <c r="Q64" i="1"/>
  <c r="Q63" i="1" a="1"/>
  <c r="Q63" i="1"/>
  <c r="Q62" i="1" a="1"/>
  <c r="Q62" i="1"/>
  <c r="Q103" i="1" a="1"/>
  <c r="Q103" i="1"/>
  <c r="Q102" i="1" a="1"/>
  <c r="Q102" i="1"/>
  <c r="Q101" i="1" a="1"/>
  <c r="Q101" i="1"/>
  <c r="Q100" i="1" a="1"/>
  <c r="Q100" i="1"/>
  <c r="Q187" i="1" a="1"/>
  <c r="Q187" i="1"/>
  <c r="Q186" i="1" a="1"/>
  <c r="Q186" i="1"/>
  <c r="Q185" i="1" a="1"/>
  <c r="Q185" i="1"/>
  <c r="Q184" i="1" a="1"/>
  <c r="Q184" i="1"/>
  <c r="Q183" i="1" a="1"/>
  <c r="Q183" i="1"/>
  <c r="Q182" i="1" a="1"/>
  <c r="Q182" i="1"/>
  <c r="Q181" i="1" a="1"/>
  <c r="Q181" i="1"/>
  <c r="Q180" i="1" a="1"/>
  <c r="Q180" i="1"/>
  <c r="Q179" i="1" a="1"/>
  <c r="Q179" i="1"/>
  <c r="Q178" i="1" a="1"/>
  <c r="Q178" i="1"/>
  <c r="Q177" i="1" a="1"/>
  <c r="Q177" i="1"/>
  <c r="Q176" i="1" a="1"/>
  <c r="Q176" i="1"/>
  <c r="Q175" i="1" a="1"/>
  <c r="Q175" i="1"/>
  <c r="Q174" i="1" a="1"/>
  <c r="Q174" i="1"/>
  <c r="Q173" i="1" a="1"/>
  <c r="Q173" i="1"/>
  <c r="Q172" i="1" a="1"/>
  <c r="Q172" i="1"/>
  <c r="Q171" i="1" a="1"/>
  <c r="Q171" i="1"/>
  <c r="Q170" i="1" a="1"/>
  <c r="Q170" i="1"/>
  <c r="Q169" i="1" a="1"/>
  <c r="Q169" i="1"/>
  <c r="Q168" i="1" a="1"/>
  <c r="Q168" i="1"/>
  <c r="Q167" i="1" a="1"/>
  <c r="Q167" i="1"/>
  <c r="Q166" i="1" a="1"/>
  <c r="Q166" i="1"/>
  <c r="Q165" i="1" a="1"/>
  <c r="Q165" i="1"/>
  <c r="Q164" i="1" a="1"/>
  <c r="Q164" i="1"/>
  <c r="Q163" i="1" a="1"/>
  <c r="Q163" i="1"/>
  <c r="Q162" i="1" a="1"/>
  <c r="Q162" i="1"/>
  <c r="Q161" i="1" a="1"/>
  <c r="Q161" i="1"/>
  <c r="Q160" i="1" a="1"/>
  <c r="Q160" i="1"/>
  <c r="Q159" i="1" a="1"/>
  <c r="Q159" i="1"/>
  <c r="Q158" i="1" a="1"/>
  <c r="Q158" i="1"/>
  <c r="Q157" i="1" a="1"/>
  <c r="Q157" i="1"/>
  <c r="Q156" i="1" a="1"/>
  <c r="Q156" i="1"/>
  <c r="Q155" i="1" a="1"/>
  <c r="Q155" i="1"/>
  <c r="Q154" i="1" a="1"/>
  <c r="Q154" i="1"/>
  <c r="Q153" i="1" a="1"/>
  <c r="Q153" i="1"/>
  <c r="Q152" i="1" a="1"/>
  <c r="Q152" i="1"/>
  <c r="Q151" i="1" a="1"/>
  <c r="Q151" i="1"/>
  <c r="Q150" i="1" a="1"/>
  <c r="Q150" i="1"/>
  <c r="Q149" i="1" a="1"/>
  <c r="Q149" i="1"/>
  <c r="Q148" i="1" a="1"/>
  <c r="Q148" i="1"/>
  <c r="Q147" i="1" a="1"/>
  <c r="Q147" i="1"/>
  <c r="Q146" i="1" a="1"/>
  <c r="Q146" i="1"/>
  <c r="Q145" i="1" a="1"/>
  <c r="Q145" i="1"/>
  <c r="D378" i="1" a="1"/>
  <c r="D378" i="1"/>
  <c r="D377" i="1" a="1"/>
  <c r="D377" i="1"/>
  <c r="D376" i="1" a="1"/>
  <c r="D376" i="1"/>
  <c r="D375" i="1" a="1"/>
  <c r="D375" i="1"/>
  <c r="D374" i="1" a="1"/>
  <c r="D374" i="1"/>
  <c r="D373" i="1" a="1"/>
  <c r="D373" i="1"/>
  <c r="D372" i="1" a="1"/>
  <c r="D372" i="1"/>
  <c r="D371" i="1" a="1"/>
  <c r="D371" i="1"/>
  <c r="D370" i="1" a="1"/>
  <c r="D370" i="1"/>
  <c r="D369" i="1" a="1"/>
  <c r="D369" i="1"/>
  <c r="D368" i="1" a="1"/>
  <c r="D368" i="1"/>
  <c r="D367" i="1" a="1"/>
  <c r="D367" i="1"/>
  <c r="D366" i="1" a="1"/>
  <c r="D366" i="1"/>
  <c r="D365" i="1" a="1"/>
  <c r="D365" i="1"/>
  <c r="D364" i="1" a="1"/>
  <c r="D364" i="1"/>
  <c r="D363" i="1" a="1"/>
  <c r="D363" i="1"/>
  <c r="D362" i="1" a="1"/>
  <c r="D362" i="1"/>
  <c r="D361" i="1" a="1"/>
  <c r="D361" i="1"/>
  <c r="D360" i="1" a="1"/>
  <c r="D360" i="1"/>
  <c r="D359" i="1" a="1"/>
  <c r="D359" i="1"/>
  <c r="D358" i="1" a="1"/>
  <c r="D358" i="1"/>
  <c r="D357" i="1" a="1"/>
  <c r="D357" i="1"/>
  <c r="D356" i="1" a="1"/>
  <c r="D356" i="1"/>
  <c r="D355" i="1" a="1"/>
  <c r="D355" i="1"/>
  <c r="D354" i="1" a="1"/>
  <c r="D354" i="1"/>
  <c r="D353" i="1" a="1"/>
  <c r="D353" i="1"/>
  <c r="D352" i="1" a="1"/>
  <c r="D352" i="1"/>
  <c r="D351" i="1" a="1"/>
  <c r="D351" i="1"/>
  <c r="D350" i="1" a="1"/>
  <c r="D350" i="1"/>
  <c r="D349" i="1" a="1"/>
  <c r="D349" i="1"/>
  <c r="D348" i="1" a="1"/>
  <c r="D348" i="1"/>
  <c r="D347" i="1" a="1"/>
  <c r="D347" i="1"/>
  <c r="D346" i="1" a="1"/>
  <c r="D346" i="1"/>
  <c r="D345" i="1" a="1"/>
  <c r="D345" i="1"/>
  <c r="D344" i="1" a="1"/>
  <c r="D344" i="1"/>
  <c r="D343" i="1" a="1"/>
  <c r="D343" i="1"/>
  <c r="D342" i="1" a="1"/>
  <c r="D342" i="1"/>
  <c r="D341" i="1" a="1"/>
  <c r="D341" i="1"/>
  <c r="D340" i="1" a="1"/>
  <c r="D340" i="1"/>
  <c r="D339" i="1" a="1"/>
  <c r="D339" i="1"/>
  <c r="D338" i="1" a="1"/>
  <c r="D338" i="1"/>
  <c r="D337" i="1" a="1"/>
  <c r="D337" i="1"/>
  <c r="D336" i="1" a="1"/>
  <c r="D336" i="1"/>
  <c r="D294" i="1" a="1"/>
  <c r="D294" i="1"/>
  <c r="D293" i="1" a="1"/>
  <c r="D293" i="1"/>
  <c r="D292" i="1" a="1"/>
  <c r="D292" i="1"/>
  <c r="D291" i="1" a="1"/>
  <c r="D291" i="1"/>
  <c r="D290" i="1" a="1"/>
  <c r="D290" i="1"/>
  <c r="D289" i="1" a="1"/>
  <c r="D289" i="1"/>
  <c r="D288" i="1" a="1"/>
  <c r="D288" i="1"/>
  <c r="D287" i="1" a="1"/>
  <c r="D287" i="1"/>
  <c r="D286" i="1" a="1"/>
  <c r="D286" i="1"/>
  <c r="D285" i="1" a="1"/>
  <c r="D285" i="1"/>
  <c r="D284" i="1" a="1"/>
  <c r="D284" i="1"/>
  <c r="D283" i="1" a="1"/>
  <c r="D283" i="1"/>
  <c r="D282" i="1" a="1"/>
  <c r="D282" i="1"/>
  <c r="D281" i="1" a="1"/>
  <c r="D281" i="1"/>
  <c r="D280" i="1" a="1"/>
  <c r="D280" i="1"/>
  <c r="D279" i="1" a="1"/>
  <c r="D279" i="1"/>
  <c r="D278" i="1" a="1"/>
  <c r="D278" i="1"/>
  <c r="D277" i="1" a="1"/>
  <c r="D277" i="1"/>
  <c r="D276" i="1" a="1"/>
  <c r="D276" i="1"/>
  <c r="D275" i="1" a="1"/>
  <c r="D275" i="1"/>
  <c r="D274" i="1" a="1"/>
  <c r="D274" i="1"/>
  <c r="D273" i="1" a="1"/>
  <c r="D273" i="1"/>
  <c r="D272" i="1" a="1"/>
  <c r="D272" i="1"/>
  <c r="D271" i="1" a="1"/>
  <c r="D271" i="1"/>
  <c r="D270" i="1" a="1"/>
  <c r="D270" i="1"/>
  <c r="D269" i="1" a="1"/>
  <c r="D269" i="1"/>
  <c r="D268" i="1" a="1"/>
  <c r="D268" i="1"/>
  <c r="D267" i="1" a="1"/>
  <c r="D267" i="1"/>
  <c r="D266" i="1" a="1"/>
  <c r="D266" i="1"/>
  <c r="D265" i="1" a="1"/>
  <c r="D265" i="1"/>
  <c r="D264" i="1" a="1"/>
  <c r="D264" i="1"/>
  <c r="D263" i="1" a="1"/>
  <c r="D263" i="1"/>
  <c r="D262" i="1" a="1"/>
  <c r="D262" i="1"/>
  <c r="D261" i="1" a="1"/>
  <c r="D261" i="1"/>
  <c r="D260" i="1" a="1"/>
  <c r="D260" i="1"/>
  <c r="D259" i="1" a="1"/>
  <c r="D259" i="1"/>
  <c r="D258" i="1" a="1"/>
  <c r="D258" i="1"/>
  <c r="D257" i="1" a="1"/>
  <c r="D257" i="1"/>
  <c r="D256" i="1" a="1"/>
  <c r="D256" i="1"/>
  <c r="D255" i="1" a="1"/>
  <c r="D255" i="1"/>
  <c r="D254" i="1" a="1"/>
  <c r="D254" i="1"/>
  <c r="D253" i="1" a="1"/>
  <c r="D253" i="1"/>
  <c r="D252" i="1" a="1"/>
  <c r="D252" i="1"/>
  <c r="Q507" i="1" a="1"/>
  <c r="Q507" i="1"/>
  <c r="Q506" i="1" a="1"/>
  <c r="Q506" i="1"/>
  <c r="Q505" i="1" a="1"/>
  <c r="Q505" i="1"/>
  <c r="Q504" i="1" a="1"/>
  <c r="Q504" i="1"/>
  <c r="Q503" i="1" a="1"/>
  <c r="Q503" i="1"/>
  <c r="Q502" i="1" a="1"/>
  <c r="Q502" i="1"/>
  <c r="Q501" i="1" a="1"/>
  <c r="Q501" i="1"/>
  <c r="Q500" i="1" a="1"/>
  <c r="Q500" i="1"/>
  <c r="Q499" i="1" a="1"/>
  <c r="Q499" i="1"/>
  <c r="Q498" i="1" a="1"/>
  <c r="Q498" i="1"/>
  <c r="Q497" i="1" a="1"/>
  <c r="Q497" i="1"/>
  <c r="Q496" i="1" a="1"/>
  <c r="Q496" i="1"/>
  <c r="Q495" i="1" a="1"/>
  <c r="Q495" i="1"/>
  <c r="Q494" i="1" a="1"/>
  <c r="Q494" i="1"/>
  <c r="Q493" i="1" a="1"/>
  <c r="Q493" i="1"/>
  <c r="Q492" i="1" a="1"/>
  <c r="Q492" i="1"/>
  <c r="Q491" i="1" a="1"/>
  <c r="Q491" i="1"/>
  <c r="Q490" i="1" a="1"/>
  <c r="Q490" i="1"/>
  <c r="Q489" i="1" a="1"/>
  <c r="Q489" i="1"/>
  <c r="Q488" i="1" a="1"/>
  <c r="Q488" i="1"/>
  <c r="Q487" i="1" a="1"/>
  <c r="Q487" i="1"/>
  <c r="Q486" i="1" a="1"/>
  <c r="Q486" i="1"/>
  <c r="Q485" i="1" a="1"/>
  <c r="Q485" i="1"/>
  <c r="Q484" i="1" a="1"/>
  <c r="Q484" i="1"/>
  <c r="Q483" i="1" a="1"/>
  <c r="Q483" i="1"/>
  <c r="Q482" i="1" a="1"/>
  <c r="Q482" i="1"/>
  <c r="Q481" i="1" a="1"/>
  <c r="Q481" i="1"/>
  <c r="Q480" i="1" a="1"/>
  <c r="Q480" i="1"/>
  <c r="Q479" i="1" a="1"/>
  <c r="Q479" i="1"/>
  <c r="Q478" i="1" a="1"/>
  <c r="Q478" i="1"/>
  <c r="Q477" i="1" a="1"/>
  <c r="Q477" i="1"/>
  <c r="Q476" i="1" a="1"/>
  <c r="Q476" i="1"/>
  <c r="Q475" i="1" a="1"/>
  <c r="Q475" i="1"/>
  <c r="Q474" i="1" a="1"/>
  <c r="Q474" i="1"/>
  <c r="Q473" i="1" a="1"/>
  <c r="Q473" i="1"/>
  <c r="Q472" i="1" a="1"/>
  <c r="Q472" i="1"/>
  <c r="Q471" i="1" a="1"/>
  <c r="Q471" i="1"/>
  <c r="Q470" i="1" a="1"/>
  <c r="Q470" i="1"/>
  <c r="Q469" i="1" a="1"/>
  <c r="Q469" i="1"/>
  <c r="Q468" i="1" a="1"/>
  <c r="Q468" i="1"/>
  <c r="Q467" i="1" a="1"/>
  <c r="Q467" i="1"/>
  <c r="Q466" i="1" a="1"/>
  <c r="Q466" i="1"/>
  <c r="Q465" i="1" a="1"/>
  <c r="Q465" i="1"/>
  <c r="Q464" i="1" a="1"/>
  <c r="Q464" i="1"/>
  <c r="Q463" i="1" a="1"/>
  <c r="Q463" i="1"/>
  <c r="Q462" i="1" a="1"/>
  <c r="Q462" i="1"/>
  <c r="Q461" i="1" a="1"/>
  <c r="Q461" i="1"/>
  <c r="Q460" i="1" a="1"/>
  <c r="Q460" i="1"/>
  <c r="Q459" i="1" a="1"/>
  <c r="Q459" i="1"/>
  <c r="Q458" i="1" a="1"/>
  <c r="Q458" i="1"/>
  <c r="Q457" i="1" a="1"/>
  <c r="Q457" i="1"/>
  <c r="Q456" i="1" a="1"/>
  <c r="Q456" i="1"/>
  <c r="Q455" i="1" a="1"/>
  <c r="Q455" i="1"/>
  <c r="Q454" i="1" a="1"/>
  <c r="Q454" i="1"/>
  <c r="Q453" i="1" a="1"/>
  <c r="Q453" i="1"/>
  <c r="Q452" i="1" a="1"/>
  <c r="Q452" i="1"/>
  <c r="Q451" i="1" a="1"/>
  <c r="Q451" i="1"/>
  <c r="Q450" i="1" a="1"/>
  <c r="Q450" i="1"/>
  <c r="Q449" i="1" a="1"/>
  <c r="Q449" i="1"/>
  <c r="Q448" i="1" a="1"/>
  <c r="Q448" i="1"/>
  <c r="Q447" i="1" a="1"/>
  <c r="Q447" i="1"/>
  <c r="Q446" i="1" a="1"/>
  <c r="Q446" i="1"/>
  <c r="Q445" i="1" a="1"/>
  <c r="Q445" i="1"/>
  <c r="Q444" i="1" a="1"/>
  <c r="Q444" i="1"/>
  <c r="Q697" i="1" a="1"/>
  <c r="Q697" i="1"/>
  <c r="Q696" i="1" a="1"/>
  <c r="Q696" i="1"/>
  <c r="Q695" i="1" a="1"/>
  <c r="Q695" i="1"/>
  <c r="Q694" i="1" a="1"/>
  <c r="Q694" i="1"/>
  <c r="Q693" i="1" a="1"/>
  <c r="Q693" i="1"/>
  <c r="Q692" i="1" a="1"/>
  <c r="Q692" i="1"/>
  <c r="Q691" i="1" a="1"/>
  <c r="Q691" i="1"/>
  <c r="Q690" i="1" a="1"/>
  <c r="Q690" i="1"/>
  <c r="Q689" i="1" a="1"/>
  <c r="Q689" i="1"/>
  <c r="Q688" i="1" a="1"/>
  <c r="Q688" i="1"/>
  <c r="Q687" i="1" a="1"/>
  <c r="Q687" i="1"/>
  <c r="Q686" i="1" a="1"/>
  <c r="Q686" i="1"/>
  <c r="Q685" i="1" a="1"/>
  <c r="Q685" i="1"/>
  <c r="Q684" i="1" a="1"/>
  <c r="Q684" i="1"/>
  <c r="Q683" i="1" a="1"/>
  <c r="Q683" i="1"/>
  <c r="Q144" i="1" a="1"/>
  <c r="Q144" i="1"/>
  <c r="Q143" i="1" a="1"/>
  <c r="Q143" i="1"/>
  <c r="Q142" i="1" a="1"/>
  <c r="Q142" i="1"/>
  <c r="Q141" i="1" a="1"/>
  <c r="Q141" i="1"/>
  <c r="Q140" i="1" a="1"/>
  <c r="Q140" i="1"/>
  <c r="Q139" i="1" a="1"/>
  <c r="Q139" i="1"/>
  <c r="Q138" i="1" a="1"/>
  <c r="Q138" i="1"/>
  <c r="Q137" i="1" a="1"/>
  <c r="Q137" i="1"/>
  <c r="Q136" i="1" a="1"/>
  <c r="Q136" i="1"/>
  <c r="Q135" i="1" a="1"/>
  <c r="Q135" i="1"/>
  <c r="Q134" i="1" a="1"/>
  <c r="Q134" i="1"/>
  <c r="Q133" i="1" a="1"/>
  <c r="Q133" i="1"/>
  <c r="Q132" i="1" a="1"/>
  <c r="Q132" i="1"/>
  <c r="Q131" i="1" a="1"/>
  <c r="Q131" i="1"/>
  <c r="Q130" i="1" a="1"/>
  <c r="Q130" i="1"/>
  <c r="Q129" i="1" a="1"/>
  <c r="Q129" i="1"/>
  <c r="Q128" i="1" a="1"/>
  <c r="Q128" i="1"/>
  <c r="Q127" i="1" a="1"/>
  <c r="Q127" i="1"/>
  <c r="Q126" i="1" a="1"/>
  <c r="Q126" i="1"/>
  <c r="Q125" i="1" a="1"/>
  <c r="Q125" i="1"/>
  <c r="Q124" i="1" a="1"/>
  <c r="Q124" i="1"/>
  <c r="Q123" i="1" a="1"/>
  <c r="Q123" i="1"/>
  <c r="Q122" i="1" a="1"/>
  <c r="Q122" i="1"/>
  <c r="Q121" i="1" a="1"/>
  <c r="Q121" i="1"/>
  <c r="Q120" i="1" a="1"/>
  <c r="Q120" i="1"/>
  <c r="Q119" i="1" a="1"/>
  <c r="Q119" i="1"/>
  <c r="Q118" i="1" a="1"/>
  <c r="Q118" i="1"/>
  <c r="Q117" i="1" a="1"/>
  <c r="Q117" i="1"/>
  <c r="Q116" i="1" a="1"/>
  <c r="Q116" i="1"/>
  <c r="Q115" i="1" a="1"/>
  <c r="Q115" i="1"/>
  <c r="Q114" i="1" a="1"/>
  <c r="Q114" i="1"/>
  <c r="Q113" i="1" a="1"/>
  <c r="Q113" i="1"/>
  <c r="Q112" i="1" a="1"/>
  <c r="Q112" i="1"/>
  <c r="Q111" i="1" a="1"/>
  <c r="Q111" i="1"/>
  <c r="Q110" i="1" a="1"/>
  <c r="Q110" i="1"/>
  <c r="Q109" i="1" a="1"/>
  <c r="Q109" i="1"/>
  <c r="Q108" i="1" a="1"/>
  <c r="Q108" i="1"/>
  <c r="Q107" i="1" a="1"/>
  <c r="Q107" i="1"/>
  <c r="Q106" i="1" a="1"/>
  <c r="Q106" i="1"/>
  <c r="Q105" i="1" a="1"/>
  <c r="Q105" i="1"/>
  <c r="Q104" i="1" a="1"/>
  <c r="Q104" i="1"/>
  <c r="D251" i="1" a="1"/>
  <c r="D251" i="1"/>
  <c r="D250" i="1" a="1"/>
  <c r="D250" i="1"/>
  <c r="D249" i="1" a="1"/>
  <c r="D249" i="1"/>
  <c r="D248" i="1" a="1"/>
  <c r="D248" i="1"/>
  <c r="D247" i="1" a="1"/>
  <c r="D247" i="1"/>
  <c r="D246" i="1" a="1"/>
  <c r="D246" i="1"/>
  <c r="D245" i="1" a="1"/>
  <c r="D245" i="1"/>
  <c r="D244" i="1" a="1"/>
  <c r="D244" i="1"/>
  <c r="D243" i="1" a="1"/>
  <c r="D243" i="1"/>
  <c r="D242" i="1" a="1"/>
  <c r="D242" i="1"/>
  <c r="D241" i="1" a="1"/>
  <c r="D241" i="1"/>
  <c r="D240" i="1" a="1"/>
  <c r="D240" i="1"/>
  <c r="D239" i="1" a="1"/>
  <c r="D239" i="1"/>
  <c r="D238" i="1" a="1"/>
  <c r="D238" i="1"/>
  <c r="D237" i="1" a="1"/>
  <c r="D237" i="1"/>
  <c r="D236" i="1" a="1"/>
  <c r="D236" i="1"/>
  <c r="D235" i="1" a="1"/>
  <c r="D235" i="1"/>
  <c r="D234" i="1" a="1"/>
  <c r="D234" i="1"/>
  <c r="D233" i="1" a="1"/>
  <c r="D233" i="1"/>
  <c r="D232" i="1" a="1"/>
  <c r="D232" i="1"/>
  <c r="D231" i="1" a="1"/>
  <c r="D231" i="1"/>
  <c r="D230" i="1" a="1"/>
  <c r="D230" i="1"/>
  <c r="D229" i="1" a="1"/>
  <c r="D229" i="1"/>
  <c r="D228" i="1" a="1"/>
  <c r="D228" i="1"/>
  <c r="D227" i="1" a="1"/>
  <c r="D227" i="1"/>
  <c r="D226" i="1" a="1"/>
  <c r="D226" i="1"/>
  <c r="D225" i="1" a="1"/>
  <c r="D225" i="1"/>
  <c r="D224" i="1" a="1"/>
  <c r="D224" i="1"/>
  <c r="D223" i="1" a="1"/>
  <c r="D223" i="1"/>
  <c r="D222" i="1" a="1"/>
  <c r="D222" i="1"/>
  <c r="D221" i="1" a="1"/>
  <c r="D221" i="1"/>
  <c r="D220" i="1" a="1"/>
  <c r="D220" i="1"/>
  <c r="D219" i="1" a="1"/>
  <c r="D219" i="1"/>
  <c r="D218" i="1" a="1"/>
  <c r="D218" i="1"/>
  <c r="D217" i="1" a="1"/>
  <c r="D217" i="1"/>
  <c r="D216" i="1" a="1"/>
  <c r="D216" i="1"/>
  <c r="D215" i="1" a="1"/>
  <c r="D215" i="1"/>
  <c r="D214" i="1" a="1"/>
  <c r="D214" i="1"/>
  <c r="D213" i="1" a="1"/>
  <c r="D213" i="1"/>
  <c r="D212" i="1" a="1"/>
  <c r="D212" i="1"/>
  <c r="D211" i="1" a="1"/>
  <c r="D211" i="1"/>
  <c r="D210" i="1" a="1"/>
  <c r="D210" i="1"/>
  <c r="D209" i="1" a="1"/>
  <c r="D209" i="1"/>
  <c r="D208" i="1" a="1"/>
  <c r="D208" i="1"/>
  <c r="D207" i="1" a="1"/>
  <c r="D207" i="1"/>
  <c r="D206" i="1" a="1"/>
  <c r="D206" i="1"/>
  <c r="D205" i="1" a="1"/>
  <c r="D205" i="1"/>
  <c r="D204" i="1" a="1"/>
  <c r="D204" i="1"/>
  <c r="D203" i="1" a="1"/>
  <c r="D203" i="1"/>
  <c r="D202" i="1" a="1"/>
  <c r="D202" i="1"/>
  <c r="D201" i="1" a="1"/>
  <c r="D201" i="1"/>
  <c r="D200" i="1" a="1"/>
  <c r="D200" i="1"/>
  <c r="D199" i="1" a="1"/>
  <c r="D199" i="1"/>
  <c r="D198" i="1" a="1"/>
  <c r="D198" i="1"/>
  <c r="D197" i="1" a="1"/>
  <c r="D197" i="1"/>
  <c r="D196" i="1" a="1"/>
  <c r="D196" i="1"/>
  <c r="D195" i="1" a="1"/>
  <c r="D195" i="1"/>
  <c r="D194" i="1" a="1"/>
  <c r="D194" i="1"/>
  <c r="D193" i="1" a="1"/>
  <c r="D193" i="1"/>
  <c r="D192" i="1" a="1"/>
  <c r="D192" i="1"/>
  <c r="D191" i="1" a="1"/>
  <c r="D191" i="1"/>
  <c r="D190" i="1" a="1"/>
  <c r="D190" i="1"/>
  <c r="D189" i="1" a="1"/>
  <c r="D189" i="1"/>
  <c r="D188" i="1" a="1"/>
  <c r="D188" i="1"/>
  <c r="D187" i="1" a="1"/>
  <c r="D187" i="1"/>
  <c r="D186" i="1" a="1"/>
  <c r="D186" i="1"/>
  <c r="D185" i="1" a="1"/>
  <c r="D185" i="1"/>
  <c r="D184" i="1" a="1"/>
  <c r="D184" i="1"/>
  <c r="D183" i="1" a="1"/>
  <c r="D183" i="1"/>
  <c r="D182" i="1" a="1"/>
  <c r="D182" i="1"/>
  <c r="D181" i="1" a="1"/>
  <c r="D181" i="1"/>
  <c r="D180" i="1" a="1"/>
  <c r="D180" i="1"/>
  <c r="D179" i="1" a="1"/>
  <c r="D179" i="1"/>
  <c r="D178" i="1" a="1"/>
  <c r="D178" i="1"/>
  <c r="D177" i="1" a="1"/>
  <c r="D177" i="1"/>
  <c r="D176" i="1" a="1"/>
  <c r="D176" i="1"/>
  <c r="D175" i="1" a="1"/>
  <c r="D175" i="1"/>
  <c r="D174" i="1" a="1"/>
  <c r="D174" i="1"/>
  <c r="D173" i="1" a="1"/>
  <c r="D173" i="1"/>
  <c r="D172" i="1" a="1"/>
  <c r="D172" i="1"/>
  <c r="D171" i="1" a="1"/>
  <c r="D171" i="1"/>
  <c r="D170" i="1" a="1"/>
  <c r="D170" i="1"/>
  <c r="D169" i="1" a="1"/>
  <c r="D169" i="1"/>
  <c r="D168" i="1" a="1"/>
  <c r="D168" i="1"/>
  <c r="D167" i="1" a="1"/>
  <c r="D167" i="1"/>
  <c r="D166" i="1" a="1"/>
  <c r="D166" i="1"/>
  <c r="D165" i="1" a="1"/>
  <c r="D165" i="1"/>
  <c r="Q355" i="1" a="1"/>
  <c r="Q355" i="1"/>
  <c r="Q354" i="1" a="1"/>
  <c r="Q354" i="1"/>
  <c r="Q353" i="1" a="1"/>
  <c r="Q353" i="1"/>
  <c r="Q352" i="1" a="1"/>
  <c r="Q352" i="1"/>
  <c r="Q351" i="1" a="1"/>
  <c r="Q351" i="1"/>
  <c r="Q350" i="1" a="1"/>
  <c r="Q350" i="1"/>
  <c r="Q349" i="1" a="1"/>
  <c r="Q349" i="1"/>
  <c r="Q348" i="1" a="1"/>
  <c r="Q348" i="1"/>
  <c r="Q347" i="1" a="1"/>
  <c r="Q347" i="1"/>
  <c r="Q346" i="1" a="1"/>
  <c r="Q346" i="1"/>
  <c r="Q345" i="1" a="1"/>
  <c r="Q345" i="1"/>
  <c r="Q344" i="1" a="1"/>
  <c r="Q344" i="1"/>
  <c r="Q343" i="1" a="1"/>
  <c r="Q343" i="1"/>
  <c r="Q342" i="1" a="1"/>
  <c r="Q342" i="1"/>
  <c r="Q341" i="1" a="1"/>
  <c r="Q341" i="1"/>
  <c r="Q340" i="1" a="1"/>
  <c r="Q340" i="1"/>
  <c r="Q339" i="1" a="1"/>
  <c r="Q339" i="1"/>
  <c r="Q338" i="1" a="1"/>
  <c r="Q338" i="1"/>
  <c r="Q337" i="1" a="1"/>
  <c r="Q337" i="1"/>
  <c r="Q336" i="1" a="1"/>
  <c r="Q336" i="1"/>
  <c r="Q335" i="1" a="1"/>
  <c r="Q335" i="1"/>
  <c r="Q334" i="1" a="1"/>
  <c r="Q334" i="1"/>
  <c r="Q333" i="1" a="1"/>
  <c r="Q333" i="1"/>
  <c r="Q332" i="1" a="1"/>
  <c r="Q332" i="1"/>
  <c r="Q331" i="1" a="1"/>
  <c r="Q331" i="1"/>
  <c r="Q330" i="1" a="1"/>
  <c r="Q330" i="1"/>
  <c r="Q329" i="1" a="1"/>
  <c r="Q329" i="1"/>
  <c r="Q328" i="1" a="1"/>
  <c r="Q328" i="1"/>
  <c r="Q327" i="1" a="1"/>
  <c r="Q327" i="1"/>
  <c r="Q326" i="1" a="1"/>
  <c r="Q326" i="1"/>
  <c r="Q325" i="1" a="1"/>
  <c r="Q325" i="1"/>
  <c r="Q324" i="1" a="1"/>
  <c r="Q324" i="1"/>
  <c r="Q323" i="1" a="1"/>
  <c r="Q323" i="1"/>
  <c r="Q322" i="1" a="1"/>
  <c r="Q322" i="1"/>
  <c r="Q321" i="1" a="1"/>
  <c r="Q321" i="1"/>
  <c r="Q320" i="1" a="1"/>
  <c r="Q320" i="1"/>
  <c r="Q319" i="1" a="1"/>
  <c r="Q319" i="1"/>
  <c r="Q318" i="1" a="1"/>
  <c r="Q318" i="1"/>
  <c r="Q317" i="1" a="1"/>
  <c r="Q317" i="1"/>
  <c r="Q316" i="1" a="1"/>
  <c r="Q316" i="1"/>
  <c r="Q315" i="1" a="1"/>
  <c r="Q315" i="1"/>
  <c r="Q314" i="1" a="1"/>
  <c r="Q314" i="1"/>
  <c r="D620" i="1" a="1"/>
  <c r="D620" i="1"/>
  <c r="D619" i="1" a="1"/>
  <c r="D619" i="1"/>
  <c r="D618" i="1" a="1"/>
  <c r="D618" i="1"/>
  <c r="D617" i="1" a="1"/>
  <c r="D617" i="1"/>
  <c r="D616" i="1" a="1"/>
  <c r="D616" i="1"/>
  <c r="D615" i="1" a="1"/>
  <c r="D615" i="1"/>
  <c r="D614" i="1" a="1"/>
  <c r="D614" i="1"/>
  <c r="D613" i="1" a="1"/>
  <c r="D613" i="1"/>
  <c r="D612" i="1" a="1"/>
  <c r="D612" i="1"/>
  <c r="D611" i="1" a="1"/>
  <c r="D611" i="1"/>
  <c r="D610" i="1" a="1"/>
  <c r="D610" i="1"/>
  <c r="D609" i="1" a="1"/>
  <c r="D609" i="1"/>
  <c r="D608" i="1" a="1"/>
  <c r="D608" i="1"/>
  <c r="D607" i="1" a="1"/>
  <c r="D607" i="1"/>
  <c r="D606" i="1" a="1"/>
  <c r="D606" i="1"/>
  <c r="D605" i="1" a="1"/>
  <c r="D605" i="1"/>
  <c r="D604" i="1" a="1"/>
  <c r="D604" i="1"/>
  <c r="D603" i="1" a="1"/>
  <c r="D603" i="1"/>
  <c r="D602" i="1" a="1"/>
  <c r="D602" i="1"/>
  <c r="D601" i="1" a="1"/>
  <c r="D601" i="1"/>
  <c r="D600" i="1" a="1"/>
  <c r="D600" i="1"/>
  <c r="D599" i="1" a="1"/>
  <c r="D599" i="1"/>
  <c r="D598" i="1" a="1"/>
  <c r="D598" i="1"/>
  <c r="D597" i="1" a="1"/>
  <c r="D597" i="1"/>
  <c r="D596" i="1" a="1"/>
  <c r="D596" i="1"/>
  <c r="D595" i="1" a="1"/>
  <c r="D595" i="1"/>
  <c r="D594" i="1" a="1"/>
  <c r="D594" i="1"/>
  <c r="D593" i="1" a="1"/>
  <c r="D593" i="1"/>
  <c r="D592" i="1" a="1"/>
  <c r="D592" i="1"/>
  <c r="D591" i="1" a="1"/>
  <c r="D591" i="1"/>
  <c r="Q569" i="1" a="1"/>
  <c r="Q569" i="1"/>
  <c r="Q568" i="1" a="1"/>
  <c r="Q568" i="1"/>
  <c r="Q567" i="1" a="1"/>
  <c r="Q567" i="1"/>
  <c r="Q566" i="1" a="1"/>
  <c r="Q566" i="1"/>
  <c r="Q565" i="1" a="1"/>
  <c r="Q565" i="1"/>
  <c r="Q564" i="1" a="1"/>
  <c r="Q564" i="1"/>
  <c r="Q563" i="1" a="1"/>
  <c r="Q563" i="1"/>
  <c r="Q562" i="1" a="1"/>
  <c r="Q562" i="1"/>
  <c r="Q561" i="1" a="1"/>
  <c r="Q561" i="1"/>
  <c r="Q560" i="1" a="1"/>
  <c r="Q560" i="1"/>
  <c r="Q559" i="1" a="1"/>
  <c r="Q559" i="1"/>
  <c r="Q558" i="1" a="1"/>
  <c r="Q558" i="1"/>
  <c r="Q557" i="1" a="1"/>
  <c r="Q557" i="1"/>
  <c r="Q556" i="1" a="1"/>
  <c r="Q556" i="1"/>
  <c r="Q555" i="1" a="1"/>
  <c r="Q555" i="1"/>
  <c r="Q554" i="1" a="1"/>
  <c r="Q554" i="1"/>
  <c r="Q553" i="1" a="1"/>
  <c r="Q553" i="1"/>
  <c r="Q552" i="1" a="1"/>
  <c r="Q552" i="1"/>
  <c r="Q551" i="1" a="1"/>
  <c r="Q551" i="1"/>
  <c r="Q550" i="1" a="1"/>
  <c r="Q550" i="1"/>
  <c r="Q549" i="1" a="1"/>
  <c r="Q549" i="1"/>
  <c r="Q548" i="1" a="1"/>
  <c r="Q548" i="1"/>
  <c r="Q547" i="1" a="1"/>
  <c r="Q547" i="1"/>
  <c r="Q546" i="1" a="1"/>
  <c r="Q546" i="1"/>
  <c r="Q545" i="1" a="1"/>
  <c r="Q545" i="1"/>
  <c r="Q544" i="1" a="1"/>
  <c r="Q544" i="1"/>
  <c r="Q543" i="1" a="1"/>
  <c r="Q543" i="1"/>
  <c r="Q542" i="1" a="1"/>
  <c r="Q542" i="1"/>
  <c r="Q541" i="1" a="1"/>
  <c r="Q541" i="1"/>
  <c r="Q540" i="1" a="1"/>
  <c r="Q540" i="1"/>
  <c r="Q539" i="1" a="1"/>
  <c r="Q539" i="1"/>
  <c r="Q538" i="1" a="1"/>
  <c r="Q538" i="1"/>
  <c r="Q537" i="1" a="1"/>
  <c r="Q537" i="1"/>
  <c r="Q536" i="1" a="1"/>
  <c r="Q536" i="1"/>
  <c r="Q535" i="1" a="1"/>
  <c r="Q535" i="1"/>
  <c r="Q534" i="1" a="1"/>
  <c r="Q534" i="1"/>
  <c r="Q533" i="1" a="1"/>
  <c r="Q533" i="1"/>
  <c r="Q532" i="1" a="1"/>
  <c r="Q532" i="1"/>
  <c r="Q531" i="1" a="1"/>
  <c r="Q531" i="1"/>
  <c r="Q530" i="1" a="1"/>
  <c r="Q530" i="1"/>
  <c r="Q529" i="1" a="1"/>
  <c r="Q529" i="1"/>
  <c r="Q528" i="1" a="1"/>
  <c r="Q528" i="1"/>
  <c r="Q527" i="1" a="1"/>
  <c r="Q527" i="1"/>
  <c r="Q526" i="1" a="1"/>
  <c r="Q526" i="1"/>
  <c r="Q525" i="1" a="1"/>
  <c r="Q525" i="1"/>
  <c r="Q524" i="1" a="1"/>
  <c r="Q524" i="1"/>
  <c r="Q523" i="1" a="1"/>
  <c r="Q523" i="1"/>
  <c r="Q522" i="1" a="1"/>
  <c r="Q522" i="1"/>
  <c r="Q521" i="1" a="1"/>
  <c r="Q521" i="1"/>
  <c r="Q520" i="1" a="1"/>
  <c r="Q520" i="1"/>
  <c r="Q519" i="1" a="1"/>
  <c r="Q519" i="1"/>
  <c r="Q518" i="1" a="1"/>
  <c r="Q518" i="1"/>
  <c r="Q517" i="1" a="1"/>
  <c r="Q517" i="1"/>
  <c r="Q516" i="1" a="1"/>
  <c r="Q516" i="1"/>
  <c r="Q515" i="1" a="1"/>
  <c r="Q515" i="1"/>
  <c r="Q514" i="1" a="1"/>
  <c r="Q514" i="1"/>
  <c r="Q513" i="1" a="1"/>
  <c r="Q513" i="1"/>
  <c r="Q512" i="1" a="1"/>
  <c r="Q512" i="1"/>
  <c r="Q511" i="1" a="1"/>
  <c r="Q511" i="1"/>
  <c r="Q510" i="1" a="1"/>
  <c r="Q510" i="1"/>
  <c r="Q509" i="1" a="1"/>
  <c r="Q509" i="1"/>
  <c r="Q508" i="1" a="1"/>
  <c r="Q508" i="1"/>
  <c r="Q313" i="1" a="1"/>
  <c r="Q313" i="1"/>
  <c r="Q312" i="1" a="1"/>
  <c r="Q312" i="1"/>
  <c r="Q311" i="1" a="1"/>
  <c r="Q311" i="1"/>
  <c r="Q310" i="1" a="1"/>
  <c r="Q310" i="1"/>
  <c r="Q309" i="1" a="1"/>
  <c r="Q309" i="1"/>
  <c r="Q308" i="1" a="1"/>
  <c r="Q308" i="1"/>
  <c r="Q307" i="1" a="1"/>
  <c r="Q307" i="1"/>
  <c r="Q306" i="1" a="1"/>
  <c r="Q306" i="1"/>
  <c r="Q305" i="1" a="1"/>
  <c r="Q305" i="1"/>
  <c r="Q304" i="1" a="1"/>
  <c r="Q304" i="1"/>
  <c r="Q303" i="1" a="1"/>
  <c r="Q303" i="1"/>
  <c r="Q302" i="1" a="1"/>
  <c r="Q302" i="1"/>
  <c r="Q301" i="1" a="1"/>
  <c r="Q301" i="1"/>
  <c r="Q300" i="1" a="1"/>
  <c r="Q300" i="1"/>
  <c r="Q299" i="1" a="1"/>
  <c r="Q299" i="1"/>
  <c r="Q298" i="1" a="1"/>
  <c r="Q298" i="1"/>
  <c r="Q297" i="1" a="1"/>
  <c r="Q297" i="1"/>
  <c r="Q296" i="1" a="1"/>
  <c r="Q296" i="1"/>
  <c r="Q295" i="1" a="1"/>
  <c r="Q295" i="1"/>
  <c r="Q294" i="1" a="1"/>
  <c r="Q294" i="1"/>
  <c r="Q293" i="1" a="1"/>
  <c r="Q293" i="1"/>
  <c r="Q292" i="1" a="1"/>
  <c r="Q292" i="1"/>
  <c r="Q291" i="1" a="1"/>
  <c r="Q291" i="1"/>
  <c r="Q290" i="1" a="1"/>
  <c r="Q290" i="1"/>
  <c r="Q289" i="1" a="1"/>
  <c r="Q289" i="1"/>
  <c r="Q288" i="1" a="1"/>
  <c r="Q288" i="1"/>
  <c r="Q287" i="1" a="1"/>
  <c r="Q287" i="1"/>
  <c r="Q286" i="1" a="1"/>
  <c r="Q286" i="1"/>
  <c r="Q285" i="1" a="1"/>
  <c r="Q285" i="1"/>
  <c r="Q284" i="1" a="1"/>
  <c r="Q284" i="1"/>
  <c r="Q283" i="1" a="1"/>
  <c r="Q283" i="1"/>
  <c r="Q282" i="1" a="1"/>
  <c r="Q282" i="1"/>
  <c r="Q281" i="1" a="1"/>
  <c r="Q281" i="1"/>
  <c r="Q280" i="1" a="1"/>
  <c r="Q280" i="1"/>
  <c r="Q279" i="1" a="1"/>
  <c r="Q279" i="1"/>
  <c r="Q278" i="1" a="1"/>
  <c r="Q278" i="1"/>
  <c r="Q277" i="1" a="1"/>
  <c r="Q277" i="1"/>
  <c r="Q276" i="1" a="1"/>
  <c r="Q276" i="1"/>
  <c r="Q275" i="1" a="1"/>
  <c r="Q275" i="1"/>
  <c r="Q274" i="1" a="1"/>
  <c r="Q274" i="1"/>
  <c r="Q273" i="1" a="1"/>
  <c r="Q273" i="1"/>
  <c r="Q272" i="1" a="1"/>
  <c r="Q272" i="1"/>
  <c r="Q271" i="1" a="1"/>
  <c r="Q271" i="1"/>
  <c r="Q270" i="1" a="1"/>
  <c r="Q270" i="1"/>
  <c r="Q269" i="1" a="1"/>
  <c r="Q269" i="1"/>
  <c r="Q268" i="1" a="1"/>
  <c r="Q268" i="1"/>
  <c r="Q267" i="1" a="1"/>
  <c r="Q267" i="1"/>
  <c r="Q266" i="1" a="1"/>
  <c r="Q266" i="1"/>
  <c r="Q265" i="1" a="1"/>
  <c r="Q265" i="1"/>
  <c r="Q264" i="1" a="1"/>
  <c r="Q264" i="1"/>
  <c r="Q263" i="1" a="1"/>
  <c r="Q263" i="1"/>
  <c r="Q262" i="1" a="1"/>
  <c r="Q262" i="1"/>
  <c r="Q261" i="1" a="1"/>
  <c r="Q261" i="1"/>
  <c r="Q260" i="1" a="1"/>
  <c r="Q260" i="1"/>
  <c r="Q259" i="1" a="1"/>
  <c r="Q259" i="1"/>
  <c r="Q258" i="1" a="1"/>
  <c r="Q258" i="1"/>
  <c r="Q257" i="1" a="1"/>
  <c r="Q257" i="1"/>
  <c r="Q256" i="1" a="1"/>
  <c r="Q256" i="1"/>
  <c r="Q255" i="1" a="1"/>
  <c r="Q255" i="1"/>
  <c r="D549" i="1" a="1"/>
  <c r="D549" i="1"/>
  <c r="D548" i="1" a="1"/>
  <c r="D548" i="1"/>
  <c r="D547" i="1" a="1"/>
  <c r="D547" i="1"/>
  <c r="D546" i="1" a="1"/>
  <c r="D546" i="1"/>
  <c r="D545" i="1" a="1"/>
  <c r="D545" i="1"/>
  <c r="D544" i="1" a="1"/>
  <c r="D544" i="1"/>
  <c r="D543" i="1" a="1"/>
  <c r="D543" i="1"/>
  <c r="D542" i="1" a="1"/>
  <c r="D542" i="1"/>
  <c r="D541" i="1" a="1"/>
  <c r="D541" i="1"/>
  <c r="D540" i="1" a="1"/>
  <c r="D540" i="1"/>
  <c r="D539" i="1" a="1"/>
  <c r="D539" i="1"/>
  <c r="D538" i="1" a="1"/>
  <c r="D538" i="1"/>
  <c r="D537" i="1" a="1"/>
  <c r="D537" i="1"/>
  <c r="D536" i="1" a="1"/>
  <c r="D536" i="1"/>
  <c r="D535" i="1" a="1"/>
  <c r="D535" i="1"/>
  <c r="D534" i="1" a="1"/>
  <c r="D534" i="1"/>
  <c r="D533" i="1" a="1"/>
  <c r="D533" i="1"/>
  <c r="D532" i="1" a="1"/>
  <c r="D532" i="1"/>
  <c r="D531" i="1" a="1"/>
  <c r="D531" i="1"/>
  <c r="D530" i="1" a="1"/>
  <c r="D530" i="1"/>
  <c r="D529" i="1" a="1"/>
  <c r="D529" i="1"/>
  <c r="D528" i="1" a="1"/>
  <c r="D528" i="1"/>
  <c r="D527" i="1" a="1"/>
  <c r="D527" i="1"/>
  <c r="D526" i="1" a="1"/>
  <c r="D526" i="1"/>
  <c r="D525" i="1" a="1"/>
  <c r="D525" i="1"/>
  <c r="D524" i="1" a="1"/>
  <c r="D524" i="1"/>
  <c r="D523" i="1" a="1"/>
  <c r="D523" i="1"/>
  <c r="D522" i="1" a="1"/>
  <c r="D522" i="1"/>
  <c r="D521" i="1" a="1"/>
  <c r="D521" i="1"/>
  <c r="D520" i="1" a="1"/>
  <c r="D520" i="1"/>
  <c r="D519" i="1" a="1"/>
  <c r="D519" i="1"/>
  <c r="D518" i="1" a="1"/>
  <c r="D518" i="1"/>
  <c r="D517" i="1" a="1"/>
  <c r="D517" i="1"/>
  <c r="D516" i="1" a="1"/>
  <c r="D516" i="1"/>
  <c r="D515" i="1" a="1"/>
  <c r="D515" i="1"/>
  <c r="D514" i="1" a="1"/>
  <c r="D514" i="1"/>
  <c r="D513" i="1" a="1"/>
  <c r="D513" i="1"/>
  <c r="D512" i="1" a="1"/>
  <c r="D512" i="1"/>
  <c r="D511" i="1" a="1"/>
  <c r="D511" i="1"/>
  <c r="D510" i="1" a="1"/>
  <c r="D510" i="1"/>
  <c r="D509" i="1" a="1"/>
  <c r="D509" i="1"/>
  <c r="D508" i="1" a="1"/>
  <c r="D508" i="1"/>
  <c r="D507" i="1" a="1"/>
  <c r="D507" i="1"/>
  <c r="D506" i="1" a="1"/>
  <c r="D506" i="1"/>
  <c r="D505" i="1" a="1"/>
  <c r="D505" i="1"/>
  <c r="D504" i="1" a="1"/>
  <c r="D504" i="1"/>
  <c r="D503" i="1" a="1"/>
  <c r="D503" i="1"/>
  <c r="D502" i="1" a="1"/>
  <c r="D502" i="1"/>
  <c r="D501" i="1" a="1"/>
  <c r="D501" i="1"/>
  <c r="D500" i="1" a="1"/>
  <c r="D500" i="1"/>
  <c r="D499" i="1" a="1"/>
  <c r="D499" i="1"/>
  <c r="D498" i="1" a="1"/>
  <c r="D498" i="1"/>
  <c r="D497" i="1" a="1"/>
  <c r="D497" i="1"/>
  <c r="D496" i="1" a="1"/>
  <c r="D496" i="1"/>
  <c r="D495" i="1" a="1"/>
  <c r="D495" i="1"/>
  <c r="D494" i="1" a="1"/>
  <c r="D494" i="1"/>
  <c r="D493" i="1" a="1"/>
  <c r="D493" i="1"/>
  <c r="D492" i="1" a="1"/>
  <c r="D492" i="1"/>
  <c r="D491" i="1" a="1"/>
  <c r="D491" i="1"/>
  <c r="D490" i="1" a="1"/>
  <c r="D490" i="1"/>
  <c r="D489" i="1" a="1"/>
  <c r="D489" i="1"/>
  <c r="D488" i="1" a="1"/>
  <c r="D488" i="1"/>
  <c r="D487" i="1" a="1"/>
  <c r="D487" i="1"/>
  <c r="D486" i="1" a="1"/>
  <c r="D486" i="1"/>
  <c r="D485" i="1" a="1"/>
  <c r="D485" i="1"/>
  <c r="D484" i="1" a="1"/>
  <c r="D484" i="1"/>
  <c r="D483" i="1" a="1"/>
  <c r="D483" i="1"/>
  <c r="D482" i="1" a="1"/>
  <c r="D482" i="1"/>
  <c r="D481" i="1" a="1"/>
  <c r="D481" i="1"/>
  <c r="D480" i="1" a="1"/>
  <c r="D480" i="1"/>
  <c r="D479" i="1" a="1"/>
  <c r="D479" i="1"/>
  <c r="D478" i="1" a="1"/>
  <c r="D478" i="1"/>
  <c r="D477" i="1" a="1"/>
  <c r="D477" i="1"/>
  <c r="D476" i="1" a="1"/>
  <c r="D476" i="1"/>
  <c r="D475" i="1" a="1"/>
  <c r="D475" i="1"/>
  <c r="D474" i="1" a="1"/>
  <c r="D474" i="1"/>
  <c r="D473" i="1" a="1"/>
  <c r="D473" i="1"/>
  <c r="D472" i="1" a="1"/>
  <c r="D472" i="1"/>
  <c r="D471" i="1" a="1"/>
  <c r="D471" i="1"/>
  <c r="D470" i="1" a="1"/>
  <c r="D470" i="1"/>
  <c r="D469" i="1" a="1"/>
  <c r="D469" i="1"/>
  <c r="D468" i="1" a="1"/>
  <c r="D468" i="1"/>
  <c r="D467" i="1" a="1"/>
  <c r="D467" i="1"/>
  <c r="D466" i="1" a="1"/>
  <c r="D466" i="1"/>
  <c r="D465" i="1" a="1"/>
  <c r="D465" i="1"/>
  <c r="D464" i="1" a="1"/>
  <c r="D464" i="1"/>
  <c r="D463" i="1" a="1"/>
  <c r="D463" i="1"/>
  <c r="D462" i="1" a="1"/>
  <c r="D462" i="1"/>
  <c r="D461" i="1" a="1"/>
  <c r="D461" i="1"/>
  <c r="D460" i="1" a="1"/>
  <c r="D460" i="1"/>
  <c r="D459" i="1" a="1"/>
  <c r="D459" i="1"/>
  <c r="D458" i="1" a="1"/>
  <c r="D458" i="1"/>
  <c r="D457" i="1" a="1"/>
  <c r="D457" i="1"/>
  <c r="D456" i="1" a="1"/>
  <c r="D456" i="1"/>
  <c r="D455" i="1" a="1"/>
  <c r="D455" i="1"/>
  <c r="D454" i="1" a="1"/>
  <c r="D454" i="1"/>
  <c r="D453" i="1" a="1"/>
  <c r="D453" i="1"/>
  <c r="D452" i="1" a="1"/>
  <c r="D452" i="1"/>
  <c r="D451" i="1" a="1"/>
  <c r="D451" i="1"/>
  <c r="D450" i="1" a="1"/>
  <c r="D450" i="1"/>
  <c r="D449" i="1" a="1"/>
  <c r="D449" i="1"/>
  <c r="D448" i="1" a="1"/>
  <c r="D448" i="1"/>
  <c r="D447" i="1" a="1"/>
  <c r="D447" i="1"/>
  <c r="D446" i="1" a="1"/>
  <c r="D446" i="1"/>
  <c r="D445" i="1" a="1"/>
  <c r="D445" i="1"/>
  <c r="D444" i="1" a="1"/>
  <c r="D444" i="1"/>
  <c r="D443" i="1" a="1"/>
  <c r="D443" i="1"/>
  <c r="D442" i="1" a="1"/>
  <c r="D442" i="1"/>
  <c r="D441" i="1" a="1"/>
  <c r="D441" i="1"/>
  <c r="D440" i="1" a="1"/>
  <c r="D440" i="1"/>
  <c r="D439" i="1" a="1"/>
  <c r="D439" i="1"/>
  <c r="D438" i="1" a="1"/>
  <c r="D438" i="1"/>
  <c r="D437" i="1" a="1"/>
  <c r="D437" i="1"/>
  <c r="D436" i="1" a="1"/>
  <c r="D436" i="1"/>
  <c r="D435" i="1" a="1"/>
  <c r="D435" i="1"/>
  <c r="D434" i="1" a="1"/>
  <c r="D434" i="1"/>
  <c r="D433" i="1" a="1"/>
  <c r="D433" i="1"/>
  <c r="D432" i="1" a="1"/>
  <c r="D432" i="1"/>
  <c r="D431" i="1" a="1"/>
  <c r="D431" i="1"/>
  <c r="D430" i="1" a="1"/>
  <c r="D430" i="1"/>
  <c r="D429" i="1" a="1"/>
  <c r="D429" i="1"/>
  <c r="D428" i="1" a="1"/>
  <c r="D428" i="1"/>
  <c r="D427" i="1" a="1"/>
  <c r="D427" i="1"/>
  <c r="D426" i="1" a="1"/>
  <c r="D426" i="1"/>
  <c r="D425" i="1" a="1"/>
  <c r="D425" i="1"/>
  <c r="D424" i="1" a="1"/>
  <c r="D424" i="1"/>
  <c r="D423" i="1" a="1"/>
  <c r="D423" i="1"/>
  <c r="D422" i="1" a="1"/>
  <c r="D422" i="1"/>
  <c r="D421" i="1" a="1"/>
  <c r="D421" i="1"/>
  <c r="D84" i="1" a="1"/>
  <c r="D84" i="1"/>
  <c r="D83" i="1" a="1"/>
  <c r="D83" i="1"/>
  <c r="D82" i="1" a="1"/>
  <c r="D82" i="1"/>
  <c r="D81" i="1" a="1"/>
  <c r="D81" i="1"/>
  <c r="D80" i="1" a="1"/>
  <c r="D80" i="1"/>
  <c r="D79" i="1" a="1"/>
  <c r="D79" i="1"/>
  <c r="D78" i="1" a="1"/>
  <c r="D78" i="1"/>
  <c r="D77" i="1" a="1"/>
  <c r="D77" i="1"/>
  <c r="D76" i="1" a="1"/>
  <c r="D76" i="1"/>
  <c r="D75" i="1" a="1"/>
  <c r="D75" i="1"/>
  <c r="D74" i="1" a="1"/>
  <c r="D74" i="1"/>
  <c r="D73" i="1" a="1"/>
  <c r="D73" i="1"/>
  <c r="D72" i="1" a="1"/>
  <c r="D72" i="1"/>
  <c r="D71" i="1" a="1"/>
  <c r="D71" i="1"/>
  <c r="D70" i="1" a="1"/>
  <c r="D70" i="1"/>
  <c r="D69" i="1" a="1"/>
  <c r="D69" i="1"/>
  <c r="D68" i="1" a="1"/>
  <c r="D68" i="1"/>
  <c r="D67" i="1" a="1"/>
  <c r="D67" i="1"/>
  <c r="D66" i="1" a="1"/>
  <c r="D66" i="1"/>
  <c r="D65" i="1" a="1"/>
  <c r="D65" i="1"/>
  <c r="D64" i="1" a="1"/>
  <c r="D64" i="1"/>
  <c r="D63" i="1" a="1"/>
  <c r="D63" i="1"/>
  <c r="D62" i="1" a="1"/>
  <c r="D62" i="1"/>
  <c r="D61" i="1" a="1"/>
  <c r="D61" i="1"/>
  <c r="D60" i="1" a="1"/>
  <c r="D60" i="1"/>
  <c r="D59" i="1" a="1"/>
  <c r="D59" i="1"/>
  <c r="D58" i="1" a="1"/>
  <c r="D58" i="1"/>
  <c r="D57" i="1" a="1"/>
  <c r="D57" i="1"/>
  <c r="D56" i="1" a="1"/>
  <c r="D56" i="1"/>
  <c r="D55" i="1" a="1"/>
  <c r="D55" i="1"/>
  <c r="D54" i="1" a="1"/>
  <c r="D54" i="1"/>
  <c r="D53" i="1" a="1"/>
  <c r="D53" i="1"/>
  <c r="D52" i="1" a="1"/>
  <c r="D52" i="1"/>
  <c r="D51" i="1" a="1"/>
  <c r="D51" i="1"/>
  <c r="D50" i="1" a="1"/>
  <c r="D50" i="1"/>
  <c r="D49" i="1" a="1"/>
  <c r="D49" i="1"/>
  <c r="D48" i="1" a="1"/>
  <c r="D48" i="1"/>
  <c r="D47" i="1" a="1"/>
  <c r="D47" i="1"/>
  <c r="D46" i="1" a="1"/>
  <c r="D46" i="1"/>
  <c r="D45" i="1" a="1"/>
  <c r="D45" i="1"/>
  <c r="D44" i="1" a="1"/>
  <c r="D44" i="1"/>
  <c r="D43" i="1" a="1"/>
  <c r="D43" i="1"/>
  <c r="Q254" i="1" a="1"/>
  <c r="Q254" i="1"/>
  <c r="Q253" i="1" a="1"/>
  <c r="Q253" i="1"/>
  <c r="Q252" i="1" a="1"/>
  <c r="Q252" i="1"/>
  <c r="Q251" i="1" a="1"/>
  <c r="Q251" i="1"/>
  <c r="Q250" i="1" a="1"/>
  <c r="Q250" i="1"/>
  <c r="Q249" i="1" a="1"/>
  <c r="Q249" i="1"/>
  <c r="Q248" i="1" a="1"/>
  <c r="Q248" i="1"/>
  <c r="Q247" i="1" a="1"/>
  <c r="Q247" i="1"/>
  <c r="Q246" i="1" a="1"/>
  <c r="Q246" i="1"/>
  <c r="Q245" i="1" a="1"/>
  <c r="Q245" i="1"/>
  <c r="Q244" i="1" a="1"/>
  <c r="Q244" i="1"/>
  <c r="Q243" i="1" a="1"/>
  <c r="Q243" i="1"/>
  <c r="Q242" i="1" a="1"/>
  <c r="Q242" i="1"/>
  <c r="Q241" i="1" a="1"/>
  <c r="Q241" i="1"/>
  <c r="Q240" i="1" a="1"/>
  <c r="Q240" i="1"/>
  <c r="Q239" i="1" a="1"/>
  <c r="Q239" i="1"/>
  <c r="Q238" i="1" a="1"/>
  <c r="Q238" i="1"/>
  <c r="Q237" i="1" a="1"/>
  <c r="Q237" i="1"/>
  <c r="Q236" i="1" a="1"/>
  <c r="Q236" i="1"/>
  <c r="Q235" i="1" a="1"/>
  <c r="Q235" i="1"/>
  <c r="Q234" i="1" a="1"/>
  <c r="Q234" i="1"/>
  <c r="Q233" i="1" a="1"/>
  <c r="Q233" i="1"/>
  <c r="Q232" i="1" a="1"/>
  <c r="Q232" i="1"/>
  <c r="Q231" i="1" a="1"/>
  <c r="Q231" i="1"/>
  <c r="Q230" i="1" a="1"/>
  <c r="Q230" i="1"/>
  <c r="Q229" i="1" a="1"/>
  <c r="Q229" i="1"/>
  <c r="Q228" i="1" a="1"/>
  <c r="Q228" i="1"/>
  <c r="Q227" i="1" a="1"/>
  <c r="Q227" i="1"/>
  <c r="Q226" i="1" a="1"/>
  <c r="Q226" i="1"/>
  <c r="Q225" i="1" a="1"/>
  <c r="Q225" i="1"/>
  <c r="Q224" i="1" a="1"/>
  <c r="Q224" i="1"/>
  <c r="Q223" i="1" a="1"/>
  <c r="Q223" i="1"/>
  <c r="Q222" i="1" a="1"/>
  <c r="Q222" i="1"/>
  <c r="Q221" i="1" a="1"/>
  <c r="Q221" i="1"/>
  <c r="Q220" i="1" a="1"/>
  <c r="Q220" i="1"/>
  <c r="Q219" i="1" a="1"/>
  <c r="Q219" i="1"/>
  <c r="Q218" i="1" a="1"/>
  <c r="Q218" i="1"/>
  <c r="Q217" i="1" a="1"/>
  <c r="Q217" i="1"/>
  <c r="Q216" i="1" a="1"/>
  <c r="Q216" i="1"/>
  <c r="Q215" i="1" a="1"/>
  <c r="Q215" i="1"/>
  <c r="Q214" i="1" a="1"/>
  <c r="Q214" i="1"/>
  <c r="Q213" i="1" a="1"/>
  <c r="Q213" i="1"/>
  <c r="Q212" i="1" a="1"/>
  <c r="Q212" i="1"/>
  <c r="Q211" i="1" a="1"/>
  <c r="Q211" i="1"/>
  <c r="Q210" i="1" a="1"/>
  <c r="Q210" i="1"/>
  <c r="Q209" i="1" a="1"/>
  <c r="Q209" i="1"/>
  <c r="Q208" i="1" a="1"/>
  <c r="Q208" i="1"/>
  <c r="Q207" i="1" a="1"/>
  <c r="Q207" i="1"/>
  <c r="Q206" i="1" a="1"/>
  <c r="Q206" i="1"/>
  <c r="Q205" i="1" a="1"/>
  <c r="Q205" i="1"/>
  <c r="Q204" i="1" a="1"/>
  <c r="Q204" i="1"/>
  <c r="Q203" i="1" a="1"/>
  <c r="Q203" i="1"/>
  <c r="Q202" i="1" a="1"/>
  <c r="Q202" i="1"/>
  <c r="Q201" i="1" a="1"/>
  <c r="Q201" i="1"/>
  <c r="Q200" i="1" a="1"/>
  <c r="Q200" i="1"/>
  <c r="Q199" i="1" a="1"/>
  <c r="Q199" i="1"/>
  <c r="Q198" i="1" a="1"/>
  <c r="Q198" i="1"/>
  <c r="Q197" i="1" a="1"/>
  <c r="Q197" i="1"/>
  <c r="Q196" i="1" a="1"/>
  <c r="Q196" i="1"/>
  <c r="Q195" i="1" a="1"/>
  <c r="Q195" i="1"/>
  <c r="Q194" i="1" a="1"/>
  <c r="Q194" i="1"/>
  <c r="Q193" i="1" a="1"/>
  <c r="Q193" i="1"/>
  <c r="Q192" i="1" a="1"/>
  <c r="Q192" i="1"/>
  <c r="Q191" i="1" a="1"/>
  <c r="Q191" i="1"/>
  <c r="Q190" i="1" a="1"/>
  <c r="Q190" i="1"/>
  <c r="Q189" i="1" a="1"/>
  <c r="Q189" i="1"/>
  <c r="Q188" i="1" a="1"/>
  <c r="Q188" i="1"/>
  <c r="D99" i="1" a="1"/>
  <c r="D99" i="1"/>
  <c r="D98" i="1" a="1"/>
  <c r="D98" i="1"/>
  <c r="D97" i="1" a="1"/>
  <c r="D97" i="1"/>
  <c r="D96" i="1" a="1"/>
  <c r="D96" i="1"/>
  <c r="D95" i="1" a="1"/>
  <c r="D95" i="1"/>
  <c r="D94" i="1" a="1"/>
  <c r="D94" i="1"/>
  <c r="D93" i="1" a="1"/>
  <c r="D93" i="1"/>
  <c r="D92" i="1" a="1"/>
  <c r="D92" i="1"/>
  <c r="D91" i="1" a="1"/>
  <c r="D91" i="1"/>
  <c r="D90" i="1" a="1"/>
  <c r="D90" i="1"/>
  <c r="D89" i="1" a="1"/>
  <c r="D89" i="1"/>
  <c r="D88" i="1" a="1"/>
  <c r="D88" i="1"/>
  <c r="D87" i="1" a="1"/>
  <c r="D87" i="1"/>
  <c r="D86" i="1" a="1"/>
  <c r="D86" i="1"/>
  <c r="D85" i="1" a="1"/>
  <c r="D85" i="1"/>
  <c r="D122" i="1" a="1"/>
  <c r="D122" i="1"/>
  <c r="D121" i="1" a="1"/>
  <c r="D121" i="1"/>
  <c r="D120" i="1" a="1"/>
  <c r="D120" i="1"/>
  <c r="D119" i="1" a="1"/>
  <c r="D119" i="1"/>
  <c r="D118" i="1" a="1"/>
  <c r="D118" i="1"/>
  <c r="D117" i="1" a="1"/>
  <c r="D117" i="1"/>
  <c r="D116" i="1" a="1"/>
  <c r="D116" i="1"/>
  <c r="D115" i="1" a="1"/>
  <c r="D115" i="1"/>
  <c r="D114" i="1" a="1"/>
  <c r="D114" i="1"/>
  <c r="D113" i="1" a="1"/>
  <c r="D113" i="1"/>
  <c r="D112" i="1" a="1"/>
  <c r="D112" i="1"/>
  <c r="D111" i="1" a="1"/>
  <c r="D111" i="1"/>
  <c r="D110" i="1" a="1"/>
  <c r="D110" i="1"/>
  <c r="D109" i="1" a="1"/>
  <c r="D109" i="1"/>
  <c r="D108" i="1" a="1"/>
  <c r="D108" i="1"/>
  <c r="D107" i="1" a="1"/>
  <c r="D107" i="1"/>
  <c r="D106" i="1" a="1"/>
  <c r="D106" i="1"/>
  <c r="D105" i="1" a="1"/>
  <c r="D105" i="1"/>
  <c r="D104" i="1" a="1"/>
  <c r="D104" i="1"/>
  <c r="D103" i="1" a="1"/>
  <c r="D103" i="1"/>
  <c r="D102" i="1" a="1"/>
  <c r="D102" i="1"/>
  <c r="D101" i="1" a="1"/>
  <c r="D101" i="1"/>
  <c r="D100" i="1" a="1"/>
  <c r="D100" i="1"/>
  <c r="B4" i="1" a="1"/>
  <c r="B4" i="1"/>
  <c r="O651" i="1" a="1"/>
  <c r="O651" i="1"/>
  <c r="B651" i="1" a="1"/>
  <c r="B651" i="1"/>
  <c r="O510" i="1" a="1"/>
  <c r="O510" i="1"/>
  <c r="B510" i="1" a="1"/>
  <c r="B510" i="1"/>
  <c r="O645" i="1" a="1"/>
  <c r="O645" i="1"/>
  <c r="B645" i="1" a="1"/>
  <c r="B645" i="1"/>
  <c r="O232" i="1" a="1"/>
  <c r="O232" i="1"/>
  <c r="B232" i="1" a="1"/>
  <c r="B232" i="1"/>
  <c r="O143" i="1" a="1"/>
  <c r="O143" i="1"/>
  <c r="B143" i="1" a="1"/>
  <c r="B143" i="1"/>
  <c r="O608" i="1" a="1"/>
  <c r="O608" i="1"/>
  <c r="B608" i="1" a="1"/>
  <c r="B608" i="1"/>
  <c r="O458" i="1" a="1"/>
  <c r="O458" i="1"/>
  <c r="B458" i="1" a="1"/>
  <c r="B458" i="1"/>
  <c r="O691" i="1" a="1"/>
  <c r="O691" i="1"/>
  <c r="B691" i="1" a="1"/>
  <c r="B691" i="1"/>
  <c r="O487" i="1" a="1"/>
  <c r="O487" i="1"/>
  <c r="B487" i="1" a="1"/>
  <c r="B487" i="1"/>
  <c r="O98" i="1" a="1"/>
  <c r="O98" i="1"/>
  <c r="B98" i="1" a="1"/>
  <c r="B98" i="1"/>
  <c r="O480" i="1" a="1"/>
  <c r="O480" i="1"/>
  <c r="B480" i="1" a="1"/>
  <c r="B480" i="1"/>
  <c r="O617" i="1" a="1"/>
  <c r="O617" i="1"/>
  <c r="B617" i="1" a="1"/>
  <c r="B617" i="1"/>
  <c r="O310" i="1" a="1"/>
  <c r="O310" i="1"/>
  <c r="B310" i="1" a="1"/>
  <c r="B310" i="1"/>
  <c r="O106" i="1" a="1"/>
  <c r="O106" i="1"/>
  <c r="B106" i="1" a="1"/>
  <c r="B106" i="1"/>
  <c r="O696" i="1" a="1"/>
  <c r="O696" i="1"/>
  <c r="B696" i="1" a="1"/>
  <c r="B696" i="1"/>
  <c r="O611" i="1" a="1"/>
  <c r="O611" i="1"/>
  <c r="B611" i="1" a="1"/>
  <c r="B611" i="1"/>
  <c r="O655" i="1" a="1"/>
  <c r="O655" i="1"/>
  <c r="B655" i="1" a="1"/>
  <c r="B655" i="1"/>
  <c r="O373" i="1" a="1"/>
  <c r="O373" i="1"/>
  <c r="B373" i="1" a="1"/>
  <c r="B373" i="1"/>
  <c r="O169" i="1" a="1"/>
  <c r="O169" i="1"/>
  <c r="B169" i="1" a="1"/>
  <c r="B169" i="1"/>
  <c r="O70" i="1" a="1"/>
  <c r="O70" i="1"/>
  <c r="B70" i="1" a="1"/>
  <c r="B70" i="1"/>
  <c r="O613" i="1" a="1"/>
  <c r="O613" i="1"/>
  <c r="B613" i="1" a="1"/>
  <c r="B613" i="1"/>
  <c r="O262" i="1" a="1"/>
  <c r="O262" i="1"/>
  <c r="B262" i="1" a="1"/>
  <c r="B262" i="1"/>
  <c r="O499" i="1" a="1"/>
  <c r="O499" i="1"/>
  <c r="B499" i="1" a="1"/>
  <c r="B499" i="1"/>
  <c r="O472" i="1" a="1"/>
  <c r="O472" i="1"/>
  <c r="B472" i="1" a="1"/>
  <c r="B472" i="1"/>
  <c r="O601" i="1" a="1"/>
  <c r="O601" i="1"/>
  <c r="B601" i="1" a="1"/>
  <c r="B601" i="1"/>
  <c r="O666" i="1" a="1"/>
  <c r="O666" i="1"/>
  <c r="B666" i="1" a="1"/>
  <c r="B666" i="1"/>
  <c r="O355" i="1" a="1"/>
  <c r="O355" i="1"/>
  <c r="B355" i="1" a="1"/>
  <c r="B355" i="1"/>
  <c r="O551" i="1" a="1"/>
  <c r="O551" i="1"/>
  <c r="B551" i="1" a="1"/>
  <c r="B551" i="1"/>
  <c r="O575" i="1" a="1"/>
  <c r="O575" i="1"/>
  <c r="B575" i="1" a="1"/>
  <c r="B575" i="1"/>
  <c r="O413" i="1" a="1"/>
  <c r="O413" i="1"/>
  <c r="B413" i="1" a="1"/>
  <c r="B413" i="1"/>
  <c r="O320" i="1" a="1"/>
  <c r="O320" i="1"/>
  <c r="B320" i="1" a="1"/>
  <c r="B320" i="1"/>
  <c r="O164" i="1" a="1"/>
  <c r="O164" i="1"/>
  <c r="B164" i="1" a="1"/>
  <c r="B164" i="1"/>
  <c r="B18" i="1" a="1"/>
  <c r="B18" i="1"/>
  <c r="O690" i="1" a="1"/>
  <c r="O690" i="1"/>
  <c r="B690" i="1" a="1"/>
  <c r="B690" i="1"/>
  <c r="O478" i="1" a="1"/>
  <c r="O478" i="1"/>
  <c r="B478" i="1" a="1"/>
  <c r="B478" i="1"/>
  <c r="O314" i="1" a="1"/>
  <c r="O314" i="1"/>
  <c r="B314" i="1" a="1"/>
  <c r="B314" i="1"/>
  <c r="O509" i="1" a="1"/>
  <c r="O509" i="1"/>
  <c r="B509" i="1" a="1"/>
  <c r="B509" i="1"/>
  <c r="B12" i="1" a="1"/>
  <c r="B12" i="1"/>
  <c r="O659" i="1" a="1"/>
  <c r="O659" i="1"/>
  <c r="B659" i="1" a="1"/>
  <c r="B659" i="1"/>
  <c r="O564" i="1" a="1"/>
  <c r="O564" i="1"/>
  <c r="B564" i="1" a="1"/>
  <c r="B564" i="1"/>
  <c r="O322" i="1" a="1"/>
  <c r="O322" i="1"/>
  <c r="B322" i="1" a="1"/>
  <c r="B322" i="1"/>
  <c r="O591" i="1" a="1"/>
  <c r="O591" i="1"/>
  <c r="B591" i="1" a="1"/>
  <c r="B591" i="1"/>
  <c r="O497" i="1" a="1"/>
  <c r="O497" i="1"/>
  <c r="B497" i="1" a="1"/>
  <c r="B497" i="1"/>
  <c r="O695" i="1" a="1"/>
  <c r="O695" i="1"/>
  <c r="B695" i="1" a="1"/>
  <c r="B695" i="1"/>
  <c r="O462" i="1" a="1"/>
  <c r="O462" i="1"/>
  <c r="B462" i="1" a="1"/>
  <c r="B462" i="1"/>
  <c r="O49" i="1" a="1"/>
  <c r="O49" i="1"/>
  <c r="B49" i="1" a="1"/>
  <c r="B49" i="1"/>
  <c r="O158" i="1" a="1"/>
  <c r="O158" i="1"/>
  <c r="B158" i="1" a="1"/>
  <c r="B158" i="1"/>
  <c r="O35" i="1" a="1"/>
  <c r="O35" i="1"/>
  <c r="B35" i="1" a="1"/>
  <c r="B35" i="1"/>
  <c r="O175" i="1" a="1"/>
  <c r="O175" i="1"/>
  <c r="B175" i="1" a="1"/>
  <c r="B175" i="1"/>
  <c r="O409" i="1" a="1"/>
  <c r="O409" i="1"/>
  <c r="B409" i="1" a="1"/>
  <c r="B409" i="1"/>
  <c r="O237" i="1" a="1"/>
  <c r="O237" i="1"/>
  <c r="B237" i="1" a="1"/>
  <c r="B237" i="1"/>
  <c r="O491" i="1" a="1"/>
  <c r="O491" i="1"/>
  <c r="B491" i="1" a="1"/>
  <c r="B491" i="1"/>
  <c r="O152" i="1" a="1"/>
  <c r="O152" i="1"/>
  <c r="B152" i="1" a="1"/>
  <c r="B152" i="1"/>
  <c r="O643" i="1" a="1"/>
  <c r="O643" i="1"/>
  <c r="B643" i="1" a="1"/>
  <c r="B643" i="1"/>
  <c r="O557" i="1" a="1"/>
  <c r="O557" i="1"/>
  <c r="B557" i="1" a="1"/>
  <c r="B557" i="1"/>
  <c r="O289" i="1" a="1"/>
  <c r="O289" i="1"/>
  <c r="B289" i="1" a="1"/>
  <c r="B289" i="1"/>
  <c r="O665" i="1" a="1"/>
  <c r="O665" i="1"/>
  <c r="B665" i="1" a="1"/>
  <c r="B665" i="1"/>
  <c r="O116" i="1" a="1"/>
  <c r="O116" i="1"/>
  <c r="B116" i="1" a="1"/>
  <c r="B116" i="1"/>
  <c r="O271" i="1" a="1"/>
  <c r="O271" i="1"/>
  <c r="B271" i="1" a="1"/>
  <c r="B271" i="1"/>
  <c r="O189" i="1" a="1"/>
  <c r="O189" i="1"/>
  <c r="B189" i="1" a="1"/>
  <c r="B189" i="1"/>
  <c r="O599" i="1" a="1"/>
  <c r="O599" i="1"/>
  <c r="B599" i="1" a="1"/>
  <c r="B599" i="1"/>
  <c r="O139" i="1" a="1"/>
  <c r="O139" i="1"/>
  <c r="B139" i="1" a="1"/>
  <c r="B139" i="1"/>
  <c r="B21" i="1" a="1"/>
  <c r="B21" i="1"/>
  <c r="O203" i="1" a="1"/>
  <c r="O203" i="1"/>
  <c r="B203" i="1" a="1"/>
  <c r="B203" i="1"/>
  <c r="O38" i="1" a="1"/>
  <c r="O38" i="1"/>
  <c r="B38" i="1" a="1"/>
  <c r="B38" i="1"/>
  <c r="O689" i="1" a="1"/>
  <c r="O689" i="1"/>
  <c r="B689" i="1" a="1"/>
  <c r="B689" i="1"/>
  <c r="O541" i="1" a="1"/>
  <c r="O541" i="1"/>
  <c r="B541" i="1" a="1"/>
  <c r="B541" i="1"/>
  <c r="O348" i="1" a="1"/>
  <c r="O348" i="1"/>
  <c r="B348" i="1" a="1"/>
  <c r="B348" i="1"/>
  <c r="O448" i="1" a="1"/>
  <c r="O448" i="1"/>
  <c r="B448" i="1" a="1"/>
  <c r="B448" i="1"/>
  <c r="O324" i="1" a="1"/>
  <c r="O324" i="1"/>
  <c r="B324" i="1" a="1"/>
  <c r="B324" i="1"/>
  <c r="O455" i="1" a="1"/>
  <c r="O455" i="1"/>
  <c r="B455" i="1" a="1"/>
  <c r="B455" i="1"/>
  <c r="O630" i="1" a="1"/>
  <c r="O630" i="1"/>
  <c r="B630" i="1" a="1"/>
  <c r="B630" i="1"/>
  <c r="O694" i="1" a="1"/>
  <c r="O694" i="1"/>
  <c r="B694" i="1" a="1"/>
  <c r="B694" i="1"/>
  <c r="O224" i="1" a="1"/>
  <c r="O224" i="1"/>
  <c r="B224" i="1" a="1"/>
  <c r="B224" i="1"/>
  <c r="O301" i="1" a="1"/>
  <c r="O301" i="1"/>
  <c r="B301" i="1" a="1"/>
  <c r="B301" i="1"/>
  <c r="O364" i="1" a="1"/>
  <c r="O364" i="1"/>
  <c r="B364" i="1" a="1"/>
  <c r="B364" i="1"/>
  <c r="O308" i="1" a="1"/>
  <c r="O308" i="1"/>
  <c r="B308" i="1" a="1"/>
  <c r="B308" i="1"/>
  <c r="O369" i="1" a="1"/>
  <c r="O369" i="1"/>
  <c r="B369" i="1" a="1"/>
  <c r="B369" i="1"/>
  <c r="O131" i="1" a="1"/>
  <c r="O131" i="1"/>
  <c r="B131" i="1" a="1"/>
  <c r="B131" i="1"/>
  <c r="O137" i="1" a="1"/>
  <c r="O137" i="1"/>
  <c r="B137" i="1" a="1"/>
  <c r="B137" i="1"/>
  <c r="O109" i="1" a="1"/>
  <c r="O109" i="1"/>
  <c r="B109" i="1" a="1"/>
  <c r="B109" i="1"/>
  <c r="O246" i="1" a="1"/>
  <c r="O246" i="1"/>
  <c r="B246" i="1" a="1"/>
  <c r="B246" i="1"/>
  <c r="O697" i="1" a="1"/>
  <c r="O697" i="1"/>
  <c r="B697" i="1" a="1"/>
  <c r="B697" i="1"/>
  <c r="O621" i="1" a="1"/>
  <c r="O621" i="1"/>
  <c r="B621" i="1" a="1"/>
  <c r="B621" i="1"/>
  <c r="O470" i="1" a="1"/>
  <c r="O470" i="1"/>
  <c r="B470" i="1" a="1"/>
  <c r="B470" i="1"/>
  <c r="O268" i="1" a="1"/>
  <c r="O268" i="1"/>
  <c r="B268" i="1" a="1"/>
  <c r="B268" i="1"/>
  <c r="B19" i="1" a="1"/>
  <c r="B19" i="1"/>
  <c r="O353" i="1" a="1"/>
  <c r="O353" i="1"/>
  <c r="B353" i="1" a="1"/>
  <c r="B353" i="1"/>
  <c r="O481" i="1" a="1"/>
  <c r="O481" i="1"/>
  <c r="B481" i="1" a="1"/>
  <c r="B481" i="1"/>
  <c r="O213" i="1" a="1"/>
  <c r="O213" i="1"/>
  <c r="B213" i="1" a="1"/>
  <c r="B213" i="1"/>
  <c r="O445" i="1" a="1"/>
  <c r="O445" i="1"/>
  <c r="B445" i="1" a="1"/>
  <c r="B445" i="1"/>
  <c r="O89" i="1" a="1"/>
  <c r="O89" i="1"/>
  <c r="B89" i="1" a="1"/>
  <c r="B89" i="1"/>
  <c r="O606" i="1" a="1"/>
  <c r="O606" i="1"/>
  <c r="B606" i="1" a="1"/>
  <c r="B606" i="1"/>
  <c r="O628" i="1" a="1"/>
  <c r="O628" i="1"/>
  <c r="B628" i="1" a="1"/>
  <c r="B628" i="1"/>
  <c r="O211" i="1" a="1"/>
  <c r="O211" i="1"/>
  <c r="B211" i="1" a="1"/>
  <c r="B211" i="1"/>
  <c r="O537" i="1" a="1"/>
  <c r="O537" i="1"/>
  <c r="B537" i="1" a="1"/>
  <c r="B537" i="1"/>
  <c r="O357" i="1" a="1"/>
  <c r="O357" i="1"/>
  <c r="B357" i="1" a="1"/>
  <c r="B357" i="1"/>
  <c r="O71" i="1" a="1"/>
  <c r="O71" i="1"/>
  <c r="B71" i="1" a="1"/>
  <c r="B71" i="1"/>
  <c r="O406" i="1" a="1"/>
  <c r="O406" i="1"/>
  <c r="B406" i="1" a="1"/>
  <c r="B406" i="1"/>
  <c r="O254" i="1" a="1"/>
  <c r="O254" i="1"/>
  <c r="B254" i="1" a="1"/>
  <c r="B254" i="1"/>
  <c r="O245" i="1" a="1"/>
  <c r="O245" i="1"/>
  <c r="B245" i="1" a="1"/>
  <c r="B245" i="1"/>
  <c r="O389" i="1" a="1"/>
  <c r="O389" i="1"/>
  <c r="B389" i="1" a="1"/>
  <c r="B389" i="1"/>
  <c r="O113" i="1" a="1"/>
  <c r="O113" i="1"/>
  <c r="B113" i="1" a="1"/>
  <c r="B113" i="1"/>
  <c r="O560" i="1" a="1"/>
  <c r="O560" i="1"/>
  <c r="B560" i="1" a="1"/>
  <c r="B560" i="1"/>
  <c r="O111" i="1" a="1"/>
  <c r="O111" i="1"/>
  <c r="B111" i="1" a="1"/>
  <c r="B111" i="1"/>
  <c r="O125" i="1" a="1"/>
  <c r="O125" i="1"/>
  <c r="B125" i="1" a="1"/>
  <c r="B125" i="1"/>
  <c r="B6" i="1" a="1"/>
  <c r="B6" i="1"/>
  <c r="B16" i="1" a="1"/>
  <c r="B16" i="1"/>
  <c r="B8" i="1" a="1"/>
  <c r="B8" i="1"/>
  <c r="O385" i="1" a="1"/>
  <c r="O385" i="1"/>
  <c r="B385" i="1" a="1"/>
  <c r="B385" i="1"/>
  <c r="O407" i="1" a="1"/>
  <c r="O407" i="1"/>
  <c r="B407" i="1" a="1"/>
  <c r="B407" i="1"/>
  <c r="O144" i="1" a="1"/>
  <c r="O144" i="1"/>
  <c r="B144" i="1" a="1"/>
  <c r="B144" i="1"/>
  <c r="O193" i="1" a="1"/>
  <c r="O193" i="1"/>
  <c r="B193" i="1" a="1"/>
  <c r="B193" i="1"/>
  <c r="O516" i="1" a="1"/>
  <c r="O516" i="1"/>
  <c r="B516" i="1" a="1"/>
  <c r="B516" i="1"/>
  <c r="O395" i="1" a="1"/>
  <c r="O395" i="1"/>
  <c r="B395" i="1" a="1"/>
  <c r="B395" i="1"/>
  <c r="O484" i="1" a="1"/>
  <c r="O484" i="1"/>
  <c r="B484" i="1" a="1"/>
  <c r="B484" i="1"/>
  <c r="O629" i="1" a="1"/>
  <c r="O629" i="1"/>
  <c r="B629" i="1" a="1"/>
  <c r="B629" i="1"/>
  <c r="O479" i="1" a="1"/>
  <c r="O479" i="1"/>
  <c r="B479" i="1" a="1"/>
  <c r="B479" i="1"/>
  <c r="O135" i="1" a="1"/>
  <c r="O135" i="1"/>
  <c r="B135" i="1" a="1"/>
  <c r="B135" i="1"/>
  <c r="O494" i="1" a="1"/>
  <c r="O494" i="1"/>
  <c r="B494" i="1" a="1"/>
  <c r="B494" i="1"/>
  <c r="O37" i="1" a="1"/>
  <c r="O37" i="1"/>
  <c r="B37" i="1" a="1"/>
  <c r="B37" i="1"/>
  <c r="O532" i="1" a="1"/>
  <c r="O532" i="1"/>
  <c r="B532" i="1" a="1"/>
  <c r="B532" i="1"/>
  <c r="O540" i="1" a="1"/>
  <c r="O540" i="1"/>
  <c r="B540" i="1" a="1"/>
  <c r="B540" i="1"/>
  <c r="O501" i="1" a="1"/>
  <c r="O501" i="1"/>
  <c r="B501" i="1" a="1"/>
  <c r="B501" i="1"/>
  <c r="O567" i="1" a="1"/>
  <c r="O567" i="1"/>
  <c r="B567" i="1" a="1"/>
  <c r="B567" i="1"/>
  <c r="O328" i="1" a="1"/>
  <c r="O328" i="1"/>
  <c r="B328" i="1" a="1"/>
  <c r="B328" i="1"/>
  <c r="O603" i="1" a="1"/>
  <c r="O603" i="1"/>
  <c r="B603" i="1" a="1"/>
  <c r="B603" i="1"/>
  <c r="O258" i="1" a="1"/>
  <c r="O258" i="1"/>
  <c r="B258" i="1" a="1"/>
  <c r="B258" i="1"/>
  <c r="O255" i="1" a="1"/>
  <c r="O255" i="1"/>
  <c r="B255" i="1" a="1"/>
  <c r="B255" i="1"/>
  <c r="O424" i="1" a="1"/>
  <c r="O424" i="1"/>
  <c r="B424" i="1" a="1"/>
  <c r="B424" i="1"/>
  <c r="O619" i="1" a="1"/>
  <c r="O619" i="1"/>
  <c r="B619" i="1" a="1"/>
  <c r="B619" i="1"/>
  <c r="O624" i="1" a="1"/>
  <c r="O624" i="1"/>
  <c r="B624" i="1" a="1"/>
  <c r="B624" i="1"/>
  <c r="O419" i="1" a="1"/>
  <c r="O419" i="1"/>
  <c r="B419" i="1" a="1"/>
  <c r="B419" i="1"/>
  <c r="O429" i="1" a="1"/>
  <c r="O429" i="1"/>
  <c r="B429" i="1" a="1"/>
  <c r="B429" i="1"/>
  <c r="O79" i="1" a="1"/>
  <c r="O79" i="1"/>
  <c r="B79" i="1" a="1"/>
  <c r="B79" i="1"/>
  <c r="O548" i="1" a="1"/>
  <c r="O548" i="1"/>
  <c r="B548" i="1" a="1"/>
  <c r="B548" i="1"/>
  <c r="O52" i="1" a="1"/>
  <c r="O52" i="1"/>
  <c r="B52" i="1" a="1"/>
  <c r="B52" i="1"/>
  <c r="O128" i="1" a="1"/>
  <c r="O128" i="1"/>
  <c r="B128" i="1" a="1"/>
  <c r="B128" i="1"/>
  <c r="O528" i="1" a="1"/>
  <c r="O528" i="1"/>
  <c r="B528" i="1" a="1"/>
  <c r="B528" i="1"/>
  <c r="O641" i="1" a="1"/>
  <c r="O641" i="1"/>
  <c r="B641" i="1" a="1"/>
  <c r="B641" i="1"/>
  <c r="O300" i="1" a="1"/>
  <c r="O300" i="1"/>
  <c r="B300" i="1" a="1"/>
  <c r="B300" i="1"/>
  <c r="O426" i="1" a="1"/>
  <c r="O426" i="1"/>
  <c r="B426" i="1" a="1"/>
  <c r="B426" i="1"/>
  <c r="O589" i="1" a="1"/>
  <c r="O589" i="1"/>
  <c r="B589" i="1" a="1"/>
  <c r="B589" i="1"/>
  <c r="O336" i="1" a="1"/>
  <c r="O336" i="1"/>
  <c r="B336" i="1" a="1"/>
  <c r="B336" i="1"/>
  <c r="O522" i="1" a="1"/>
  <c r="O522" i="1"/>
  <c r="B522" i="1" a="1"/>
  <c r="B522" i="1"/>
  <c r="O235" i="1" a="1"/>
  <c r="O235" i="1"/>
  <c r="B235" i="1" a="1"/>
  <c r="B235" i="1"/>
  <c r="O42" i="1" a="1"/>
  <c r="O42" i="1"/>
  <c r="B42" i="1" a="1"/>
  <c r="B42" i="1"/>
  <c r="O618" i="1" a="1"/>
  <c r="O618" i="1"/>
  <c r="B618" i="1" a="1"/>
  <c r="B618" i="1"/>
  <c r="O360" i="1" a="1"/>
  <c r="O360" i="1"/>
  <c r="B360" i="1" a="1"/>
  <c r="B360" i="1"/>
  <c r="O241" i="1" a="1"/>
  <c r="O241" i="1"/>
  <c r="B241" i="1" a="1"/>
  <c r="B241" i="1"/>
  <c r="O504" i="1" a="1"/>
  <c r="O504" i="1"/>
  <c r="B504" i="1" a="1"/>
  <c r="B504" i="1"/>
  <c r="B15" i="1" a="1"/>
  <c r="B15" i="1"/>
  <c r="O660" i="1" a="1"/>
  <c r="O660" i="1"/>
  <c r="B660" i="1" a="1"/>
  <c r="B660" i="1"/>
  <c r="O361" i="1" a="1"/>
  <c r="O361" i="1"/>
  <c r="B361" i="1" a="1"/>
  <c r="B361" i="1"/>
  <c r="O327" i="1" a="1"/>
  <c r="O327" i="1"/>
  <c r="B327" i="1" a="1"/>
  <c r="B327" i="1"/>
  <c r="O162" i="1" a="1"/>
  <c r="O162" i="1"/>
  <c r="B162" i="1" a="1"/>
  <c r="B162" i="1"/>
  <c r="O559" i="1" a="1"/>
  <c r="O559" i="1"/>
  <c r="B559" i="1" a="1"/>
  <c r="B559" i="1"/>
  <c r="O145" i="1" a="1"/>
  <c r="O145" i="1"/>
  <c r="B145" i="1" a="1"/>
  <c r="B145" i="1"/>
  <c r="O33" i="1" a="1"/>
  <c r="O33" i="1"/>
  <c r="B33" i="1" a="1"/>
  <c r="B33" i="1"/>
  <c r="B7" i="1" a="1"/>
  <c r="B7" i="1"/>
  <c r="O141" i="1" a="1"/>
  <c r="O141" i="1"/>
  <c r="B141" i="1" a="1"/>
  <c r="B141" i="1"/>
  <c r="B20" i="1" a="1"/>
  <c r="B20" i="1"/>
  <c r="O148" i="1" a="1"/>
  <c r="O148" i="1"/>
  <c r="B148" i="1" a="1"/>
  <c r="B148" i="1"/>
  <c r="O129" i="1" a="1"/>
  <c r="O129" i="1"/>
  <c r="B129" i="1" a="1"/>
  <c r="B129" i="1"/>
  <c r="O515" i="1" a="1"/>
  <c r="O515" i="1"/>
  <c r="B515" i="1" a="1"/>
  <c r="B515" i="1"/>
  <c r="O401" i="1" a="1"/>
  <c r="O401" i="1"/>
  <c r="B401" i="1" a="1"/>
  <c r="B401" i="1"/>
  <c r="O590" i="1" a="1"/>
  <c r="O590" i="1"/>
  <c r="B590" i="1" a="1"/>
  <c r="B590" i="1"/>
  <c r="O525" i="1" a="1"/>
  <c r="O525" i="1"/>
  <c r="B525" i="1" a="1"/>
  <c r="B525" i="1"/>
  <c r="O218" i="1" a="1"/>
  <c r="O218" i="1"/>
  <c r="B218" i="1" a="1"/>
  <c r="B218" i="1"/>
  <c r="O93" i="1" a="1"/>
  <c r="O93" i="1"/>
  <c r="B93" i="1" a="1"/>
  <c r="B93" i="1"/>
  <c r="O451" i="1" a="1"/>
  <c r="O451" i="1"/>
  <c r="B451" i="1" a="1"/>
  <c r="B451" i="1"/>
  <c r="O546" i="1" a="1"/>
  <c r="O546" i="1"/>
  <c r="B546" i="1" a="1"/>
  <c r="B546" i="1"/>
  <c r="O345" i="1" a="1"/>
  <c r="O345" i="1"/>
  <c r="B345" i="1" a="1"/>
  <c r="B345" i="1"/>
  <c r="O161" i="1" a="1"/>
  <c r="O161" i="1"/>
  <c r="B161" i="1" a="1"/>
  <c r="B161" i="1"/>
  <c r="O103" i="1" a="1"/>
  <c r="O103" i="1"/>
  <c r="B103" i="1" a="1"/>
  <c r="B103" i="1"/>
  <c r="O299" i="1" a="1"/>
  <c r="O299" i="1"/>
  <c r="B299" i="1" a="1"/>
  <c r="B299" i="1"/>
  <c r="B14" i="1" a="1"/>
  <c r="B14" i="1"/>
  <c r="O279" i="1" a="1"/>
  <c r="O279" i="1"/>
  <c r="B279" i="1" a="1"/>
  <c r="B279" i="1"/>
  <c r="O312" i="1" a="1"/>
  <c r="O312" i="1"/>
  <c r="B312" i="1" a="1"/>
  <c r="B312" i="1"/>
  <c r="O269" i="1" a="1"/>
  <c r="O269" i="1"/>
  <c r="B269" i="1" a="1"/>
  <c r="B269" i="1"/>
  <c r="O438" i="1" a="1"/>
  <c r="O438" i="1"/>
  <c r="B438" i="1" a="1"/>
  <c r="B438" i="1"/>
  <c r="O496" i="1" a="1"/>
  <c r="O496" i="1"/>
  <c r="B496" i="1" a="1"/>
  <c r="B496" i="1"/>
  <c r="O587" i="1" a="1"/>
  <c r="O587" i="1"/>
  <c r="B587" i="1" a="1"/>
  <c r="B587" i="1"/>
  <c r="O636" i="1" a="1"/>
  <c r="O636" i="1"/>
  <c r="B636" i="1" a="1"/>
  <c r="B636" i="1"/>
  <c r="O112" i="1" a="1"/>
  <c r="O112" i="1"/>
  <c r="B112" i="1" a="1"/>
  <c r="B112" i="1"/>
  <c r="O191" i="1" a="1"/>
  <c r="O191" i="1"/>
  <c r="B191" i="1" a="1"/>
  <c r="B191" i="1"/>
  <c r="O215" i="1" a="1"/>
  <c r="O215" i="1"/>
  <c r="B215" i="1" a="1"/>
  <c r="B215" i="1"/>
  <c r="O68" i="1" a="1"/>
  <c r="O68" i="1"/>
  <c r="B68" i="1" a="1"/>
  <c r="B68" i="1"/>
  <c r="O474" i="1" a="1"/>
  <c r="O474" i="1"/>
  <c r="B474" i="1" a="1"/>
  <c r="B474" i="1"/>
  <c r="O261" i="1" a="1"/>
  <c r="O261" i="1"/>
  <c r="B261" i="1" a="1"/>
  <c r="B261" i="1"/>
  <c r="O67" i="1" a="1"/>
  <c r="O67" i="1"/>
  <c r="B67" i="1" a="1"/>
  <c r="B67" i="1"/>
  <c r="O28" i="1" a="1"/>
  <c r="O28" i="1"/>
  <c r="B28" i="1" a="1"/>
  <c r="B28" i="1"/>
  <c r="O449" i="1" a="1"/>
  <c r="O449" i="1"/>
  <c r="B449" i="1" a="1"/>
  <c r="B449" i="1"/>
  <c r="O309" i="1" a="1"/>
  <c r="O309" i="1"/>
  <c r="B309" i="1" a="1"/>
  <c r="B309" i="1"/>
  <c r="B5" i="1" a="1"/>
  <c r="B5" i="1"/>
  <c r="O482" i="1" a="1"/>
  <c r="O482" i="1"/>
  <c r="B482" i="1" a="1"/>
  <c r="B482" i="1"/>
  <c r="O163" i="1" a="1"/>
  <c r="O163" i="1"/>
  <c r="B163" i="1" a="1"/>
  <c r="B163" i="1"/>
  <c r="O580" i="1" a="1"/>
  <c r="O580" i="1"/>
  <c r="B580" i="1" a="1"/>
  <c r="B580" i="1"/>
  <c r="O51" i="1" a="1"/>
  <c r="O51" i="1"/>
  <c r="B51" i="1" a="1"/>
  <c r="B51" i="1"/>
  <c r="O521" i="1" a="1"/>
  <c r="O521" i="1"/>
  <c r="B521" i="1" a="1"/>
  <c r="B521" i="1"/>
  <c r="O120" i="1" a="1"/>
  <c r="O120" i="1"/>
  <c r="B120" i="1" a="1"/>
  <c r="B120" i="1"/>
  <c r="O197" i="1" a="1"/>
  <c r="O197" i="1"/>
  <c r="B197" i="1" a="1"/>
  <c r="B197" i="1"/>
  <c r="O471" i="1" a="1"/>
  <c r="O471" i="1"/>
  <c r="B471" i="1" a="1"/>
  <c r="B471" i="1"/>
  <c r="O638" i="1" a="1"/>
  <c r="O638" i="1"/>
  <c r="B638" i="1" a="1"/>
  <c r="B638" i="1"/>
  <c r="O249" i="1" a="1"/>
  <c r="O249" i="1"/>
  <c r="B249" i="1" a="1"/>
  <c r="B249" i="1"/>
  <c r="O104" i="1" a="1"/>
  <c r="O104" i="1"/>
  <c r="B104" i="1" a="1"/>
  <c r="B104" i="1"/>
  <c r="O391" i="1" a="1"/>
  <c r="O391" i="1"/>
  <c r="B391" i="1" a="1"/>
  <c r="B391" i="1"/>
  <c r="O425" i="1" a="1"/>
  <c r="O425" i="1"/>
  <c r="B425" i="1" a="1"/>
  <c r="B425" i="1"/>
  <c r="O519" i="1" a="1"/>
  <c r="O519" i="1"/>
  <c r="B519" i="1" a="1"/>
  <c r="B519" i="1"/>
  <c r="O244" i="1" a="1"/>
  <c r="O244" i="1"/>
  <c r="B244" i="1" a="1"/>
  <c r="B244" i="1"/>
  <c r="O682" i="1" a="1"/>
  <c r="O682" i="1"/>
  <c r="B682" i="1" a="1"/>
  <c r="B682" i="1"/>
  <c r="O204" i="1" a="1"/>
  <c r="O204" i="1"/>
  <c r="B204" i="1" a="1"/>
  <c r="B204" i="1"/>
  <c r="O465" i="1" a="1"/>
  <c r="O465" i="1"/>
  <c r="B465" i="1" a="1"/>
  <c r="B465" i="1"/>
  <c r="O609" i="1" a="1"/>
  <c r="O609" i="1"/>
  <c r="B609" i="1" a="1"/>
  <c r="B609" i="1"/>
  <c r="O87" i="1" a="1"/>
  <c r="O87" i="1"/>
  <c r="B87" i="1" a="1"/>
  <c r="B87" i="1"/>
  <c r="O188" i="1" a="1"/>
  <c r="O188" i="1"/>
  <c r="B188" i="1" a="1"/>
  <c r="B188" i="1"/>
  <c r="O667" i="1" a="1"/>
  <c r="O667" i="1"/>
  <c r="B667" i="1" a="1"/>
  <c r="B667" i="1"/>
  <c r="O171" i="1" a="1"/>
  <c r="O171" i="1"/>
  <c r="B171" i="1" a="1"/>
  <c r="B171" i="1"/>
  <c r="O160" i="1" a="1"/>
  <c r="O160" i="1"/>
  <c r="B160" i="1" a="1"/>
  <c r="B160" i="1"/>
  <c r="O55" i="1" a="1"/>
  <c r="O55" i="1"/>
  <c r="B55" i="1" a="1"/>
  <c r="B55" i="1"/>
  <c r="O315" i="1" a="1"/>
  <c r="O315" i="1"/>
  <c r="B315" i="1" a="1"/>
  <c r="B315" i="1"/>
  <c r="O260" i="1" a="1"/>
  <c r="O260" i="1"/>
  <c r="B260" i="1" a="1"/>
  <c r="B260" i="1"/>
  <c r="O214" i="1" a="1"/>
  <c r="O214" i="1"/>
  <c r="B214" i="1" a="1"/>
  <c r="B214" i="1"/>
  <c r="O97" i="1" a="1"/>
  <c r="O97" i="1"/>
  <c r="B97" i="1" a="1"/>
  <c r="B97" i="1"/>
  <c r="O648" i="1" a="1"/>
  <c r="O648" i="1"/>
  <c r="B648" i="1" a="1"/>
  <c r="B648" i="1"/>
  <c r="O578" i="1" a="1"/>
  <c r="O578" i="1"/>
  <c r="B578" i="1" a="1"/>
  <c r="B578" i="1"/>
  <c r="O136" i="1" a="1"/>
  <c r="O136" i="1"/>
  <c r="B136" i="1" a="1"/>
  <c r="B136" i="1"/>
  <c r="O415" i="1" a="1"/>
  <c r="O415" i="1"/>
  <c r="B415" i="1" a="1"/>
  <c r="B415" i="1"/>
  <c r="O402" i="1" a="1"/>
  <c r="O402" i="1"/>
  <c r="B402" i="1" a="1"/>
  <c r="B402" i="1"/>
  <c r="O157" i="1" a="1"/>
  <c r="O157" i="1"/>
  <c r="B157" i="1" a="1"/>
  <c r="B157" i="1"/>
  <c r="O434" i="1" a="1"/>
  <c r="O434" i="1"/>
  <c r="B434" i="1" a="1"/>
  <c r="B434" i="1"/>
  <c r="O166" i="1" a="1"/>
  <c r="O166" i="1"/>
  <c r="B166" i="1" a="1"/>
  <c r="B166" i="1"/>
  <c r="O65" i="1" a="1"/>
  <c r="O65" i="1"/>
  <c r="B65" i="1" a="1"/>
  <c r="B65" i="1"/>
  <c r="O610" i="1" a="1"/>
  <c r="O610" i="1"/>
  <c r="B610" i="1" a="1"/>
  <c r="B610" i="1"/>
  <c r="O337" i="1" a="1"/>
  <c r="O337" i="1"/>
  <c r="B337" i="1" a="1"/>
  <c r="B337" i="1"/>
  <c r="O341" i="1" a="1"/>
  <c r="O341" i="1"/>
  <c r="B341" i="1" a="1"/>
  <c r="B341" i="1"/>
  <c r="O358" i="1" a="1"/>
  <c r="O358" i="1"/>
  <c r="B358" i="1" a="1"/>
  <c r="B358" i="1"/>
  <c r="O632" i="1" a="1"/>
  <c r="O632" i="1"/>
  <c r="B632" i="1" a="1"/>
  <c r="B632" i="1"/>
  <c r="O222" i="1" a="1"/>
  <c r="O222" i="1"/>
  <c r="B222" i="1" a="1"/>
  <c r="B222" i="1"/>
  <c r="O44" i="1" a="1"/>
  <c r="O44" i="1"/>
  <c r="B44" i="1" a="1"/>
  <c r="B44" i="1"/>
  <c r="O584" i="1" a="1"/>
  <c r="O584" i="1"/>
  <c r="B584" i="1" a="1"/>
  <c r="B584" i="1"/>
  <c r="O311" i="1" a="1"/>
  <c r="O311" i="1"/>
  <c r="B311" i="1" a="1"/>
  <c r="B311" i="1"/>
  <c r="O91" i="1" a="1"/>
  <c r="O91" i="1"/>
  <c r="B91" i="1" a="1"/>
  <c r="B91" i="1"/>
  <c r="O206" i="1" a="1"/>
  <c r="O206" i="1"/>
  <c r="B206" i="1" a="1"/>
  <c r="B206" i="1"/>
  <c r="O563" i="1" a="1"/>
  <c r="O563" i="1"/>
  <c r="B563" i="1" a="1"/>
  <c r="B563" i="1"/>
  <c r="O518" i="1" a="1"/>
  <c r="O518" i="1"/>
  <c r="B518" i="1" a="1"/>
  <c r="B518" i="1"/>
  <c r="O634" i="1" a="1"/>
  <c r="O634" i="1"/>
  <c r="B634" i="1" a="1"/>
  <c r="B634" i="1"/>
  <c r="O119" i="1" a="1"/>
  <c r="O119" i="1"/>
  <c r="B119" i="1" a="1"/>
  <c r="B119" i="1"/>
  <c r="O418" i="1" a="1"/>
  <c r="O418" i="1"/>
  <c r="B418" i="1" a="1"/>
  <c r="B418" i="1"/>
  <c r="O577" i="1" a="1"/>
  <c r="O577" i="1"/>
  <c r="B577" i="1" a="1"/>
  <c r="B577" i="1"/>
  <c r="O693" i="1" a="1"/>
  <c r="O693" i="1"/>
  <c r="B693" i="1" a="1"/>
  <c r="B693" i="1"/>
  <c r="O526" i="1" a="1"/>
  <c r="O526" i="1"/>
  <c r="B526" i="1" a="1"/>
  <c r="B526" i="1"/>
  <c r="O633" i="1" a="1"/>
  <c r="O633" i="1"/>
  <c r="B633" i="1" a="1"/>
  <c r="B633" i="1"/>
  <c r="O27" i="1" a="1"/>
  <c r="O27" i="1"/>
  <c r="B27" i="1" a="1"/>
  <c r="B27" i="1"/>
  <c r="O475" i="1" a="1"/>
  <c r="O475" i="1"/>
  <c r="B475" i="1" a="1"/>
  <c r="B475" i="1"/>
  <c r="O543" i="1" a="1"/>
  <c r="O543" i="1"/>
  <c r="B543" i="1" a="1"/>
  <c r="B543" i="1"/>
  <c r="O485" i="1" a="1"/>
  <c r="O485" i="1"/>
  <c r="B485" i="1" a="1"/>
  <c r="B485" i="1"/>
  <c r="O25" i="1" a="1"/>
  <c r="O25" i="1"/>
  <c r="B25" i="1" a="1"/>
  <c r="B25" i="1"/>
  <c r="O669" i="1" a="1"/>
  <c r="O669" i="1"/>
  <c r="B669" i="1" a="1"/>
  <c r="B669" i="1"/>
  <c r="O550" i="1" a="1"/>
  <c r="O550" i="1"/>
  <c r="B550" i="1" a="1"/>
  <c r="B550" i="1"/>
  <c r="O654" i="1" a="1"/>
  <c r="O654" i="1"/>
  <c r="B654" i="1" a="1"/>
  <c r="B654" i="1"/>
  <c r="O134" i="1" a="1"/>
  <c r="O134" i="1"/>
  <c r="B134" i="1" a="1"/>
  <c r="B134" i="1"/>
  <c r="O217" i="1" a="1"/>
  <c r="O217" i="1"/>
  <c r="B217" i="1" a="1"/>
  <c r="B217" i="1"/>
  <c r="O565" i="1" a="1"/>
  <c r="O565" i="1"/>
  <c r="B565" i="1" a="1"/>
  <c r="B565" i="1"/>
  <c r="O561" i="1" a="1"/>
  <c r="O561" i="1"/>
  <c r="B561" i="1" a="1"/>
  <c r="B561" i="1"/>
  <c r="O108" i="1" a="1"/>
  <c r="O108" i="1"/>
  <c r="B108" i="1" a="1"/>
  <c r="B108" i="1"/>
  <c r="O100" i="1" a="1"/>
  <c r="O100" i="1"/>
  <c r="B100" i="1" a="1"/>
  <c r="B100" i="1"/>
  <c r="O295" i="1" a="1"/>
  <c r="O295" i="1"/>
  <c r="B295" i="1" a="1"/>
  <c r="B295" i="1"/>
  <c r="O626" i="1" a="1"/>
  <c r="O626" i="1"/>
  <c r="B626" i="1" a="1"/>
  <c r="B626" i="1"/>
  <c r="O545" i="1" a="1"/>
  <c r="O545" i="1"/>
  <c r="B545" i="1" a="1"/>
  <c r="B545" i="1"/>
  <c r="O285" i="1" a="1"/>
  <c r="O285" i="1"/>
  <c r="B285" i="1" a="1"/>
  <c r="B285" i="1"/>
  <c r="O115" i="1" a="1"/>
  <c r="O115" i="1"/>
  <c r="B115" i="1" a="1"/>
  <c r="B115" i="1"/>
  <c r="O506" i="1" a="1"/>
  <c r="O506" i="1"/>
  <c r="B506" i="1" a="1"/>
  <c r="B506" i="1"/>
  <c r="O692" i="1" a="1"/>
  <c r="O692" i="1"/>
  <c r="B692" i="1" a="1"/>
  <c r="B692" i="1"/>
  <c r="O283" i="1" a="1"/>
  <c r="O283" i="1"/>
  <c r="B283" i="1" a="1"/>
  <c r="B283" i="1"/>
  <c r="O450" i="1" a="1"/>
  <c r="O450" i="1"/>
  <c r="B450" i="1" a="1"/>
  <c r="B450" i="1"/>
  <c r="O468" i="1" a="1"/>
  <c r="O468" i="1"/>
  <c r="B468" i="1" a="1"/>
  <c r="B468" i="1"/>
  <c r="O363" i="1" a="1"/>
  <c r="O363" i="1"/>
  <c r="B363" i="1" a="1"/>
  <c r="B363" i="1"/>
  <c r="O201" i="1" a="1"/>
  <c r="O201" i="1"/>
  <c r="B201" i="1" a="1"/>
  <c r="B201" i="1"/>
  <c r="O573" i="1" a="1"/>
  <c r="O573" i="1"/>
  <c r="B573" i="1" a="1"/>
  <c r="B573" i="1"/>
  <c r="O216" i="1" a="1"/>
  <c r="O216" i="1"/>
  <c r="B216" i="1" a="1"/>
  <c r="B216" i="1"/>
  <c r="O622" i="1" a="1"/>
  <c r="O622" i="1"/>
  <c r="B622" i="1" a="1"/>
  <c r="B622" i="1"/>
  <c r="O60" i="1" a="1"/>
  <c r="O60" i="1"/>
  <c r="B60" i="1" a="1"/>
  <c r="B60" i="1"/>
  <c r="O64" i="1" a="1"/>
  <c r="O64" i="1"/>
  <c r="B64" i="1" a="1"/>
  <c r="B64" i="1"/>
  <c r="O181" i="1" a="1"/>
  <c r="O181" i="1"/>
  <c r="B181" i="1" a="1"/>
  <c r="B181" i="1"/>
  <c r="O529" i="1" a="1"/>
  <c r="O529" i="1"/>
  <c r="B529" i="1" a="1"/>
  <c r="B529" i="1"/>
  <c r="O48" i="1" a="1"/>
  <c r="O48" i="1"/>
  <c r="B48" i="1" a="1"/>
  <c r="B48" i="1"/>
  <c r="O58" i="1" a="1"/>
  <c r="O58" i="1"/>
  <c r="B58" i="1" a="1"/>
  <c r="B58" i="1"/>
  <c r="O463" i="1" a="1"/>
  <c r="O463" i="1"/>
  <c r="B463" i="1" a="1"/>
  <c r="B463" i="1"/>
  <c r="O170" i="1" a="1"/>
  <c r="O170" i="1"/>
  <c r="B170" i="1" a="1"/>
  <c r="B170" i="1"/>
  <c r="O226" i="1" a="1"/>
  <c r="O226" i="1"/>
  <c r="B226" i="1" a="1"/>
  <c r="B226" i="1"/>
  <c r="O436" i="1" a="1"/>
  <c r="O436" i="1"/>
  <c r="B436" i="1" a="1"/>
  <c r="B436" i="1"/>
  <c r="O460" i="1" a="1"/>
  <c r="O460" i="1"/>
  <c r="B460" i="1" a="1"/>
  <c r="B460" i="1"/>
  <c r="O422" i="1" a="1"/>
  <c r="O422" i="1"/>
  <c r="B422" i="1" a="1"/>
  <c r="B422" i="1"/>
  <c r="O593" i="1" a="1"/>
  <c r="O593" i="1"/>
  <c r="B593" i="1" a="1"/>
  <c r="B593" i="1"/>
  <c r="O581" i="1" a="1"/>
  <c r="O581" i="1"/>
  <c r="B581" i="1" a="1"/>
  <c r="B581" i="1"/>
  <c r="O248" i="1" a="1"/>
  <c r="O248" i="1"/>
  <c r="B248" i="1" a="1"/>
  <c r="B248" i="1"/>
  <c r="O614" i="1" a="1"/>
  <c r="O614" i="1"/>
  <c r="B614" i="1" a="1"/>
  <c r="B614" i="1"/>
  <c r="O672" i="1" a="1"/>
  <c r="O672" i="1"/>
  <c r="B672" i="1" a="1"/>
  <c r="B672" i="1"/>
  <c r="O452" i="1" a="1"/>
  <c r="O452" i="1"/>
  <c r="B452" i="1" a="1"/>
  <c r="B452" i="1"/>
  <c r="O467" i="1" a="1"/>
  <c r="O467" i="1"/>
  <c r="B467" i="1" a="1"/>
  <c r="B467" i="1"/>
  <c r="O168" i="1" a="1"/>
  <c r="O168" i="1"/>
  <c r="B168" i="1" a="1"/>
  <c r="B168" i="1"/>
  <c r="O334" i="1" a="1"/>
  <c r="O334" i="1"/>
  <c r="B334" i="1" a="1"/>
  <c r="B334" i="1"/>
  <c r="O69" i="1" a="1"/>
  <c r="O69" i="1"/>
  <c r="B69" i="1" a="1"/>
  <c r="B69" i="1"/>
  <c r="O650" i="1" a="1"/>
  <c r="O650" i="1"/>
  <c r="B650" i="1" a="1"/>
  <c r="B650" i="1"/>
  <c r="O256" i="1" a="1"/>
  <c r="O256" i="1"/>
  <c r="B256" i="1" a="1"/>
  <c r="B256" i="1"/>
  <c r="O57" i="1" a="1"/>
  <c r="O57" i="1"/>
  <c r="B57" i="1" a="1"/>
  <c r="B57" i="1"/>
  <c r="O653" i="1" a="1"/>
  <c r="O653" i="1"/>
  <c r="B653" i="1" a="1"/>
  <c r="B653" i="1"/>
  <c r="O595" i="1" a="1"/>
  <c r="O595" i="1"/>
  <c r="B595" i="1" a="1"/>
  <c r="B595" i="1"/>
  <c r="O524" i="1" a="1"/>
  <c r="O524" i="1"/>
  <c r="B524" i="1" a="1"/>
  <c r="B524" i="1"/>
  <c r="O210" i="1" a="1"/>
  <c r="O210" i="1"/>
  <c r="B210" i="1" a="1"/>
  <c r="B210" i="1"/>
  <c r="O56" i="1" a="1"/>
  <c r="O56" i="1"/>
  <c r="O90" i="1" a="1"/>
  <c r="O90" i="1"/>
  <c r="B90" i="1" a="1"/>
  <c r="B90" i="1"/>
  <c r="O344" i="1" a="1"/>
  <c r="O344" i="1"/>
  <c r="B344" i="1" a="1"/>
  <c r="B344" i="1"/>
  <c r="O194" i="1" a="1"/>
  <c r="O194" i="1"/>
  <c r="B194" i="1" a="1"/>
  <c r="B194" i="1"/>
  <c r="O229" i="1" a="1"/>
  <c r="O229" i="1"/>
  <c r="B229" i="1" a="1"/>
  <c r="B229" i="1"/>
  <c r="O121" i="1" a="1"/>
  <c r="O121" i="1"/>
  <c r="B121" i="1" a="1"/>
  <c r="B121" i="1"/>
  <c r="O414" i="1" a="1"/>
  <c r="O414" i="1"/>
  <c r="B414" i="1" a="1"/>
  <c r="B414" i="1"/>
  <c r="O453" i="1" a="1"/>
  <c r="O453" i="1"/>
  <c r="B453" i="1" a="1"/>
  <c r="B453" i="1"/>
  <c r="O212" i="1" a="1"/>
  <c r="O212" i="1"/>
  <c r="B212" i="1" a="1"/>
  <c r="B212" i="1"/>
  <c r="O647" i="1" a="1"/>
  <c r="O647" i="1"/>
  <c r="B647" i="1" a="1"/>
  <c r="B647" i="1"/>
  <c r="O433" i="1" a="1"/>
  <c r="O433" i="1"/>
  <c r="B433" i="1" a="1"/>
  <c r="B433" i="1"/>
  <c r="O242" i="1" a="1"/>
  <c r="O242" i="1"/>
  <c r="B242" i="1" a="1"/>
  <c r="B242" i="1"/>
  <c r="O663" i="1" a="1"/>
  <c r="O663" i="1"/>
  <c r="B663" i="1" a="1"/>
  <c r="B663" i="1"/>
  <c r="O534" i="1" a="1"/>
  <c r="O534" i="1"/>
  <c r="B534" i="1" a="1"/>
  <c r="B534" i="1"/>
  <c r="O428" i="1" a="1"/>
  <c r="O428" i="1"/>
  <c r="B428" i="1" a="1"/>
  <c r="B428" i="1"/>
  <c r="O513" i="1" a="1"/>
  <c r="O513" i="1"/>
  <c r="B513" i="1" a="1"/>
  <c r="B513" i="1"/>
  <c r="O342" i="1" a="1"/>
  <c r="O342" i="1"/>
  <c r="B342" i="1" a="1"/>
  <c r="B342" i="1"/>
  <c r="O233" i="1" a="1"/>
  <c r="O233" i="1"/>
  <c r="B233" i="1" a="1"/>
  <c r="B233" i="1"/>
  <c r="O176" i="1" a="1"/>
  <c r="O176" i="1"/>
  <c r="B176" i="1" a="1"/>
  <c r="B176" i="1"/>
  <c r="O486" i="1" a="1"/>
  <c r="O486" i="1"/>
  <c r="B486" i="1" a="1"/>
  <c r="B486" i="1"/>
  <c r="O644" i="1" a="1"/>
  <c r="O644" i="1"/>
  <c r="B644" i="1" a="1"/>
  <c r="B644" i="1"/>
  <c r="O347" i="1" a="1"/>
  <c r="O347" i="1"/>
  <c r="B347" i="1" a="1"/>
  <c r="B347" i="1"/>
  <c r="O330" i="1" a="1"/>
  <c r="O330" i="1"/>
  <c r="B330" i="1" a="1"/>
  <c r="B330" i="1"/>
  <c r="O579" i="1" a="1"/>
  <c r="O579" i="1"/>
  <c r="B579" i="1" a="1"/>
  <c r="B579" i="1"/>
  <c r="O323" i="1" a="1"/>
  <c r="O323" i="1"/>
  <c r="B323" i="1" a="1"/>
  <c r="B323" i="1"/>
  <c r="O388" i="1" a="1"/>
  <c r="O388" i="1"/>
  <c r="B388" i="1" a="1"/>
  <c r="B388" i="1"/>
  <c r="O600" i="1" a="1"/>
  <c r="O600" i="1"/>
  <c r="B600" i="1" a="1"/>
  <c r="B600" i="1"/>
  <c r="O683" i="1" a="1"/>
  <c r="O683" i="1"/>
  <c r="B683" i="1" a="1"/>
  <c r="B683" i="1"/>
  <c r="O317" i="1" a="1"/>
  <c r="O317" i="1"/>
  <c r="B317" i="1" a="1"/>
  <c r="B317" i="1"/>
  <c r="O505" i="1" a="1"/>
  <c r="O505" i="1"/>
  <c r="B505" i="1" a="1"/>
  <c r="B505" i="1"/>
  <c r="O439" i="1" a="1"/>
  <c r="O439" i="1"/>
  <c r="B439" i="1" a="1"/>
  <c r="B439" i="1"/>
  <c r="O375" i="1" a="1"/>
  <c r="O375" i="1"/>
  <c r="B375" i="1" a="1"/>
  <c r="B375" i="1"/>
  <c r="O82" i="1" a="1"/>
  <c r="O82" i="1"/>
  <c r="B82" i="1" a="1"/>
  <c r="B82" i="1"/>
  <c r="O77" i="1" a="1"/>
  <c r="O77" i="1"/>
  <c r="B77" i="1" a="1"/>
  <c r="B77" i="1"/>
  <c r="O208" i="1" a="1"/>
  <c r="O208" i="1"/>
  <c r="B208" i="1" a="1"/>
  <c r="B208" i="1"/>
  <c r="O675" i="1" a="1"/>
  <c r="O675" i="1"/>
  <c r="B675" i="1" a="1"/>
  <c r="B675" i="1"/>
  <c r="B10" i="1" a="1"/>
  <c r="B10" i="1"/>
  <c r="O126" i="1" a="1"/>
  <c r="O126" i="1"/>
  <c r="B126" i="1" a="1"/>
  <c r="B126" i="1"/>
  <c r="O234" i="1" a="1"/>
  <c r="O234" i="1"/>
  <c r="B234" i="1" a="1"/>
  <c r="B234" i="1"/>
  <c r="O293" i="1" a="1"/>
  <c r="O293" i="1"/>
  <c r="B293" i="1" a="1"/>
  <c r="B293" i="1"/>
  <c r="O531" i="1" a="1"/>
  <c r="O531" i="1"/>
  <c r="B531" i="1" a="1"/>
  <c r="B531" i="1"/>
  <c r="O343" i="1" a="1"/>
  <c r="O343" i="1"/>
  <c r="B343" i="1" a="1"/>
  <c r="B343" i="1"/>
  <c r="O386" i="1" a="1"/>
  <c r="O386" i="1"/>
  <c r="B386" i="1" a="1"/>
  <c r="B386" i="1"/>
  <c r="O32" i="1" a="1"/>
  <c r="O32" i="1"/>
  <c r="B32" i="1" a="1"/>
  <c r="B32" i="1"/>
  <c r="O236" i="1" a="1"/>
  <c r="O236" i="1"/>
  <c r="B236" i="1" a="1"/>
  <c r="B236" i="1"/>
  <c r="O437" i="1" a="1"/>
  <c r="O437" i="1"/>
  <c r="B437" i="1" a="1"/>
  <c r="B437" i="1"/>
  <c r="O431" i="1" a="1"/>
  <c r="O431" i="1"/>
  <c r="B431" i="1" a="1"/>
  <c r="B431" i="1"/>
  <c r="O304" i="1" a="1"/>
  <c r="O304" i="1"/>
  <c r="B304" i="1" a="1"/>
  <c r="B304" i="1"/>
  <c r="O159" i="1" a="1"/>
  <c r="O159" i="1"/>
  <c r="B159" i="1" a="1"/>
  <c r="B159" i="1"/>
  <c r="O153" i="1" a="1"/>
  <c r="O153" i="1"/>
  <c r="B153" i="1" a="1"/>
  <c r="B153" i="1"/>
  <c r="O325" i="1" a="1"/>
  <c r="O325" i="1"/>
  <c r="B325" i="1" a="1"/>
  <c r="B325" i="1"/>
  <c r="O569" i="1" a="1"/>
  <c r="O569" i="1"/>
  <c r="B569" i="1" a="1"/>
  <c r="B569" i="1"/>
  <c r="O596" i="1" a="1"/>
  <c r="O596" i="1"/>
  <c r="B596" i="1" a="1"/>
  <c r="B596" i="1"/>
  <c r="O207" i="1" a="1"/>
  <c r="O207" i="1"/>
  <c r="B207" i="1" a="1"/>
  <c r="B207" i="1"/>
  <c r="O335" i="1" a="1"/>
  <c r="O335" i="1"/>
  <c r="B335" i="1" a="1"/>
  <c r="B335" i="1"/>
  <c r="O138" i="1" a="1"/>
  <c r="O138" i="1"/>
  <c r="B138" i="1" a="1"/>
  <c r="B138" i="1"/>
  <c r="O538" i="1" a="1"/>
  <c r="O538" i="1"/>
  <c r="B538" i="1" a="1"/>
  <c r="B538" i="1"/>
  <c r="O183" i="1" a="1"/>
  <c r="O183" i="1"/>
  <c r="B183" i="1" a="1"/>
  <c r="B183" i="1"/>
  <c r="O40" i="1" a="1"/>
  <c r="O40" i="1"/>
  <c r="B40" i="1" a="1"/>
  <c r="B40" i="1"/>
  <c r="O199" i="1" a="1"/>
  <c r="O199" i="1"/>
  <c r="B199" i="1" a="1"/>
  <c r="B199" i="1"/>
  <c r="O273" i="1" a="1"/>
  <c r="O273" i="1"/>
  <c r="B273" i="1" a="1"/>
  <c r="B273" i="1"/>
  <c r="O46" i="1" a="1"/>
  <c r="O46" i="1"/>
  <c r="B46" i="1" a="1"/>
  <c r="B46" i="1"/>
  <c r="O83" i="1" a="1"/>
  <c r="O83" i="1"/>
  <c r="B83" i="1" a="1"/>
  <c r="B83" i="1"/>
  <c r="O117" i="1" a="1"/>
  <c r="O117" i="1"/>
  <c r="B117" i="1" a="1"/>
  <c r="B117" i="1"/>
  <c r="O576" i="1" a="1"/>
  <c r="O576" i="1"/>
  <c r="B576" i="1" a="1"/>
  <c r="B576" i="1"/>
  <c r="O306" i="1" a="1"/>
  <c r="O306" i="1"/>
  <c r="B306" i="1" a="1"/>
  <c r="B306" i="1"/>
  <c r="O305" i="1" a="1"/>
  <c r="O305" i="1"/>
  <c r="B305" i="1" a="1"/>
  <c r="B305" i="1"/>
  <c r="O627" i="1" a="1"/>
  <c r="O627" i="1"/>
  <c r="B627" i="1" a="1"/>
  <c r="B627" i="1"/>
  <c r="O616" i="1" a="1"/>
  <c r="O616" i="1"/>
  <c r="B616" i="1" a="1"/>
  <c r="B616" i="1"/>
  <c r="O542" i="1" a="1"/>
  <c r="O542" i="1"/>
  <c r="B542" i="1" a="1"/>
  <c r="B542" i="1"/>
  <c r="O602" i="1" a="1"/>
  <c r="O602" i="1"/>
  <c r="B602" i="1" a="1"/>
  <c r="B602" i="1"/>
  <c r="O272" i="1" a="1"/>
  <c r="O272" i="1"/>
  <c r="B272" i="1" a="1"/>
  <c r="B272" i="1"/>
  <c r="O319" i="1" a="1"/>
  <c r="O319" i="1"/>
  <c r="B319" i="1" a="1"/>
  <c r="B319" i="1"/>
  <c r="O251" i="1" a="1"/>
  <c r="O251" i="1"/>
  <c r="B251" i="1" a="1"/>
  <c r="B251" i="1"/>
  <c r="O583" i="1" a="1"/>
  <c r="O583" i="1"/>
  <c r="B583" i="1" a="1"/>
  <c r="B583" i="1"/>
  <c r="O503" i="1" a="1"/>
  <c r="O503" i="1"/>
  <c r="B503" i="1" a="1"/>
  <c r="B503" i="1"/>
  <c r="O380" i="1" a="1"/>
  <c r="O380" i="1"/>
  <c r="B380" i="1" a="1"/>
  <c r="B380" i="1"/>
  <c r="O31" i="1" a="1"/>
  <c r="O31" i="1"/>
  <c r="B31" i="1" a="1"/>
  <c r="B31" i="1"/>
  <c r="O339" i="1" a="1"/>
  <c r="O339" i="1"/>
  <c r="B339" i="1" a="1"/>
  <c r="B339" i="1"/>
  <c r="O368" i="1" a="1"/>
  <c r="O368" i="1"/>
  <c r="B368" i="1" a="1"/>
  <c r="B368" i="1"/>
  <c r="O227" i="1" a="1"/>
  <c r="O227" i="1"/>
  <c r="B227" i="1" a="1"/>
  <c r="B227" i="1"/>
  <c r="O607" i="1" a="1"/>
  <c r="O607" i="1"/>
  <c r="B607" i="1" a="1"/>
  <c r="B607" i="1"/>
  <c r="O568" i="1" a="1"/>
  <c r="O568" i="1"/>
  <c r="B568" i="1" a="1"/>
  <c r="B568" i="1"/>
  <c r="O76" i="1" a="1"/>
  <c r="O76" i="1"/>
  <c r="B76" i="1" a="1"/>
  <c r="B76" i="1"/>
  <c r="O520" i="1" a="1"/>
  <c r="O520" i="1"/>
  <c r="B520" i="1" a="1"/>
  <c r="B520" i="1"/>
  <c r="O507" i="1" a="1"/>
  <c r="O507" i="1"/>
  <c r="B507" i="1" a="1"/>
  <c r="B507" i="1"/>
  <c r="O294" i="1" a="1"/>
  <c r="O294" i="1"/>
  <c r="B294" i="1" a="1"/>
  <c r="B294" i="1"/>
  <c r="O264" i="1" a="1"/>
  <c r="O264" i="1"/>
  <c r="B264" i="1" a="1"/>
  <c r="B264" i="1"/>
  <c r="O656" i="1" a="1"/>
  <c r="O656" i="1"/>
  <c r="B656" i="1" a="1"/>
  <c r="B656" i="1"/>
  <c r="O107" i="1" a="1"/>
  <c r="O107" i="1"/>
  <c r="B107" i="1" a="1"/>
  <c r="B107" i="1"/>
  <c r="O473" i="1" a="1"/>
  <c r="O473" i="1"/>
  <c r="B473" i="1" a="1"/>
  <c r="B473" i="1"/>
  <c r="O178" i="1" a="1"/>
  <c r="O178" i="1"/>
  <c r="B178" i="1" a="1"/>
  <c r="B178" i="1"/>
  <c r="O209" i="1" a="1"/>
  <c r="O209" i="1"/>
  <c r="B209" i="1" a="1"/>
  <c r="B209" i="1"/>
  <c r="O430" i="1" a="1"/>
  <c r="O430" i="1"/>
  <c r="B430" i="1" a="1"/>
  <c r="B430" i="1"/>
  <c r="O146" i="1" a="1"/>
  <c r="O146" i="1"/>
  <c r="B146" i="1" a="1"/>
  <c r="B146" i="1"/>
  <c r="O155" i="1" a="1"/>
  <c r="O155" i="1"/>
  <c r="B155" i="1" a="1"/>
  <c r="B155" i="1"/>
  <c r="O122" i="1" a="1"/>
  <c r="O122" i="1"/>
  <c r="B122" i="1" a="1"/>
  <c r="B122" i="1"/>
  <c r="O476" i="1" a="1"/>
  <c r="O476" i="1"/>
  <c r="B476" i="1" a="1"/>
  <c r="B476" i="1"/>
  <c r="O570" i="1" a="1"/>
  <c r="O570" i="1"/>
  <c r="B570" i="1" a="1"/>
  <c r="B570" i="1"/>
  <c r="O297" i="1" a="1"/>
  <c r="O297" i="1"/>
  <c r="B297" i="1" a="1"/>
  <c r="B297" i="1"/>
  <c r="O536" i="1" a="1"/>
  <c r="O536" i="1"/>
  <c r="B536" i="1" a="1"/>
  <c r="B536" i="1"/>
  <c r="O365" i="1" a="1"/>
  <c r="O365" i="1"/>
  <c r="B365" i="1" a="1"/>
  <c r="B365" i="1"/>
  <c r="O92" i="1" a="1"/>
  <c r="O92" i="1"/>
  <c r="B92" i="1" a="1"/>
  <c r="B92" i="1"/>
  <c r="O456" i="1" a="1"/>
  <c r="O456" i="1"/>
  <c r="B456" i="1" a="1"/>
  <c r="B456" i="1"/>
  <c r="O86" i="1" a="1"/>
  <c r="O86" i="1"/>
  <c r="B86" i="1" a="1"/>
  <c r="B86" i="1"/>
  <c r="O441" i="1" a="1"/>
  <c r="O441" i="1"/>
  <c r="B441" i="1" a="1"/>
  <c r="B441" i="1"/>
  <c r="O151" i="1" a="1"/>
  <c r="O151" i="1"/>
  <c r="B151" i="1" a="1"/>
  <c r="B151" i="1"/>
  <c r="O678" i="1" a="1"/>
  <c r="O678" i="1"/>
  <c r="B678" i="1" a="1"/>
  <c r="B678" i="1"/>
  <c r="O554" i="1" a="1"/>
  <c r="O554" i="1"/>
  <c r="B554" i="1" a="1"/>
  <c r="B554" i="1"/>
  <c r="O253" i="1" a="1"/>
  <c r="O253" i="1"/>
  <c r="B253" i="1" a="1"/>
  <c r="B253" i="1"/>
  <c r="O658" i="1" a="1"/>
  <c r="O658" i="1"/>
  <c r="B658" i="1" a="1"/>
  <c r="B658" i="1"/>
  <c r="O352" i="1" a="1"/>
  <c r="O352" i="1"/>
  <c r="B352" i="1" a="1"/>
  <c r="B352" i="1"/>
  <c r="O202" i="1" a="1"/>
  <c r="O202" i="1"/>
  <c r="B202" i="1" a="1"/>
  <c r="B202" i="1"/>
  <c r="O110" i="1" a="1"/>
  <c r="O110" i="1"/>
  <c r="B110" i="1" a="1"/>
  <c r="B110" i="1"/>
  <c r="O302" i="1" a="1"/>
  <c r="O302" i="1"/>
  <c r="B302" i="1" a="1"/>
  <c r="B302" i="1"/>
  <c r="O36" i="1" a="1"/>
  <c r="O36" i="1"/>
  <c r="B36" i="1" a="1"/>
  <c r="B36" i="1"/>
  <c r="O231" i="1" a="1"/>
  <c r="O231" i="1"/>
  <c r="B231" i="1" a="1"/>
  <c r="B231" i="1"/>
  <c r="O332" i="1" a="1"/>
  <c r="O332" i="1"/>
  <c r="B332" i="1" a="1"/>
  <c r="B332" i="1"/>
  <c r="O410" i="1" a="1"/>
  <c r="O410" i="1"/>
  <c r="B410" i="1" a="1"/>
  <c r="B410" i="1"/>
  <c r="O270" i="1" a="1"/>
  <c r="O270" i="1"/>
  <c r="B270" i="1" a="1"/>
  <c r="B270" i="1"/>
  <c r="O662" i="1" a="1"/>
  <c r="O662" i="1"/>
  <c r="B662" i="1" a="1"/>
  <c r="B662" i="1"/>
  <c r="O399" i="1" a="1"/>
  <c r="O399" i="1"/>
  <c r="B399" i="1" a="1"/>
  <c r="B399" i="1"/>
  <c r="O684" i="1" a="1"/>
  <c r="O684" i="1"/>
  <c r="B684" i="1" a="1"/>
  <c r="B684" i="1"/>
  <c r="O75" i="1" a="1"/>
  <c r="O75" i="1"/>
  <c r="B75" i="1" a="1"/>
  <c r="B75" i="1"/>
  <c r="O313" i="1" a="1"/>
  <c r="O313" i="1"/>
  <c r="B313" i="1" a="1"/>
  <c r="B313" i="1"/>
  <c r="O423" i="1" a="1"/>
  <c r="O423" i="1"/>
  <c r="B423" i="1" a="1"/>
  <c r="B423" i="1"/>
  <c r="O640" i="1" a="1"/>
  <c r="O640" i="1"/>
  <c r="B640" i="1" a="1"/>
  <c r="B640" i="1"/>
  <c r="O555" i="1" a="1"/>
  <c r="O555" i="1"/>
  <c r="B555" i="1" a="1"/>
  <c r="B555" i="1"/>
  <c r="B17" i="1" a="1"/>
  <c r="B17" i="1"/>
  <c r="O552" i="1" a="1"/>
  <c r="O552" i="1"/>
  <c r="B552" i="1" a="1"/>
  <c r="B552" i="1"/>
  <c r="O387" i="1" a="1"/>
  <c r="O387" i="1"/>
  <c r="B387" i="1" a="1"/>
  <c r="B387" i="1"/>
  <c r="O177" i="1" a="1"/>
  <c r="O177" i="1"/>
  <c r="B177" i="1" a="1"/>
  <c r="B177" i="1"/>
  <c r="O615" i="1" a="1"/>
  <c r="O615" i="1"/>
  <c r="B615" i="1" a="1"/>
  <c r="B615" i="1"/>
  <c r="O393" i="1" a="1"/>
  <c r="O393" i="1"/>
  <c r="B393" i="1" a="1"/>
  <c r="B393" i="1"/>
  <c r="O383" i="1" a="1"/>
  <c r="O383" i="1"/>
  <c r="B383" i="1" a="1"/>
  <c r="B383" i="1"/>
  <c r="O281" i="1" a="1"/>
  <c r="O281" i="1"/>
  <c r="B281" i="1" a="1"/>
  <c r="B281" i="1"/>
  <c r="O286" i="1" a="1"/>
  <c r="O286" i="1"/>
  <c r="B286" i="1" a="1"/>
  <c r="B286" i="1"/>
  <c r="O288" i="1" a="1"/>
  <c r="O288" i="1"/>
  <c r="B288" i="1" a="1"/>
  <c r="B288" i="1"/>
  <c r="O276" i="1" a="1"/>
  <c r="O276" i="1"/>
  <c r="B276" i="1" a="1"/>
  <c r="B276" i="1"/>
  <c r="O81" i="1" a="1"/>
  <c r="O81" i="1"/>
  <c r="B81" i="1" a="1"/>
  <c r="B81" i="1"/>
  <c r="O398" i="1" a="1"/>
  <c r="O398" i="1"/>
  <c r="B398" i="1" a="1"/>
  <c r="B398" i="1"/>
  <c r="O225" i="1" a="1"/>
  <c r="O225" i="1"/>
  <c r="B225" i="1" a="1"/>
  <c r="B225" i="1"/>
  <c r="O631" i="1" a="1"/>
  <c r="O631" i="1"/>
  <c r="B631" i="1" a="1"/>
  <c r="B631" i="1"/>
  <c r="O94" i="1" a="1"/>
  <c r="O94" i="1"/>
  <c r="B94" i="1" a="1"/>
  <c r="B94" i="1"/>
  <c r="B9" i="1" a="1"/>
  <c r="B9" i="1"/>
  <c r="O247" i="1" a="1"/>
  <c r="O247" i="1"/>
  <c r="B247" i="1" a="1"/>
  <c r="B247" i="1"/>
  <c r="O303" i="1" a="1"/>
  <c r="O303" i="1"/>
  <c r="B303" i="1" a="1"/>
  <c r="B303" i="1"/>
  <c r="O127" i="1" a="1"/>
  <c r="O127" i="1"/>
  <c r="B127" i="1" a="1"/>
  <c r="B127" i="1"/>
  <c r="O220" i="1" a="1"/>
  <c r="O220" i="1"/>
  <c r="B220" i="1" a="1"/>
  <c r="B220" i="1"/>
  <c r="O466" i="1" a="1"/>
  <c r="O466" i="1"/>
  <c r="B466" i="1" a="1"/>
  <c r="B466" i="1"/>
  <c r="O597" i="1" a="1"/>
  <c r="O597" i="1"/>
  <c r="B597" i="1" a="1"/>
  <c r="B597" i="1"/>
  <c r="O404" i="1" a="1"/>
  <c r="O404" i="1"/>
  <c r="B404" i="1" a="1"/>
  <c r="B404" i="1"/>
  <c r="O661" i="1" a="1"/>
  <c r="O661" i="1"/>
  <c r="B661" i="1" a="1"/>
  <c r="B661" i="1"/>
  <c r="O123" i="1" a="1"/>
  <c r="O123" i="1"/>
  <c r="B123" i="1" a="1"/>
  <c r="B123" i="1"/>
  <c r="O239" i="1" a="1"/>
  <c r="O239" i="1"/>
  <c r="B239" i="1" a="1"/>
  <c r="B239" i="1"/>
  <c r="O359" i="1" a="1"/>
  <c r="O359" i="1"/>
  <c r="B359" i="1" a="1"/>
  <c r="B359" i="1"/>
  <c r="O41" i="1" a="1"/>
  <c r="O41" i="1"/>
  <c r="B41" i="1" a="1"/>
  <c r="B41" i="1"/>
  <c r="O556" i="1" a="1"/>
  <c r="O556" i="1"/>
  <c r="B556" i="1" a="1"/>
  <c r="B556" i="1"/>
  <c r="O592" i="1" a="1"/>
  <c r="O592" i="1"/>
  <c r="B592" i="1" a="1"/>
  <c r="B592" i="1"/>
  <c r="O149" i="1" a="1"/>
  <c r="O149" i="1"/>
  <c r="B149" i="1" a="1"/>
  <c r="B149" i="1"/>
  <c r="O238" i="1" a="1"/>
  <c r="O238" i="1"/>
  <c r="B238" i="1" a="1"/>
  <c r="B238" i="1"/>
  <c r="O594" i="1" a="1"/>
  <c r="O594" i="1"/>
  <c r="B594" i="1" a="1"/>
  <c r="B594" i="1"/>
  <c r="O677" i="1" a="1"/>
  <c r="O677" i="1"/>
  <c r="B677" i="1" a="1"/>
  <c r="B677" i="1"/>
  <c r="O605" i="1" a="1"/>
  <c r="O605" i="1"/>
  <c r="B605" i="1" a="1"/>
  <c r="B605" i="1"/>
  <c r="O443" i="1" a="1"/>
  <c r="O443" i="1"/>
  <c r="B443" i="1" a="1"/>
  <c r="B443" i="1"/>
  <c r="O321" i="1" a="1"/>
  <c r="O321" i="1"/>
  <c r="B321" i="1" a="1"/>
  <c r="B321" i="1"/>
  <c r="O180" i="1" a="1"/>
  <c r="O180" i="1"/>
  <c r="B180" i="1" a="1"/>
  <c r="B180" i="1"/>
  <c r="O329" i="1" a="1"/>
  <c r="O329" i="1"/>
  <c r="B329" i="1" a="1"/>
  <c r="B329" i="1"/>
  <c r="O403" i="1" a="1"/>
  <c r="O403" i="1"/>
  <c r="B403" i="1" a="1"/>
  <c r="B403" i="1"/>
  <c r="O62" i="1" a="1"/>
  <c r="O62" i="1"/>
  <c r="B62" i="1" a="1"/>
  <c r="B62" i="1"/>
  <c r="O517" i="1" a="1"/>
  <c r="O517" i="1"/>
  <c r="B517" i="1" a="1"/>
  <c r="B517" i="1"/>
  <c r="O679" i="1" a="1"/>
  <c r="O679" i="1"/>
  <c r="B679" i="1" a="1"/>
  <c r="B679" i="1"/>
  <c r="O367" i="1" a="1"/>
  <c r="O367" i="1"/>
  <c r="B367" i="1" a="1"/>
  <c r="B367" i="1"/>
  <c r="O637" i="1" a="1"/>
  <c r="O637" i="1"/>
  <c r="B637" i="1" a="1"/>
  <c r="B637" i="1"/>
  <c r="O331" i="1" a="1"/>
  <c r="O331" i="1"/>
  <c r="B331" i="1" a="1"/>
  <c r="B331" i="1"/>
  <c r="O346" i="1" a="1"/>
  <c r="O346" i="1"/>
  <c r="B346" i="1" a="1"/>
  <c r="B346" i="1"/>
  <c r="O670" i="1" a="1"/>
  <c r="O670" i="1"/>
  <c r="B670" i="1" a="1"/>
  <c r="B670" i="1"/>
  <c r="O376" i="1" a="1"/>
  <c r="O376" i="1"/>
  <c r="B376" i="1" a="1"/>
  <c r="B376" i="1"/>
  <c r="O265" i="1" a="1"/>
  <c r="O265" i="1"/>
  <c r="B265" i="1" a="1"/>
  <c r="B265" i="1"/>
  <c r="O78" i="1" a="1"/>
  <c r="O78" i="1"/>
  <c r="B78" i="1" a="1"/>
  <c r="B78" i="1"/>
  <c r="O250" i="1" a="1"/>
  <c r="O250" i="1"/>
  <c r="B250" i="1" a="1"/>
  <c r="B250" i="1"/>
  <c r="O30" i="1" a="1"/>
  <c r="O30" i="1"/>
  <c r="B30" i="1" a="1"/>
  <c r="B30" i="1"/>
  <c r="O278" i="1" a="1"/>
  <c r="O278" i="1"/>
  <c r="B278" i="1" a="1"/>
  <c r="B278" i="1"/>
  <c r="O381" i="1" a="1"/>
  <c r="O381" i="1"/>
  <c r="B381" i="1" a="1"/>
  <c r="B381" i="1"/>
  <c r="O26" i="1" a="1"/>
  <c r="O26" i="1"/>
  <c r="B26" i="1" a="1"/>
  <c r="B26" i="1"/>
  <c r="O444" i="1" a="1"/>
  <c r="O444" i="1"/>
  <c r="B444" i="1" a="1"/>
  <c r="B444" i="1"/>
  <c r="O287" i="1" a="1"/>
  <c r="O287" i="1"/>
  <c r="B287" i="1" a="1"/>
  <c r="B287" i="1"/>
  <c r="O221" i="1" a="1"/>
  <c r="O221" i="1"/>
  <c r="B221" i="1" a="1"/>
  <c r="B221" i="1"/>
  <c r="O549" i="1" a="1"/>
  <c r="O549" i="1"/>
  <c r="B549" i="1" a="1"/>
  <c r="B549" i="1"/>
  <c r="O284" i="1" a="1"/>
  <c r="O284" i="1"/>
  <c r="B284" i="1" a="1"/>
  <c r="B284" i="1"/>
  <c r="O454" i="1" a="1"/>
  <c r="O454" i="1"/>
  <c r="B454" i="1" a="1"/>
  <c r="B454" i="1"/>
  <c r="O362" i="1" a="1"/>
  <c r="O362" i="1"/>
  <c r="B362" i="1" a="1"/>
  <c r="B362" i="1"/>
  <c r="O73" i="1" a="1"/>
  <c r="O73" i="1"/>
  <c r="B73" i="1" a="1"/>
  <c r="B73" i="1"/>
  <c r="O356" i="1" a="1"/>
  <c r="O356" i="1"/>
  <c r="B356" i="1" a="1"/>
  <c r="B356" i="1"/>
  <c r="O47" i="1" a="1"/>
  <c r="O47" i="1"/>
  <c r="B47" i="1" a="1"/>
  <c r="B47" i="1"/>
  <c r="O43" i="1" a="1"/>
  <c r="O43" i="1"/>
  <c r="B43" i="1" a="1"/>
  <c r="B43" i="1"/>
  <c r="O442" i="1" a="1"/>
  <c r="O442" i="1"/>
  <c r="B442" i="1" a="1"/>
  <c r="B442" i="1"/>
  <c r="O316" i="1" a="1"/>
  <c r="O316" i="1"/>
  <c r="B316" i="1" a="1"/>
  <c r="B316" i="1"/>
  <c r="O29" i="1" a="1"/>
  <c r="O29" i="1"/>
  <c r="B29" i="1" a="1"/>
  <c r="B29" i="1"/>
  <c r="O417" i="1" a="1"/>
  <c r="O417" i="1"/>
  <c r="B417" i="1" a="1"/>
  <c r="B417" i="1"/>
  <c r="O275" i="1" a="1"/>
  <c r="O275" i="1"/>
  <c r="B275" i="1" a="1"/>
  <c r="B275" i="1"/>
  <c r="O446" i="1" a="1"/>
  <c r="O446" i="1"/>
  <c r="B446" i="1" a="1"/>
  <c r="B446" i="1"/>
  <c r="O274" i="1" a="1"/>
  <c r="O274" i="1"/>
  <c r="B274" i="1" a="1"/>
  <c r="B274" i="1"/>
  <c r="O200" i="1" a="1"/>
  <c r="O200" i="1"/>
  <c r="B200" i="1" a="1"/>
  <c r="B200" i="1"/>
  <c r="O527" i="1" a="1"/>
  <c r="O527" i="1"/>
  <c r="B527" i="1" a="1"/>
  <c r="B527" i="1"/>
  <c r="O174" i="1" a="1"/>
  <c r="O174" i="1"/>
  <c r="B174" i="1" a="1"/>
  <c r="B174" i="1"/>
  <c r="O230" i="1" a="1"/>
  <c r="O230" i="1"/>
  <c r="B230" i="1" a="1"/>
  <c r="B230" i="1"/>
  <c r="O639" i="1" a="1"/>
  <c r="O639" i="1"/>
  <c r="B639" i="1" a="1"/>
  <c r="B639" i="1"/>
  <c r="O243" i="1" a="1"/>
  <c r="O243" i="1"/>
  <c r="B243" i="1" a="1"/>
  <c r="B243" i="1"/>
  <c r="O84" i="1" a="1"/>
  <c r="O84" i="1"/>
  <c r="B84" i="1" a="1"/>
  <c r="B84" i="1"/>
  <c r="O102" i="1" a="1"/>
  <c r="O102" i="1"/>
  <c r="B102" i="1" a="1"/>
  <c r="B102" i="1"/>
  <c r="O671" i="1" a="1"/>
  <c r="O671" i="1"/>
  <c r="B671" i="1" a="1"/>
  <c r="B671" i="1"/>
  <c r="O416" i="1" a="1"/>
  <c r="O416" i="1"/>
  <c r="B416" i="1" a="1"/>
  <c r="B416" i="1"/>
  <c r="O490" i="1" a="1"/>
  <c r="O490" i="1"/>
  <c r="B490" i="1" a="1"/>
  <c r="B490" i="1"/>
  <c r="O379" i="1" a="1"/>
  <c r="O379" i="1"/>
  <c r="B379" i="1" a="1"/>
  <c r="B379" i="1"/>
  <c r="O384" i="1" a="1"/>
  <c r="O384" i="1"/>
  <c r="B384" i="1" a="1"/>
  <c r="B384" i="1"/>
  <c r="O676" i="1" a="1"/>
  <c r="O676" i="1"/>
  <c r="B676" i="1" a="1"/>
  <c r="B676" i="1"/>
  <c r="O267" i="1" a="1"/>
  <c r="O267" i="1"/>
  <c r="B267" i="1" a="1"/>
  <c r="B267" i="1"/>
  <c r="O483" i="1" a="1"/>
  <c r="O483" i="1"/>
  <c r="B483" i="1" a="1"/>
  <c r="B483" i="1"/>
  <c r="O105" i="1" a="1"/>
  <c r="O105" i="1"/>
  <c r="B105" i="1" a="1"/>
  <c r="B105" i="1"/>
  <c r="O673" i="1" a="1"/>
  <c r="O673" i="1"/>
  <c r="B673" i="1" a="1"/>
  <c r="B673" i="1"/>
  <c r="O167" i="1" a="1"/>
  <c r="O167" i="1"/>
  <c r="B167" i="1" a="1"/>
  <c r="B167" i="1"/>
  <c r="O39" i="1" a="1"/>
  <c r="O39" i="1"/>
  <c r="B39" i="1" a="1"/>
  <c r="B39" i="1"/>
  <c r="O338" i="1" a="1"/>
  <c r="O338" i="1"/>
  <c r="B338" i="1" a="1"/>
  <c r="B338" i="1"/>
  <c r="O326" i="1" a="1"/>
  <c r="O326" i="1"/>
  <c r="B326" i="1" a="1"/>
  <c r="B326" i="1"/>
  <c r="O432" i="1" a="1"/>
  <c r="O432" i="1"/>
  <c r="B432" i="1" a="1"/>
  <c r="B432" i="1"/>
  <c r="O292" i="1" a="1"/>
  <c r="O292" i="1"/>
  <c r="B292" i="1" a="1"/>
  <c r="B292" i="1"/>
  <c r="O588" i="1" a="1"/>
  <c r="O588" i="1"/>
  <c r="B588" i="1" a="1"/>
  <c r="B588" i="1"/>
  <c r="O185" i="1" a="1"/>
  <c r="O185" i="1"/>
  <c r="B185" i="1" a="1"/>
  <c r="B185" i="1"/>
  <c r="O427" i="1" a="1"/>
  <c r="O427" i="1"/>
  <c r="B427" i="1" a="1"/>
  <c r="B427" i="1"/>
  <c r="O351" i="1" a="1"/>
  <c r="O351" i="1"/>
  <c r="B351" i="1" a="1"/>
  <c r="B351" i="1"/>
  <c r="O192" i="1" a="1"/>
  <c r="O192" i="1"/>
  <c r="B192" i="1" a="1"/>
  <c r="B192" i="1"/>
  <c r="O366" i="1" a="1"/>
  <c r="O366" i="1"/>
  <c r="B366" i="1" a="1"/>
  <c r="B366" i="1"/>
  <c r="O318" i="1" a="1"/>
  <c r="O318" i="1"/>
  <c r="B318" i="1" a="1"/>
  <c r="B318" i="1"/>
  <c r="O477" i="1" a="1"/>
  <c r="O477" i="1"/>
  <c r="B477" i="1" a="1"/>
  <c r="B477" i="1"/>
  <c r="O195" i="1" a="1"/>
  <c r="O195" i="1"/>
  <c r="B195" i="1" a="1"/>
  <c r="B195" i="1"/>
  <c r="O572" i="1" a="1"/>
  <c r="O572" i="1"/>
  <c r="B572" i="1" a="1"/>
  <c r="B572" i="1"/>
  <c r="O392" i="1" a="1"/>
  <c r="O392" i="1"/>
  <c r="B392" i="1" a="1"/>
  <c r="B392" i="1"/>
  <c r="O142" i="1" a="1"/>
  <c r="O142" i="1"/>
  <c r="B142" i="1" a="1"/>
  <c r="B142" i="1"/>
  <c r="O562" i="1" a="1"/>
  <c r="O562" i="1"/>
  <c r="B562" i="1" a="1"/>
  <c r="B562" i="1"/>
  <c r="O495" i="1" a="1"/>
  <c r="O495" i="1"/>
  <c r="B495" i="1" a="1"/>
  <c r="B495" i="1"/>
  <c r="O623" i="1" a="1"/>
  <c r="O623" i="1"/>
  <c r="B623" i="1" a="1"/>
  <c r="B623" i="1"/>
  <c r="O186" i="1" a="1"/>
  <c r="O186" i="1"/>
  <c r="B186" i="1" a="1"/>
  <c r="B186" i="1"/>
  <c r="O350" i="1" a="1"/>
  <c r="O350" i="1"/>
  <c r="B350" i="1" a="1"/>
  <c r="B350" i="1"/>
  <c r="O412" i="1" a="1"/>
  <c r="O412" i="1"/>
  <c r="B412" i="1" a="1"/>
  <c r="B412" i="1"/>
  <c r="O88" i="1" a="1"/>
  <c r="O88" i="1"/>
  <c r="B88" i="1" a="1"/>
  <c r="B88" i="1"/>
  <c r="O553" i="1" a="1"/>
  <c r="O553" i="1"/>
  <c r="B553" i="1" a="1"/>
  <c r="B553" i="1"/>
  <c r="O493" i="1" a="1"/>
  <c r="O493" i="1"/>
  <c r="B493" i="1" a="1"/>
  <c r="B493" i="1"/>
  <c r="O257" i="1" a="1"/>
  <c r="O257" i="1"/>
  <c r="B257" i="1" a="1"/>
  <c r="B257" i="1"/>
  <c r="O547" i="1" a="1"/>
  <c r="O547" i="1"/>
  <c r="B547" i="1" a="1"/>
  <c r="B547" i="1"/>
  <c r="O34" i="1" a="1"/>
  <c r="O34" i="1"/>
  <c r="B34" i="1" a="1"/>
  <c r="B34" i="1"/>
  <c r="O530" i="1" a="1"/>
  <c r="O530" i="1"/>
  <c r="B530" i="1" a="1"/>
  <c r="B530" i="1"/>
  <c r="O66" i="1" a="1"/>
  <c r="O66" i="1"/>
  <c r="B66" i="1" a="1"/>
  <c r="B66" i="1"/>
  <c r="O598" i="1" a="1"/>
  <c r="O598" i="1"/>
  <c r="B598" i="1" a="1"/>
  <c r="B598" i="1"/>
  <c r="O132" i="1" a="1"/>
  <c r="O132" i="1"/>
  <c r="B132" i="1" a="1"/>
  <c r="B132" i="1"/>
  <c r="O566" i="1" a="1"/>
  <c r="O566" i="1"/>
  <c r="B566" i="1" a="1"/>
  <c r="B566" i="1"/>
  <c r="O140" i="1" a="1"/>
  <c r="O140" i="1"/>
  <c r="B140" i="1" a="1"/>
  <c r="B140" i="1"/>
  <c r="O53" i="1" a="1"/>
  <c r="O53" i="1"/>
  <c r="B53" i="1" a="1"/>
  <c r="B53" i="1"/>
  <c r="O124" i="1" a="1"/>
  <c r="O124" i="1"/>
  <c r="B124" i="1" a="1"/>
  <c r="B124" i="1"/>
  <c r="O61" i="1" a="1"/>
  <c r="O61" i="1"/>
  <c r="B61" i="1" a="1"/>
  <c r="B61" i="1"/>
  <c r="O298" i="1" a="1"/>
  <c r="O298" i="1"/>
  <c r="B298" i="1" a="1"/>
  <c r="B298" i="1"/>
  <c r="O457" i="1" a="1"/>
  <c r="O457" i="1"/>
  <c r="B457" i="1" a="1"/>
  <c r="B457" i="1"/>
  <c r="O266" i="1" a="1"/>
  <c r="O266" i="1"/>
  <c r="B266" i="1" a="1"/>
  <c r="B266" i="1"/>
  <c r="O680" i="1" a="1"/>
  <c r="O680" i="1"/>
  <c r="B680" i="1" a="1"/>
  <c r="B680" i="1"/>
  <c r="O133" i="1" a="1"/>
  <c r="O133" i="1"/>
  <c r="B133" i="1" a="1"/>
  <c r="B133" i="1"/>
  <c r="O397" i="1" a="1"/>
  <c r="O397" i="1"/>
  <c r="B397" i="1" a="1"/>
  <c r="B397" i="1"/>
  <c r="O85" i="1" a="1"/>
  <c r="O85" i="1"/>
  <c r="B85" i="1" a="1"/>
  <c r="B85" i="1"/>
  <c r="O150" i="1" a="1"/>
  <c r="O150" i="1"/>
  <c r="B150" i="1" a="1"/>
  <c r="B150" i="1"/>
  <c r="O582" i="1" a="1"/>
  <c r="O582" i="1"/>
  <c r="B582" i="1" a="1"/>
  <c r="B582" i="1"/>
  <c r="O130" i="1" a="1"/>
  <c r="O130" i="1"/>
  <c r="B130" i="1" a="1"/>
  <c r="B130" i="1"/>
  <c r="O99" i="1" a="1"/>
  <c r="O99" i="1"/>
  <c r="B99" i="1" a="1"/>
  <c r="B99" i="1"/>
  <c r="O604" i="1" a="1"/>
  <c r="O604" i="1"/>
  <c r="B604" i="1" a="1"/>
  <c r="B604" i="1"/>
  <c r="O259" i="1" a="1"/>
  <c r="O259" i="1"/>
  <c r="B259" i="1" a="1"/>
  <c r="B259" i="1"/>
  <c r="O277" i="1" a="1"/>
  <c r="O277" i="1"/>
  <c r="B277" i="1" a="1"/>
  <c r="B277" i="1"/>
  <c r="O118" i="1" a="1"/>
  <c r="O118" i="1"/>
  <c r="B118" i="1" a="1"/>
  <c r="B118" i="1"/>
  <c r="O187" i="1" a="1"/>
  <c r="O187" i="1"/>
  <c r="B187" i="1" a="1"/>
  <c r="B187" i="1"/>
  <c r="O154" i="1" a="1"/>
  <c r="O154" i="1"/>
  <c r="B154" i="1" a="1"/>
  <c r="B154" i="1"/>
  <c r="O63" i="1" a="1"/>
  <c r="O63" i="1"/>
  <c r="B63" i="1" a="1"/>
  <c r="B63" i="1"/>
  <c r="O435" i="1" a="1"/>
  <c r="O435" i="1"/>
  <c r="B435" i="1" a="1"/>
  <c r="B435" i="1"/>
  <c r="O165" i="1" a="1"/>
  <c r="O165" i="1"/>
  <c r="B165" i="1" a="1"/>
  <c r="B165" i="1"/>
  <c r="O411" i="1" a="1"/>
  <c r="O411" i="1"/>
  <c r="B411" i="1" a="1"/>
  <c r="B411" i="1"/>
  <c r="O390" i="1" a="1"/>
  <c r="O390" i="1"/>
  <c r="B390" i="1" a="1"/>
  <c r="B390" i="1"/>
  <c r="O184" i="1" a="1"/>
  <c r="O184" i="1"/>
  <c r="B184" i="1" a="1"/>
  <c r="B184" i="1"/>
  <c r="O205" i="1" a="1"/>
  <c r="O205" i="1"/>
  <c r="B205" i="1" a="1"/>
  <c r="B205" i="1"/>
  <c r="O54" i="1" a="1"/>
  <c r="O54" i="1"/>
  <c r="B54" i="1" a="1"/>
  <c r="B54" i="1"/>
  <c r="O282" i="1" a="1"/>
  <c r="O282" i="1"/>
  <c r="B282" i="1" a="1"/>
  <c r="B282" i="1"/>
  <c r="O228" i="1" a="1"/>
  <c r="O228" i="1"/>
  <c r="B228" i="1" a="1"/>
  <c r="B228" i="1"/>
  <c r="O523" i="1" a="1"/>
  <c r="O523" i="1"/>
  <c r="B523" i="1" a="1"/>
  <c r="B523" i="1"/>
  <c r="O280" i="1" a="1"/>
  <c r="O280" i="1"/>
  <c r="B280" i="1" a="1"/>
  <c r="B280" i="1"/>
  <c r="O80" i="1" a="1"/>
  <c r="O80" i="1"/>
  <c r="B80" i="1" a="1"/>
  <c r="B80" i="1"/>
  <c r="O95" i="1" a="1"/>
  <c r="O95" i="1"/>
  <c r="B95" i="1" a="1"/>
  <c r="B95" i="1"/>
  <c r="O539" i="1" a="1"/>
  <c r="O539" i="1"/>
  <c r="B539" i="1" a="1"/>
  <c r="B539" i="1"/>
  <c r="O488" i="1" a="1"/>
  <c r="O488" i="1"/>
  <c r="B488" i="1" a="1"/>
  <c r="B488" i="1"/>
  <c r="B22" i="1" a="1"/>
  <c r="B22" i="1"/>
  <c r="O263" i="1" a="1"/>
  <c r="O263" i="1"/>
  <c r="B263" i="1" a="1"/>
  <c r="B263" i="1"/>
  <c r="B11" i="1" a="1"/>
  <c r="B11" i="1"/>
  <c r="O405" i="1" a="1"/>
  <c r="O405" i="1"/>
  <c r="B405" i="1" a="1"/>
  <c r="B405" i="1"/>
  <c r="O642" i="1" a="1"/>
  <c r="O642" i="1"/>
  <c r="B642" i="1" a="1"/>
  <c r="B642" i="1"/>
  <c r="O223" i="1" a="1"/>
  <c r="O223" i="1"/>
  <c r="B223" i="1" a="1"/>
  <c r="B223" i="1"/>
  <c r="O440" i="1" a="1"/>
  <c r="O440" i="1"/>
  <c r="B440" i="1" a="1"/>
  <c r="B440" i="1"/>
  <c r="O74" i="1" a="1"/>
  <c r="O74" i="1"/>
  <c r="B74" i="1" a="1"/>
  <c r="B74" i="1"/>
  <c r="O198" i="1" a="1"/>
  <c r="O198" i="1"/>
  <c r="B198" i="1" a="1"/>
  <c r="B198" i="1"/>
  <c r="O514" i="1" a="1"/>
  <c r="O514" i="1"/>
  <c r="B514" i="1" a="1"/>
  <c r="B514" i="1"/>
  <c r="O681" i="1" a="1"/>
  <c r="O681" i="1"/>
  <c r="B681" i="1" a="1"/>
  <c r="B681" i="1"/>
  <c r="O459" i="1" a="1"/>
  <c r="O459" i="1"/>
  <c r="B459" i="1" a="1"/>
  <c r="B459" i="1"/>
  <c r="O646" i="1" a="1"/>
  <c r="O646" i="1"/>
  <c r="B646" i="1" a="1"/>
  <c r="B646" i="1"/>
  <c r="O219" i="1" a="1"/>
  <c r="O219" i="1"/>
  <c r="B219" i="1" a="1"/>
  <c r="B219" i="1"/>
  <c r="O382" i="1" a="1"/>
  <c r="O382" i="1"/>
  <c r="B382" i="1" a="1"/>
  <c r="B382" i="1"/>
  <c r="O533" i="1" a="1"/>
  <c r="O533" i="1"/>
  <c r="B533" i="1" a="1"/>
  <c r="B533" i="1"/>
  <c r="O172" i="1" a="1"/>
  <c r="O172" i="1"/>
  <c r="B172" i="1" a="1"/>
  <c r="B172" i="1"/>
  <c r="O173" i="1" a="1"/>
  <c r="O173" i="1"/>
  <c r="B173" i="1" a="1"/>
  <c r="B173" i="1"/>
  <c r="O574" i="1" a="1"/>
  <c r="O574" i="1"/>
  <c r="B574" i="1" a="1"/>
  <c r="B574" i="1"/>
  <c r="O421" i="1" a="1"/>
  <c r="O421" i="1"/>
  <c r="B421" i="1" a="1"/>
  <c r="B421" i="1"/>
  <c r="O156" i="1" a="1"/>
  <c r="O156" i="1"/>
  <c r="B156" i="1" a="1"/>
  <c r="B156" i="1"/>
  <c r="O296" i="1" a="1"/>
  <c r="O296" i="1"/>
  <c r="B296" i="1" a="1"/>
  <c r="B296" i="1"/>
  <c r="O447" i="1" a="1"/>
  <c r="O447" i="1"/>
  <c r="B447" i="1" a="1"/>
  <c r="B447" i="1"/>
  <c r="O24" i="1" a="1"/>
  <c r="O24" i="1"/>
  <c r="B24" i="1" a="1"/>
  <c r="B24" i="1"/>
  <c r="O464" i="1" a="1"/>
  <c r="O464" i="1"/>
  <c r="B464" i="1" a="1"/>
  <c r="B464" i="1"/>
  <c r="O498" i="1" a="1"/>
  <c r="O498" i="1"/>
  <c r="B498" i="1" a="1"/>
  <c r="B498" i="1"/>
  <c r="O378" i="1" a="1"/>
  <c r="O378" i="1"/>
  <c r="B378" i="1" a="1"/>
  <c r="B378" i="1"/>
  <c r="O179" i="1" a="1"/>
  <c r="O179" i="1"/>
  <c r="B179" i="1" a="1"/>
  <c r="B179" i="1"/>
  <c r="O535" i="1" a="1"/>
  <c r="O535" i="1"/>
  <c r="B535" i="1" a="1"/>
  <c r="B535" i="1"/>
  <c r="O307" i="1" a="1"/>
  <c r="O307" i="1"/>
  <c r="B307" i="1" a="1"/>
  <c r="B307" i="1"/>
  <c r="O182" i="1" a="1"/>
  <c r="O182" i="1"/>
  <c r="B182" i="1" a="1"/>
  <c r="B182" i="1"/>
  <c r="B13" i="1" a="1"/>
  <c r="B13" i="1"/>
  <c r="O511" i="1" a="1"/>
  <c r="O511" i="1"/>
  <c r="B511" i="1" a="1"/>
  <c r="B511" i="1"/>
  <c r="O96" i="1" a="1"/>
  <c r="O96" i="1"/>
  <c r="B96" i="1" a="1"/>
  <c r="B96" i="1"/>
  <c r="B59" i="1" a="1"/>
  <c r="B59" i="1"/>
  <c r="O664" i="1" a="1"/>
  <c r="O664" i="1"/>
  <c r="O290" i="1" a="1"/>
  <c r="O290" i="1"/>
  <c r="B290" i="1" a="1"/>
  <c r="B290" i="1"/>
  <c r="B420" i="1" a="1"/>
  <c r="B420" i="1"/>
  <c r="O668" i="1" a="1"/>
  <c r="O668" i="1"/>
  <c r="B668" i="1" a="1"/>
  <c r="B668" i="1"/>
  <c r="O469" i="1" a="1"/>
  <c r="O469" i="1"/>
  <c r="B469" i="1" a="1"/>
  <c r="B469" i="1"/>
  <c r="B571" i="1" a="1"/>
  <c r="B571" i="1"/>
  <c r="O196" i="1" a="1"/>
  <c r="O196" i="1"/>
  <c r="B196" i="1" a="1"/>
  <c r="B196" i="1"/>
  <c r="B370" i="1" a="1"/>
  <c r="B370" i="1"/>
  <c r="O635" i="1" a="1"/>
  <c r="O635" i="1"/>
  <c r="B635" i="1" a="1"/>
  <c r="B635" i="1"/>
  <c r="O400" i="1" a="1"/>
  <c r="O400" i="1"/>
  <c r="B400" i="1" a="1"/>
  <c r="B400" i="1"/>
  <c r="O340" i="1" a="1"/>
  <c r="O340" i="1"/>
  <c r="B340" i="1" a="1"/>
  <c r="B340" i="1"/>
  <c r="B371" i="1" a="1"/>
  <c r="B371" i="1"/>
  <c r="O333" i="1" a="1"/>
  <c r="O333" i="1"/>
  <c r="B333" i="1" a="1"/>
  <c r="B333" i="1"/>
  <c r="O394" i="1" a="1"/>
  <c r="O394" i="1"/>
  <c r="B394" i="1" a="1"/>
  <c r="B394" i="1"/>
  <c r="B372" i="1" a="1"/>
  <c r="B372" i="1"/>
  <c r="B558" i="1" a="1"/>
  <c r="B558" i="1"/>
  <c r="B502" i="1" a="1"/>
  <c r="B502" i="1"/>
  <c r="B508" i="1" a="1"/>
  <c r="B508" i="1"/>
  <c r="O649" i="1" a="1"/>
  <c r="O649" i="1"/>
  <c r="B649" i="1" a="1"/>
  <c r="B649" i="1"/>
  <c r="B240" i="1" a="1"/>
  <c r="B240" i="1"/>
  <c r="B23" i="1" a="1"/>
  <c r="B23" i="1"/>
  <c r="O657" i="1" a="1"/>
  <c r="O657" i="1"/>
  <c r="B657" i="1" a="1"/>
  <c r="B657" i="1"/>
  <c r="O492" i="1" a="1"/>
  <c r="O492" i="1"/>
  <c r="B492" i="1" a="1"/>
  <c r="B492" i="1"/>
  <c r="O396" i="1" a="1"/>
  <c r="O396" i="1"/>
  <c r="B396" i="1" a="1"/>
  <c r="B396" i="1"/>
  <c r="O147" i="1" a="1"/>
  <c r="O147" i="1"/>
  <c r="B147" i="1" a="1"/>
  <c r="B147" i="1"/>
  <c r="B349" i="1" a="1"/>
  <c r="B349" i="1"/>
  <c r="B612" i="1" a="1"/>
  <c r="B612" i="1"/>
  <c r="O586" i="1" a="1"/>
  <c r="O586" i="1"/>
  <c r="B586" i="1" a="1"/>
  <c r="B586" i="1"/>
  <c r="B374" i="1" a="1"/>
  <c r="B374" i="1"/>
  <c r="B688" i="1" a="1"/>
  <c r="B688" i="1"/>
  <c r="B114" i="1" a="1"/>
  <c r="B114" i="1"/>
  <c r="B252" i="1" a="1"/>
  <c r="B252" i="1"/>
  <c r="O408" i="1" a="1"/>
  <c r="O408" i="1"/>
  <c r="B620" i="1" a="1"/>
  <c r="B620" i="1"/>
  <c r="B489" i="1" a="1"/>
  <c r="B489" i="1"/>
  <c r="B291" i="1" a="1"/>
  <c r="B291" i="1"/>
  <c r="B687" i="1" a="1"/>
  <c r="B687" i="1"/>
  <c r="O686" i="1" a="1"/>
  <c r="O686" i="1"/>
  <c r="O512" i="1" a="1"/>
  <c r="O512" i="1"/>
  <c r="B354" i="1" a="1"/>
  <c r="B354" i="1"/>
  <c r="B625" i="1" a="1"/>
  <c r="B625" i="1"/>
  <c r="O461" i="1" a="1"/>
  <c r="O461" i="1"/>
  <c r="B377" i="1" a="1"/>
  <c r="B377" i="1"/>
  <c r="B674" i="1" a="1"/>
  <c r="B674" i="1"/>
  <c r="B652" i="1" a="1"/>
  <c r="B652" i="1"/>
  <c r="B500" i="1" a="1"/>
  <c r="B500" i="1"/>
  <c r="O685" i="1" a="1"/>
  <c r="O685" i="1"/>
  <c r="O585" i="1" a="1"/>
  <c r="O585" i="1"/>
  <c r="O544" i="1" a="1"/>
  <c r="O544" i="1"/>
  <c r="B50" i="1" a="1"/>
  <c r="B50" i="1"/>
  <c r="B45" i="1" a="1"/>
  <c r="B45" i="1"/>
  <c r="B72" i="1" a="1"/>
  <c r="B72" i="1"/>
  <c r="B101" i="1" a="1"/>
  <c r="B101" i="1"/>
  <c r="P692" i="1" a="1"/>
  <c r="P692" i="1"/>
  <c r="P696" i="1" a="1"/>
  <c r="P696" i="1"/>
  <c r="P689" i="1" a="1"/>
  <c r="P689" i="1"/>
  <c r="P691" i="1" a="1"/>
  <c r="P691" i="1"/>
  <c r="P697" i="1" a="1"/>
  <c r="P697" i="1"/>
  <c r="P694" i="1" a="1"/>
  <c r="P694" i="1"/>
  <c r="P695" i="1" a="1"/>
  <c r="P695" i="1"/>
  <c r="P690" i="1" a="1"/>
  <c r="P690" i="1"/>
  <c r="P693" i="1" a="1"/>
  <c r="P693" i="1"/>
  <c r="C696" i="1" a="1"/>
  <c r="D682" i="1" a="1"/>
  <c r="D666" i="1" a="1"/>
  <c r="D675" i="1" a="1"/>
  <c r="Q662" i="1" a="1"/>
  <c r="D674" i="1" a="1"/>
  <c r="Q661" i="1" a="1"/>
  <c r="D673" i="1" a="1"/>
  <c r="Q660" i="1" a="1"/>
  <c r="D672" i="1" a="1"/>
  <c r="Q659" i="1" a="1"/>
  <c r="D671" i="1" a="1"/>
  <c r="Q658" i="1" a="1"/>
  <c r="D670" i="1" a="1"/>
  <c r="Q657" i="1" a="1"/>
  <c r="D669" i="1" a="1"/>
  <c r="Q656" i="1" a="1"/>
  <c r="D668" i="1" a="1"/>
  <c r="Q655" i="1" a="1"/>
  <c r="D667" i="1" a="1"/>
  <c r="Q654" i="1" a="1"/>
  <c r="D665" i="1" a="1"/>
  <c r="Q653" i="1" a="1"/>
  <c r="D664" i="1" a="1"/>
  <c r="Q652" i="1" a="1"/>
  <c r="D697" i="1" a="1"/>
  <c r="D663" i="1" a="1"/>
  <c r="Q651" i="1" a="1"/>
  <c r="D696" i="1" a="1"/>
  <c r="D662" i="1" a="1"/>
  <c r="Q682" i="1" a="1"/>
  <c r="Q650" i="1" a="1"/>
  <c r="D695" i="1" a="1"/>
  <c r="D661" i="1" a="1"/>
  <c r="Q681" i="1" a="1"/>
  <c r="Q649" i="1" a="1"/>
  <c r="D694" i="1" a="1"/>
  <c r="Q680" i="1" a="1"/>
  <c r="Q648" i="1" a="1"/>
  <c r="D693" i="1" a="1"/>
  <c r="Q679" i="1" a="1"/>
  <c r="Q647" i="1" a="1"/>
  <c r="D692" i="1" a="1"/>
  <c r="Q678" i="1" a="1"/>
  <c r="Q646" i="1" a="1"/>
  <c r="D691" i="1" a="1"/>
  <c r="Q677" i="1" a="1"/>
  <c r="Q645" i="1" a="1"/>
  <c r="D690" i="1" a="1"/>
  <c r="Q676" i="1" a="1"/>
  <c r="Q644" i="1" a="1"/>
  <c r="D689" i="1" a="1"/>
  <c r="Q675" i="1" a="1"/>
  <c r="Q643" i="1" a="1"/>
  <c r="D688" i="1" a="1"/>
  <c r="Q674" i="1" a="1"/>
  <c r="Q642" i="1" a="1"/>
  <c r="D687" i="1" a="1"/>
  <c r="Q673" i="1" a="1"/>
  <c r="Q641" i="1" a="1"/>
  <c r="D686" i="1" a="1"/>
  <c r="Q672" i="1" a="1"/>
  <c r="Q640" i="1" a="1"/>
  <c r="D685" i="1" a="1"/>
  <c r="Q671" i="1" a="1"/>
  <c r="D684" i="1" a="1"/>
  <c r="Q670" i="1" a="1"/>
  <c r="D683" i="1" a="1"/>
  <c r="Q669" i="1" a="1"/>
  <c r="D681" i="1" a="1"/>
  <c r="Q668" i="1" a="1"/>
  <c r="D680" i="1" a="1"/>
  <c r="Q667" i="1" a="1"/>
  <c r="D679" i="1" a="1"/>
  <c r="Q666" i="1" a="1"/>
  <c r="D678" i="1" a="1"/>
  <c r="Q665" i="1" a="1"/>
  <c r="D677" i="1" a="1"/>
  <c r="Q664" i="1" a="1"/>
  <c r="D676" i="1" a="1"/>
  <c r="Q663" i="1" a="1"/>
  <c r="O500" i="1" a="1"/>
  <c r="O625" i="1" a="1"/>
  <c r="O620" i="1" a="1"/>
  <c r="B585" i="1" a="1"/>
  <c r="O377" i="1" a="1"/>
  <c r="B512" i="1" a="1"/>
  <c r="O101" i="1" a="1"/>
  <c r="O687" i="1" a="1"/>
  <c r="O45" i="1" a="1"/>
  <c r="O252" i="1" a="1"/>
  <c r="B685" i="1" a="1"/>
  <c r="O489" i="1" a="1"/>
  <c r="B461" i="1" a="1"/>
  <c r="B544" i="1" a="1"/>
  <c r="O652" i="1" a="1"/>
  <c r="O354" i="1" a="1"/>
  <c r="B686" i="1" a="1"/>
  <c r="O674" i="1" a="1"/>
  <c r="B408" i="1" a="1"/>
  <c r="O72" i="1" a="1"/>
  <c r="O291" i="1" a="1"/>
  <c r="O50" i="1" a="1"/>
  <c r="O372" i="1" a="1"/>
  <c r="O371" i="1" a="1"/>
  <c r="O571" i="1" a="1"/>
  <c r="O420" i="1" a="1"/>
  <c r="O59" i="1" a="1"/>
  <c r="O688" i="1" a="1"/>
  <c r="O374" i="1" a="1"/>
  <c r="O114" i="1" a="1"/>
  <c r="O612" i="1" a="1"/>
  <c r="O349" i="1" a="1"/>
  <c r="O240" i="1" a="1"/>
  <c r="O508" i="1" a="1"/>
  <c r="O502" i="1" a="1"/>
  <c r="O558" i="1" a="1"/>
  <c r="O370" i="1" a="1"/>
  <c r="B664" i="1" a="1"/>
  <c r="R694" i="1"/>
  <c r="T694" i="1"/>
  <c r="V694" i="1"/>
  <c r="B664" i="1"/>
  <c r="O370" i="1"/>
  <c r="O558" i="1"/>
  <c r="O502" i="1"/>
  <c r="O508" i="1"/>
  <c r="O240" i="1"/>
  <c r="O349" i="1"/>
  <c r="O612" i="1"/>
  <c r="O114" i="1"/>
  <c r="O374" i="1"/>
  <c r="O688" i="1"/>
  <c r="O59" i="1"/>
  <c r="O420" i="1"/>
  <c r="O571" i="1"/>
  <c r="O371" i="1"/>
  <c r="O372" i="1"/>
  <c r="O50" i="1"/>
  <c r="O291" i="1"/>
  <c r="O72" i="1"/>
  <c r="B408" i="1"/>
  <c r="O674" i="1"/>
  <c r="B686" i="1"/>
  <c r="O354" i="1"/>
  <c r="O652" i="1"/>
  <c r="B544" i="1"/>
  <c r="B461" i="1"/>
  <c r="O489" i="1"/>
  <c r="B685" i="1"/>
  <c r="O252" i="1"/>
  <c r="O45" i="1"/>
  <c r="O687" i="1"/>
  <c r="O101" i="1"/>
  <c r="B512" i="1"/>
  <c r="O377" i="1"/>
  <c r="B585" i="1"/>
  <c r="O620" i="1"/>
  <c r="O625" i="1"/>
  <c r="O500" i="1"/>
  <c r="Q663" i="1"/>
  <c r="D676" i="1"/>
  <c r="Q664" i="1"/>
  <c r="D677" i="1"/>
  <c r="Q665" i="1"/>
  <c r="D678" i="1"/>
  <c r="Q666" i="1"/>
  <c r="D679" i="1"/>
  <c r="Q667" i="1"/>
  <c r="D680" i="1"/>
  <c r="Q668" i="1"/>
  <c r="D681" i="1"/>
  <c r="R695" i="1"/>
  <c r="T695" i="1"/>
  <c r="V695" i="1"/>
  <c r="Q669" i="1"/>
  <c r="D683" i="1"/>
  <c r="Q670" i="1"/>
  <c r="D684" i="1"/>
  <c r="R697" i="1"/>
  <c r="T697" i="1"/>
  <c r="V697" i="1"/>
  <c r="Q671" i="1"/>
  <c r="D685" i="1"/>
  <c r="Q640" i="1"/>
  <c r="Q672" i="1"/>
  <c r="D686" i="1"/>
  <c r="Q641" i="1"/>
  <c r="Q673" i="1"/>
  <c r="D687" i="1"/>
  <c r="Q642" i="1"/>
  <c r="Q674" i="1"/>
  <c r="D688" i="1"/>
  <c r="Q643" i="1"/>
  <c r="Q675" i="1"/>
  <c r="D689" i="1"/>
  <c r="Q644" i="1"/>
  <c r="Q676" i="1"/>
  <c r="D690" i="1"/>
  <c r="Q645" i="1"/>
  <c r="Q677" i="1"/>
  <c r="D691" i="1"/>
  <c r="Q646" i="1"/>
  <c r="Q678" i="1"/>
  <c r="D692" i="1"/>
  <c r="Q647" i="1"/>
  <c r="Q679" i="1"/>
  <c r="D693" i="1"/>
  <c r="Q648" i="1"/>
  <c r="Q680" i="1"/>
  <c r="D694" i="1"/>
  <c r="Q649" i="1"/>
  <c r="Q681" i="1"/>
  <c r="D661" i="1"/>
  <c r="D695" i="1"/>
  <c r="Q650" i="1"/>
  <c r="Q682" i="1"/>
  <c r="D662" i="1"/>
  <c r="D696" i="1"/>
  <c r="Q651" i="1"/>
  <c r="D663" i="1"/>
  <c r="D697" i="1"/>
  <c r="Q652" i="1"/>
  <c r="D664" i="1"/>
  <c r="Q653" i="1"/>
  <c r="D665" i="1"/>
  <c r="Q654" i="1"/>
  <c r="D667" i="1"/>
  <c r="Q655" i="1"/>
  <c r="D668" i="1"/>
  <c r="Q656" i="1"/>
  <c r="D669" i="1"/>
  <c r="Q657" i="1"/>
  <c r="D670" i="1"/>
  <c r="Q658" i="1"/>
  <c r="D671" i="1"/>
  <c r="Q659" i="1"/>
  <c r="D672" i="1"/>
  <c r="Q660" i="1"/>
  <c r="D673" i="1"/>
  <c r="Q661" i="1"/>
  <c r="D674" i="1"/>
  <c r="Q662" i="1"/>
  <c r="D675" i="1"/>
  <c r="D666" i="1"/>
  <c r="D682" i="1"/>
  <c r="R690" i="1"/>
  <c r="T690" i="1"/>
  <c r="V690" i="1"/>
  <c r="C696" i="1"/>
  <c r="C697" i="1" a="1"/>
  <c r="C697" i="1"/>
  <c r="C695" i="1" a="1"/>
  <c r="C695" i="1"/>
  <c r="C691" i="1" a="1"/>
  <c r="C691" i="1"/>
  <c r="C694" i="1" a="1"/>
  <c r="C694" i="1"/>
  <c r="C693" i="1" a="1"/>
  <c r="C693" i="1"/>
  <c r="C689" i="1" a="1"/>
  <c r="C689" i="1"/>
  <c r="C690" i="1" a="1"/>
  <c r="C690" i="1"/>
  <c r="C692" i="1" a="1"/>
  <c r="C692" i="1"/>
  <c r="R689" i="1"/>
  <c r="T689" i="1"/>
  <c r="V689" i="1"/>
  <c r="R692" i="1"/>
  <c r="T692" i="1"/>
  <c r="V692" i="1"/>
  <c r="R691" i="1"/>
  <c r="T691" i="1"/>
  <c r="V691" i="1"/>
  <c r="R693" i="1"/>
  <c r="T693" i="1"/>
  <c r="V693" i="1"/>
  <c r="R696" i="1"/>
  <c r="T696" i="1"/>
  <c r="V696" i="1"/>
  <c r="E696" i="1"/>
  <c r="G696" i="1"/>
  <c r="I696" i="1"/>
  <c r="E694" i="1"/>
  <c r="G694" i="1"/>
  <c r="I694" i="1"/>
  <c r="E697" i="1"/>
  <c r="G697" i="1"/>
  <c r="I697" i="1"/>
  <c r="E693" i="1"/>
  <c r="G693" i="1"/>
  <c r="I693" i="1"/>
  <c r="E692" i="1"/>
  <c r="G692" i="1"/>
  <c r="I692" i="1"/>
  <c r="E695" i="1"/>
  <c r="G695" i="1"/>
  <c r="I695" i="1"/>
  <c r="E689" i="1"/>
  <c r="G689" i="1"/>
  <c r="I689" i="1"/>
  <c r="E691" i="1"/>
  <c r="G691" i="1"/>
  <c r="I691" i="1"/>
  <c r="E690" i="1"/>
  <c r="G690" i="1"/>
  <c r="I690" i="1"/>
  <c r="P688" i="1" a="1"/>
  <c r="P688" i="1"/>
  <c r="P687" i="1" a="1"/>
  <c r="P687" i="1"/>
  <c r="R687" i="1"/>
  <c r="T687" i="1"/>
  <c r="V687" i="1"/>
  <c r="P677" i="1" a="1"/>
  <c r="R688" i="1"/>
  <c r="T688" i="1"/>
  <c r="V688" i="1"/>
  <c r="P677" i="1"/>
  <c r="P676" i="1" a="1"/>
  <c r="P676" i="1"/>
  <c r="C688" i="1" a="1"/>
  <c r="C688" i="1"/>
  <c r="C687" i="1" a="1"/>
  <c r="C687" i="1"/>
  <c r="C677" i="1" a="1"/>
  <c r="E688" i="1"/>
  <c r="G688" i="1"/>
  <c r="I688" i="1"/>
  <c r="E687" i="1"/>
  <c r="G687" i="1"/>
  <c r="I687" i="1"/>
  <c r="C677" i="1"/>
  <c r="C685" i="1" a="1"/>
  <c r="C685" i="1"/>
  <c r="C686" i="1" a="1"/>
  <c r="C686" i="1"/>
  <c r="C684" i="1" a="1"/>
  <c r="C684" i="1"/>
  <c r="C681" i="1" a="1"/>
  <c r="C681" i="1"/>
  <c r="C680" i="1" a="1"/>
  <c r="C680" i="1"/>
  <c r="C679" i="1" a="1"/>
  <c r="C679" i="1"/>
  <c r="C678" i="1" a="1"/>
  <c r="C678" i="1"/>
  <c r="C676" i="1" a="1"/>
  <c r="C676" i="1"/>
  <c r="P595" i="1" a="1"/>
  <c r="P595" i="1"/>
  <c r="AM576" i="1" a="1"/>
  <c r="AM576" i="1"/>
  <c r="AG576" i="1" a="1"/>
  <c r="AG576" i="1"/>
  <c r="C239" i="1" a="1"/>
  <c r="C239" i="1"/>
  <c r="P239" i="1" a="1"/>
  <c r="P239" i="1"/>
  <c r="AK572" i="1" a="1"/>
  <c r="AK572" i="1"/>
  <c r="AE572" i="1" a="1"/>
  <c r="AE572" i="1"/>
  <c r="C595" i="1" a="1"/>
  <c r="C595" i="1"/>
  <c r="C581" i="1" a="1"/>
  <c r="C581" i="1"/>
  <c r="P581" i="1" a="1"/>
  <c r="P581" i="1"/>
  <c r="AE456" i="1" a="1"/>
  <c r="AE456" i="1"/>
  <c r="AK456" i="1" a="1"/>
  <c r="AK456" i="1"/>
  <c r="AE466" i="1" a="1"/>
  <c r="AE466" i="1"/>
  <c r="AK466" i="1" a="1"/>
  <c r="AK466" i="1"/>
  <c r="AM523" i="1" a="1"/>
  <c r="AM523" i="1"/>
  <c r="AG523" i="1" a="1"/>
  <c r="AG523" i="1"/>
  <c r="AK502" i="1" a="1"/>
  <c r="AK502" i="1"/>
  <c r="AE502" i="1" a="1"/>
  <c r="AE502" i="1"/>
  <c r="C571" i="1" a="1"/>
  <c r="C571" i="1"/>
  <c r="P571" i="1" a="1"/>
  <c r="P571" i="1"/>
  <c r="AK336" i="1" a="1"/>
  <c r="AK336" i="1"/>
  <c r="C470" i="1" a="1"/>
  <c r="C470" i="1"/>
  <c r="C400" i="1" a="1"/>
  <c r="C400" i="1"/>
  <c r="P400" i="1" a="1"/>
  <c r="P400" i="1"/>
  <c r="C318" i="1" a="1"/>
  <c r="C318" i="1"/>
  <c r="P318" i="1" a="1"/>
  <c r="P318" i="1"/>
  <c r="AK495" i="1" a="1"/>
  <c r="AK495" i="1"/>
  <c r="AM491" i="1" a="1"/>
  <c r="AM491" i="1"/>
  <c r="AG491" i="1" a="1"/>
  <c r="AG491" i="1"/>
  <c r="AE495" i="1" a="1"/>
  <c r="AE495" i="1"/>
  <c r="AE336" i="1" a="1"/>
  <c r="AE336" i="1"/>
  <c r="P470" i="1" a="1"/>
  <c r="P470" i="1"/>
  <c r="AE511" i="1" a="1"/>
  <c r="AE511" i="1"/>
  <c r="AK511" i="1" a="1"/>
  <c r="AK511" i="1"/>
  <c r="C491" i="1" a="1"/>
  <c r="C491" i="1"/>
  <c r="AK541" i="1" a="1"/>
  <c r="AK541" i="1"/>
  <c r="AE541" i="1" a="1"/>
  <c r="AE541" i="1"/>
  <c r="AE292" i="1" a="1"/>
  <c r="AE292" i="1"/>
  <c r="AK292" i="1" a="1"/>
  <c r="AK292" i="1"/>
  <c r="AG481" i="1" a="1"/>
  <c r="AG481" i="1"/>
  <c r="AM481" i="1" a="1"/>
  <c r="AM481" i="1"/>
  <c r="AG522" i="1" a="1"/>
  <c r="AG522" i="1"/>
  <c r="AM522" i="1" a="1"/>
  <c r="AM522" i="1"/>
  <c r="C476" i="1" a="1"/>
  <c r="C476" i="1"/>
  <c r="P476" i="1" a="1"/>
  <c r="P476" i="1"/>
  <c r="P491" i="1" a="1"/>
  <c r="P491" i="1"/>
  <c r="C424" i="1" a="1"/>
  <c r="C424" i="1"/>
  <c r="AE433" i="1" a="1"/>
  <c r="AE433" i="1"/>
  <c r="P424" i="1" a="1"/>
  <c r="P424" i="1"/>
  <c r="AK433" i="1" a="1"/>
  <c r="AK433" i="1"/>
  <c r="AE380" i="1" a="1"/>
  <c r="AE380" i="1"/>
  <c r="AK380" i="1" a="1"/>
  <c r="AK380" i="1"/>
  <c r="P388" i="1" a="1"/>
  <c r="P388" i="1"/>
  <c r="C388" i="1" a="1"/>
  <c r="C388" i="1"/>
  <c r="C367" i="1" a="1"/>
  <c r="C367" i="1"/>
  <c r="P367" i="1" a="1"/>
  <c r="P367" i="1"/>
  <c r="AE413" i="1" a="1"/>
  <c r="AE413" i="1"/>
  <c r="AK413" i="1" a="1"/>
  <c r="AK413" i="1"/>
  <c r="P391" i="1" a="1"/>
  <c r="P391" i="1"/>
  <c r="C391" i="1" a="1"/>
  <c r="C391" i="1"/>
  <c r="AK519" i="1" a="1"/>
  <c r="AK519" i="1"/>
  <c r="AE519" i="1" a="1"/>
  <c r="AE519" i="1"/>
  <c r="AG484" i="1" a="1"/>
  <c r="AG484" i="1"/>
  <c r="AM484" i="1" a="1"/>
  <c r="AM484" i="1"/>
  <c r="P501" i="1" a="1"/>
  <c r="P501" i="1"/>
  <c r="C501" i="1" a="1"/>
  <c r="C501" i="1"/>
  <c r="C576" i="1" a="1"/>
  <c r="C576" i="1"/>
  <c r="P576" i="1" a="1"/>
  <c r="P576" i="1"/>
  <c r="AK454" i="1" a="1"/>
  <c r="AK454" i="1"/>
  <c r="AE454" i="1" a="1"/>
  <c r="AE454" i="1"/>
  <c r="P525" i="1" a="1"/>
  <c r="P525" i="1"/>
  <c r="P499" i="1" a="1"/>
  <c r="P499" i="1"/>
  <c r="C499" i="1" a="1"/>
  <c r="C499" i="1"/>
  <c r="C525" i="1" a="1"/>
  <c r="C525" i="1"/>
  <c r="AE450" i="1" a="1"/>
  <c r="AE450" i="1"/>
  <c r="AK450" i="1" a="1"/>
  <c r="AK450" i="1"/>
  <c r="C345" i="1" a="1"/>
  <c r="C345" i="1"/>
  <c r="P345" i="1" a="1"/>
  <c r="P345" i="1"/>
  <c r="AG466" i="1" a="1"/>
  <c r="AG466" i="1"/>
  <c r="AM466" i="1" a="1"/>
  <c r="AM466" i="1"/>
  <c r="C297" i="1" a="1"/>
  <c r="C297" i="1"/>
  <c r="P297" i="1" a="1"/>
  <c r="P297" i="1"/>
  <c r="P449" i="1" a="1"/>
  <c r="P449" i="1"/>
  <c r="C449" i="1" a="1"/>
  <c r="C449" i="1"/>
  <c r="C591" i="1" a="1"/>
  <c r="C591" i="1"/>
  <c r="P591" i="1" a="1"/>
  <c r="P591" i="1"/>
  <c r="AE513" i="1" a="1"/>
  <c r="AE513" i="1"/>
  <c r="AK513" i="1" a="1"/>
  <c r="AK513" i="1"/>
  <c r="AK402" i="1" a="1"/>
  <c r="AK402" i="1"/>
  <c r="C481" i="1" a="1"/>
  <c r="C481" i="1"/>
  <c r="P481" i="1" a="1"/>
  <c r="P481" i="1"/>
  <c r="AE402" i="1" a="1"/>
  <c r="AE402" i="1"/>
  <c r="AK371" i="1" a="1"/>
  <c r="AK371" i="1"/>
  <c r="AE371" i="1" a="1"/>
  <c r="AE371" i="1"/>
  <c r="AK335" i="1" a="1"/>
  <c r="AK335" i="1"/>
  <c r="AE335" i="1" a="1"/>
  <c r="AE335" i="1"/>
  <c r="AE415" i="1" a="1"/>
  <c r="AE415" i="1"/>
  <c r="AK415" i="1" a="1"/>
  <c r="AK415" i="1"/>
  <c r="C464" i="1" a="1"/>
  <c r="C464" i="1"/>
  <c r="P464" i="1" a="1"/>
  <c r="P464" i="1"/>
  <c r="AE392" i="1" a="1"/>
  <c r="AE392" i="1"/>
  <c r="AK392" i="1" a="1"/>
  <c r="AK392" i="1"/>
  <c r="AK273" i="1" a="1"/>
  <c r="AK273" i="1"/>
  <c r="AE273" i="1" a="1"/>
  <c r="AE273" i="1"/>
  <c r="C518" i="1" a="1"/>
  <c r="C518" i="1"/>
  <c r="P518" i="1" a="1"/>
  <c r="P518" i="1"/>
  <c r="C299" i="1" a="1"/>
  <c r="C299" i="1"/>
  <c r="P299" i="1" a="1"/>
  <c r="P299" i="1"/>
  <c r="C419" i="1" a="1"/>
  <c r="C419" i="1"/>
  <c r="P419" i="1" a="1"/>
  <c r="P419" i="1"/>
  <c r="P273" i="1" a="1"/>
  <c r="P273" i="1"/>
  <c r="C273" i="1" a="1"/>
  <c r="C273" i="1"/>
  <c r="C468" i="1" a="1"/>
  <c r="C468" i="1"/>
  <c r="P468" i="1" a="1"/>
  <c r="P468" i="1"/>
  <c r="AK534" i="1" a="1"/>
  <c r="AK534" i="1"/>
  <c r="AE534" i="1" a="1"/>
  <c r="AE534" i="1"/>
  <c r="C517" i="1" a="1"/>
  <c r="C517" i="1"/>
  <c r="P517" i="1" a="1"/>
  <c r="P517" i="1"/>
  <c r="AG461" i="1" a="1"/>
  <c r="AG461" i="1"/>
  <c r="AM461" i="1" a="1"/>
  <c r="AM461" i="1"/>
  <c r="P574" i="1" a="1"/>
  <c r="P574" i="1"/>
  <c r="C574" i="1" a="1"/>
  <c r="C574" i="1"/>
  <c r="P579" i="1" a="1"/>
  <c r="P579" i="1"/>
  <c r="C579" i="1" a="1"/>
  <c r="C579" i="1"/>
  <c r="C460" i="1" a="1"/>
  <c r="C460" i="1"/>
  <c r="P460" i="1" a="1"/>
  <c r="P460" i="1"/>
  <c r="C455" i="1" a="1"/>
  <c r="C455" i="1"/>
  <c r="P455" i="1" a="1"/>
  <c r="P455" i="1"/>
  <c r="AG570" i="1" a="1"/>
  <c r="AG570" i="1"/>
  <c r="AM570" i="1" a="1"/>
  <c r="AM570" i="1"/>
  <c r="AM533" i="1" a="1"/>
  <c r="AM533" i="1"/>
  <c r="AG533" i="1" a="1"/>
  <c r="AG533" i="1"/>
  <c r="P433" i="1" a="1"/>
  <c r="P433" i="1"/>
  <c r="C433" i="1" a="1"/>
  <c r="C433" i="1"/>
  <c r="AK438" i="1" a="1"/>
  <c r="AK438" i="1"/>
  <c r="AE438" i="1" a="1"/>
  <c r="AE438" i="1"/>
  <c r="P448" i="1" a="1"/>
  <c r="P448" i="1"/>
  <c r="C448" i="1" a="1"/>
  <c r="C448" i="1"/>
  <c r="P432" i="1" a="1"/>
  <c r="P432" i="1"/>
  <c r="C432" i="1" a="1"/>
  <c r="C432" i="1"/>
  <c r="AK249" i="1" a="1"/>
  <c r="AK249" i="1"/>
  <c r="AE249" i="1" a="1"/>
  <c r="AE249" i="1"/>
  <c r="AK465" i="1" a="1"/>
  <c r="AK465" i="1"/>
  <c r="AE465" i="1" a="1"/>
  <c r="AE465" i="1"/>
  <c r="AK297" i="1" a="1"/>
  <c r="AK297" i="1"/>
  <c r="AE297" i="1" a="1"/>
  <c r="AE297" i="1"/>
  <c r="C444" i="1" a="1"/>
  <c r="C444" i="1"/>
  <c r="P444" i="1" a="1"/>
  <c r="P444" i="1"/>
  <c r="AE500" i="1" a="1"/>
  <c r="AE500" i="1"/>
  <c r="AE499" i="1" a="1"/>
  <c r="AE499" i="1"/>
  <c r="AK500" i="1" a="1"/>
  <c r="AK500" i="1"/>
  <c r="AM531" i="1" a="1"/>
  <c r="AM531" i="1"/>
  <c r="AG531" i="1" a="1"/>
  <c r="AG531" i="1"/>
  <c r="AK310" i="1" a="1"/>
  <c r="AK310" i="1"/>
  <c r="AE310" i="1" a="1"/>
  <c r="AE310" i="1"/>
  <c r="AG454" i="1" a="1"/>
  <c r="AG454" i="1"/>
  <c r="AM454" i="1" a="1"/>
  <c r="AM454" i="1"/>
  <c r="AE204" i="1" a="1"/>
  <c r="AE204" i="1"/>
  <c r="AK204" i="1" a="1"/>
  <c r="AK204" i="1"/>
  <c r="AE439" i="1" a="1"/>
  <c r="AE439" i="1"/>
  <c r="AK439" i="1" a="1"/>
  <c r="AK439" i="1"/>
  <c r="P417" i="1" a="1"/>
  <c r="P417" i="1"/>
  <c r="C417" i="1" a="1"/>
  <c r="C417" i="1"/>
  <c r="P393" i="1" a="1"/>
  <c r="P393" i="1"/>
  <c r="C393" i="1" a="1"/>
  <c r="C393" i="1"/>
  <c r="AE288" i="1" a="1"/>
  <c r="AE288" i="1"/>
  <c r="AK288" i="1" a="1"/>
  <c r="AK288" i="1"/>
  <c r="AK265" i="1" a="1"/>
  <c r="AK265" i="1"/>
  <c r="AE265" i="1" a="1"/>
  <c r="AE265" i="1"/>
  <c r="AE416" i="1" a="1"/>
  <c r="AE416" i="1"/>
  <c r="AK416" i="1" a="1"/>
  <c r="AK416" i="1"/>
  <c r="AE340" i="1" a="1"/>
  <c r="AE340" i="1"/>
  <c r="AK340" i="1" a="1"/>
  <c r="AK340" i="1"/>
  <c r="AG567" i="1" a="1"/>
  <c r="AG567" i="1"/>
  <c r="AM567" i="1" a="1"/>
  <c r="AM567" i="1"/>
  <c r="P451" i="1" a="1"/>
  <c r="P451" i="1"/>
  <c r="C451" i="1" a="1"/>
  <c r="C451" i="1"/>
  <c r="C373" i="1" a="1"/>
  <c r="C373" i="1"/>
  <c r="P373" i="1" a="1"/>
  <c r="P373" i="1"/>
  <c r="P407" i="1" a="1"/>
  <c r="P407" i="1"/>
  <c r="C407" i="1" a="1"/>
  <c r="C407" i="1"/>
  <c r="AK430" i="1" a="1"/>
  <c r="AK430" i="1"/>
  <c r="AE430" i="1" a="1"/>
  <c r="AE430" i="1"/>
  <c r="C374" i="1" a="1"/>
  <c r="C374" i="1"/>
  <c r="P374" i="1" a="1"/>
  <c r="P374" i="1"/>
  <c r="AK490" i="1" a="1"/>
  <c r="AK490" i="1"/>
  <c r="AE490" i="1" a="1"/>
  <c r="AE490" i="1"/>
  <c r="AK530" i="1" a="1"/>
  <c r="AK530" i="1"/>
  <c r="AE530" i="1" a="1"/>
  <c r="AE530" i="1"/>
  <c r="C497" i="1" a="1"/>
  <c r="C497" i="1"/>
  <c r="P497" i="1" a="1"/>
  <c r="P497" i="1"/>
  <c r="AM515" i="1" a="1"/>
  <c r="AM515" i="1"/>
  <c r="AG515" i="1" a="1"/>
  <c r="AG515" i="1"/>
  <c r="AM449" i="1" a="1"/>
  <c r="AM449" i="1"/>
  <c r="AG449" i="1" a="1"/>
  <c r="AG449" i="1"/>
  <c r="P526" i="1" a="1"/>
  <c r="P526" i="1"/>
  <c r="C526" i="1" a="1"/>
  <c r="C526" i="1"/>
  <c r="C369" i="1" a="1"/>
  <c r="C369" i="1"/>
  <c r="P369" i="1" a="1"/>
  <c r="P369" i="1"/>
  <c r="AE478" i="1" a="1"/>
  <c r="AE478" i="1"/>
  <c r="AK478" i="1" a="1"/>
  <c r="AK478" i="1"/>
  <c r="P334" i="1" a="1"/>
  <c r="P334" i="1"/>
  <c r="C334" i="1" a="1"/>
  <c r="C334" i="1"/>
  <c r="P569" i="1" a="1"/>
  <c r="P569" i="1"/>
  <c r="C569" i="1" a="1"/>
  <c r="C569" i="1"/>
  <c r="C452" i="1" a="1"/>
  <c r="C452" i="1"/>
  <c r="P452" i="1" a="1"/>
  <c r="P452" i="1"/>
  <c r="AM532" i="1" a="1"/>
  <c r="AM532" i="1"/>
  <c r="AG532" i="1" a="1"/>
  <c r="AG532" i="1"/>
  <c r="P394" i="1" a="1"/>
  <c r="P394" i="1"/>
  <c r="C394" i="1" a="1"/>
  <c r="C394" i="1"/>
  <c r="AK320" i="1" a="1"/>
  <c r="AK320" i="1"/>
  <c r="AE320" i="1" a="1"/>
  <c r="AE320" i="1"/>
  <c r="AG574" i="1" a="1"/>
  <c r="AG574" i="1"/>
  <c r="AM574" i="1" a="1"/>
  <c r="AM574" i="1"/>
  <c r="AM561" i="1" a="1"/>
  <c r="AM561" i="1"/>
  <c r="AG561" i="1" a="1"/>
  <c r="AG561" i="1"/>
  <c r="AK261" i="1" a="1"/>
  <c r="AK261" i="1"/>
  <c r="AE261" i="1" a="1"/>
  <c r="AE261" i="1"/>
  <c r="AM460" i="1" a="1"/>
  <c r="AM460" i="1"/>
  <c r="C364" i="1" a="1"/>
  <c r="C364" i="1"/>
  <c r="P364" i="1" a="1"/>
  <c r="P364" i="1"/>
  <c r="AK522" i="1" a="1"/>
  <c r="AK522" i="1"/>
  <c r="AE522" i="1" a="1"/>
  <c r="AE522" i="1"/>
  <c r="AG460" i="1" a="1"/>
  <c r="AG460" i="1"/>
  <c r="P269" i="1" a="1"/>
  <c r="P269" i="1"/>
  <c r="C269" i="1" a="1"/>
  <c r="C269" i="1"/>
  <c r="AE252" i="1" a="1"/>
  <c r="AE252" i="1"/>
  <c r="AK252" i="1" a="1"/>
  <c r="AK252" i="1"/>
  <c r="C294" i="1" a="1"/>
  <c r="C294" i="1"/>
  <c r="P294" i="1" a="1"/>
  <c r="P294" i="1"/>
  <c r="P421" i="1" a="1"/>
  <c r="P421" i="1"/>
  <c r="C421" i="1" a="1"/>
  <c r="C421" i="1"/>
  <c r="P423" i="1" a="1"/>
  <c r="P423" i="1"/>
  <c r="AK518" i="1" a="1"/>
  <c r="AK518" i="1"/>
  <c r="P378" i="1" a="1"/>
  <c r="P378" i="1"/>
  <c r="C378" i="1" a="1"/>
  <c r="C378" i="1"/>
  <c r="P456" i="1" a="1"/>
  <c r="P456" i="1"/>
  <c r="P570" i="1" a="1"/>
  <c r="P570" i="1"/>
  <c r="C570" i="1" a="1"/>
  <c r="C570" i="1"/>
  <c r="C423" i="1" a="1"/>
  <c r="C423" i="1"/>
  <c r="AE400" i="1" a="1"/>
  <c r="AE400" i="1"/>
  <c r="AK400" i="1" a="1"/>
  <c r="AK400" i="1"/>
  <c r="P232" i="1" a="1"/>
  <c r="P232" i="1"/>
  <c r="C232" i="1" a="1"/>
  <c r="C232" i="1"/>
  <c r="AE518" i="1" a="1"/>
  <c r="AE518" i="1"/>
  <c r="C363" i="1" a="1"/>
  <c r="C363" i="1"/>
  <c r="P363" i="1" a="1"/>
  <c r="P363" i="1"/>
  <c r="C456" i="1" a="1"/>
  <c r="C456" i="1"/>
  <c r="AE397" i="1" a="1"/>
  <c r="AE397" i="1"/>
  <c r="AK397" i="1" a="1"/>
  <c r="AK397" i="1"/>
  <c r="P406" i="1" a="1"/>
  <c r="P406" i="1"/>
  <c r="C406" i="1" a="1"/>
  <c r="C406" i="1"/>
  <c r="C411" i="1" a="1"/>
  <c r="C411" i="1"/>
  <c r="P411" i="1" a="1"/>
  <c r="P411" i="1"/>
  <c r="P255" i="1" a="1"/>
  <c r="P255" i="1"/>
  <c r="C255" i="1" a="1"/>
  <c r="C255" i="1"/>
  <c r="AG472" i="1" a="1"/>
  <c r="AG472" i="1"/>
  <c r="AM472" i="1" a="1"/>
  <c r="AM472" i="1"/>
  <c r="AG517" i="1" a="1"/>
  <c r="AG517" i="1"/>
  <c r="AM517" i="1" a="1"/>
  <c r="AM517" i="1"/>
  <c r="AE290" i="1" a="1"/>
  <c r="AE290" i="1"/>
  <c r="AK290" i="1" a="1"/>
  <c r="AK290" i="1"/>
  <c r="P319" i="1" a="1"/>
  <c r="P319" i="1"/>
  <c r="C319" i="1" a="1"/>
  <c r="C319" i="1"/>
  <c r="AK576" i="1" a="1"/>
  <c r="AK576" i="1"/>
  <c r="AE576" i="1" a="1"/>
  <c r="AE576" i="1"/>
  <c r="C516" i="1" a="1"/>
  <c r="C516" i="1"/>
  <c r="P516" i="1" a="1"/>
  <c r="P516" i="1"/>
  <c r="AK485" i="1" a="1"/>
  <c r="AK485" i="1"/>
  <c r="AE485" i="1" a="1"/>
  <c r="AE485" i="1"/>
  <c r="AM506" i="1" a="1"/>
  <c r="AM506" i="1"/>
  <c r="AG506" i="1" a="1"/>
  <c r="AG506" i="1"/>
  <c r="C415" i="1" a="1"/>
  <c r="C415" i="1"/>
  <c r="P403" i="1" a="1"/>
  <c r="P403" i="1"/>
  <c r="C403" i="1" a="1"/>
  <c r="C403" i="1"/>
  <c r="AE594" i="1" a="1"/>
  <c r="AE594" i="1"/>
  <c r="AK594" i="1" a="1"/>
  <c r="AK594" i="1"/>
  <c r="AM519" i="1" a="1"/>
  <c r="AM519" i="1"/>
  <c r="AG519" i="1" a="1"/>
  <c r="AG519" i="1"/>
  <c r="P415" i="1" a="1"/>
  <c r="P415" i="1"/>
  <c r="P592" i="1" a="1"/>
  <c r="P592" i="1"/>
  <c r="C592" i="1" a="1"/>
  <c r="C592" i="1"/>
  <c r="AE592" i="1" a="1"/>
  <c r="AE592" i="1"/>
  <c r="AK592" i="1" a="1"/>
  <c r="AK592" i="1"/>
  <c r="C404" i="1" a="1"/>
  <c r="C404" i="1"/>
  <c r="AK484" i="1" a="1"/>
  <c r="AK484" i="1"/>
  <c r="AE484" i="1" a="1"/>
  <c r="AE484" i="1"/>
  <c r="C577" i="1" a="1"/>
  <c r="C577" i="1"/>
  <c r="P577" i="1" a="1"/>
  <c r="P577" i="1"/>
  <c r="AM573" i="1" a="1"/>
  <c r="AM573" i="1"/>
  <c r="AG573" i="1" a="1"/>
  <c r="AG573" i="1"/>
  <c r="AM501" i="1" a="1"/>
  <c r="AM501" i="1"/>
  <c r="AM498" i="1" a="1"/>
  <c r="AM498" i="1"/>
  <c r="AG498" i="1" a="1"/>
  <c r="AG498" i="1"/>
  <c r="P404" i="1" a="1"/>
  <c r="P404" i="1"/>
  <c r="AK423" i="1" a="1"/>
  <c r="AK423" i="1"/>
  <c r="AE423" i="1" a="1"/>
  <c r="AE423" i="1"/>
  <c r="C414" i="1" a="1"/>
  <c r="C414" i="1"/>
  <c r="P414" i="1" a="1"/>
  <c r="P414" i="1"/>
  <c r="AG501" i="1" a="1"/>
  <c r="AG501" i="1"/>
  <c r="AE279" i="1" a="1"/>
  <c r="AE279" i="1"/>
  <c r="AK279" i="1" a="1"/>
  <c r="AK279" i="1"/>
  <c r="C505" i="1" a="1"/>
  <c r="C505" i="1"/>
  <c r="P505" i="1" a="1"/>
  <c r="P505" i="1"/>
  <c r="C446" i="1" a="1"/>
  <c r="C446" i="1"/>
  <c r="P446" i="1" a="1"/>
  <c r="P446" i="1"/>
  <c r="AE525" i="1" a="1"/>
  <c r="AE525" i="1"/>
  <c r="AK525" i="1" a="1"/>
  <c r="AK525" i="1"/>
  <c r="AG444" i="1" a="1"/>
  <c r="AG444" i="1"/>
  <c r="AM444" i="1" a="1"/>
  <c r="AM444" i="1"/>
  <c r="AG537" i="1" a="1"/>
  <c r="AG537" i="1"/>
  <c r="AM537" i="1" a="1"/>
  <c r="AM537" i="1"/>
  <c r="AK431" i="1" a="1"/>
  <c r="AK431" i="1"/>
  <c r="AE431" i="1" a="1"/>
  <c r="AE431" i="1"/>
  <c r="AE435" i="1" a="1"/>
  <c r="AE435" i="1"/>
  <c r="AK435" i="1" a="1"/>
  <c r="AK435" i="1"/>
  <c r="C413" i="1" a="1"/>
  <c r="C413" i="1"/>
  <c r="P413" i="1" a="1"/>
  <c r="P413" i="1"/>
  <c r="P256" i="1" a="1"/>
  <c r="P256" i="1"/>
  <c r="C256" i="1" a="1"/>
  <c r="C256" i="1"/>
  <c r="P490" i="1" a="1"/>
  <c r="P490" i="1"/>
  <c r="C490" i="1" a="1"/>
  <c r="C490" i="1"/>
  <c r="AE391" i="1" a="1"/>
  <c r="AE391" i="1"/>
  <c r="AK391" i="1" a="1"/>
  <c r="AK391" i="1"/>
  <c r="AE489" i="1" a="1"/>
  <c r="AE489" i="1"/>
  <c r="AK489" i="1" a="1"/>
  <c r="AK489" i="1"/>
  <c r="C531" i="1" a="1"/>
  <c r="C531" i="1"/>
  <c r="P531" i="1" a="1"/>
  <c r="P531" i="1"/>
  <c r="C587" i="1" a="1"/>
  <c r="C587" i="1"/>
  <c r="P587" i="1" a="1"/>
  <c r="P587" i="1"/>
  <c r="C496" i="1" a="1"/>
  <c r="C496" i="1"/>
  <c r="P496" i="1" a="1"/>
  <c r="P496" i="1"/>
  <c r="AK453" i="1" a="1"/>
  <c r="AK453" i="1"/>
  <c r="AE453" i="1" a="1"/>
  <c r="AE453" i="1"/>
  <c r="P346" i="1" a="1"/>
  <c r="P346" i="1"/>
  <c r="C346" i="1" a="1"/>
  <c r="C346" i="1"/>
  <c r="P138" i="1" a="1"/>
  <c r="P138" i="1"/>
  <c r="C138" i="1" a="1"/>
  <c r="C138" i="1"/>
  <c r="AE362" i="1" a="1"/>
  <c r="AE362" i="1"/>
  <c r="AK362" i="1" a="1"/>
  <c r="AK362" i="1"/>
  <c r="C278" i="1" a="1"/>
  <c r="C278" i="1"/>
  <c r="P278" i="1" a="1"/>
  <c r="P278" i="1"/>
  <c r="AM455" i="1" a="1"/>
  <c r="AM455" i="1"/>
  <c r="AG455" i="1" a="1"/>
  <c r="AG455" i="1"/>
  <c r="P477" i="1" a="1"/>
  <c r="P477" i="1"/>
  <c r="C477" i="1" a="1"/>
  <c r="C477" i="1"/>
  <c r="P586" i="1" a="1"/>
  <c r="P586" i="1"/>
  <c r="C586" i="1" a="1"/>
  <c r="C586" i="1"/>
  <c r="AG577" i="1" a="1"/>
  <c r="AG577" i="1"/>
  <c r="AM577" i="1" a="1"/>
  <c r="AM577" i="1"/>
  <c r="C480" i="1" a="1"/>
  <c r="C480" i="1"/>
  <c r="AM539" i="1" a="1"/>
  <c r="AM539" i="1"/>
  <c r="AM564" i="1" a="1"/>
  <c r="AM564" i="1"/>
  <c r="P396" i="1" a="1"/>
  <c r="P396" i="1"/>
  <c r="P480" i="1" a="1"/>
  <c r="P480" i="1"/>
  <c r="AE445" i="1" a="1"/>
  <c r="AE445" i="1"/>
  <c r="P508" i="1" a="1"/>
  <c r="P508" i="1"/>
  <c r="C508" i="1" a="1"/>
  <c r="C508" i="1"/>
  <c r="AG564" i="1" a="1"/>
  <c r="AG564" i="1"/>
  <c r="AG539" i="1" a="1"/>
  <c r="AG539" i="1"/>
  <c r="C396" i="1" a="1"/>
  <c r="C396" i="1"/>
  <c r="AK504" i="1" a="1"/>
  <c r="AK504" i="1"/>
  <c r="AE504" i="1" a="1"/>
  <c r="AE504" i="1"/>
  <c r="AK445" i="1" a="1"/>
  <c r="AK445" i="1"/>
  <c r="AE483" i="1" a="1"/>
  <c r="AE483" i="1"/>
  <c r="AK483" i="1" a="1"/>
  <c r="AK483" i="1"/>
  <c r="AK539" i="1" a="1"/>
  <c r="AK539" i="1"/>
  <c r="AE539" i="1" a="1"/>
  <c r="AE539" i="1"/>
  <c r="C513" i="1" a="1"/>
  <c r="C513" i="1"/>
  <c r="P513" i="1" a="1"/>
  <c r="P513" i="1"/>
  <c r="AK364" i="1" a="1"/>
  <c r="AK364" i="1"/>
  <c r="C427" i="1" a="1"/>
  <c r="C427" i="1"/>
  <c r="P427" i="1" a="1"/>
  <c r="P427" i="1"/>
  <c r="C397" i="1" a="1"/>
  <c r="C397" i="1"/>
  <c r="P397" i="1" a="1"/>
  <c r="P397" i="1"/>
  <c r="AE469" i="1" a="1"/>
  <c r="AE469" i="1"/>
  <c r="AK469" i="1" a="1"/>
  <c r="AK469" i="1"/>
  <c r="AG500" i="1" a="1"/>
  <c r="AG500" i="1"/>
  <c r="AG499" i="1" a="1"/>
  <c r="AG499" i="1"/>
  <c r="AE364" i="1" a="1"/>
  <c r="AE364" i="1"/>
  <c r="AE301" i="1" a="1"/>
  <c r="AE301" i="1"/>
  <c r="AE280" i="1" a="1"/>
  <c r="AE280" i="1"/>
  <c r="AK280" i="1" a="1"/>
  <c r="AK280" i="1"/>
  <c r="AK582" i="1" a="1"/>
  <c r="AK582" i="1"/>
  <c r="AE582" i="1" a="1"/>
  <c r="AE582" i="1"/>
  <c r="C356" i="1" a="1"/>
  <c r="C356" i="1"/>
  <c r="P356" i="1" a="1"/>
  <c r="P356" i="1"/>
  <c r="AM500" i="1" a="1"/>
  <c r="AM500" i="1"/>
  <c r="AM499" i="1" a="1"/>
  <c r="AM499" i="1"/>
  <c r="C370" i="1" a="1"/>
  <c r="C370" i="1"/>
  <c r="P370" i="1" a="1"/>
  <c r="P370" i="1"/>
  <c r="AM475" i="1" a="1"/>
  <c r="AM475" i="1"/>
  <c r="AG475" i="1" a="1"/>
  <c r="AG475" i="1"/>
  <c r="AE359" i="1" a="1"/>
  <c r="AE359" i="1"/>
  <c r="AK359" i="1" a="1"/>
  <c r="AK359" i="1"/>
  <c r="AK301" i="1" a="1"/>
  <c r="AK301" i="1"/>
  <c r="C573" i="1" a="1"/>
  <c r="C573" i="1"/>
  <c r="P573" i="1" a="1"/>
  <c r="P573" i="1"/>
  <c r="AK481" i="1" a="1"/>
  <c r="AK481" i="1"/>
  <c r="AE481" i="1" a="1"/>
  <c r="AE481" i="1"/>
  <c r="AE350" i="1" a="1"/>
  <c r="AE350" i="1"/>
  <c r="AK350" i="1" a="1"/>
  <c r="AK350" i="1"/>
  <c r="C524" i="1" a="1"/>
  <c r="C524" i="1"/>
  <c r="AE307" i="1" a="1"/>
  <c r="AE307" i="1"/>
  <c r="AK307" i="1" a="1"/>
  <c r="AK307" i="1"/>
  <c r="AM493" i="1" a="1"/>
  <c r="AM493" i="1"/>
  <c r="P368" i="1" a="1"/>
  <c r="P368" i="1"/>
  <c r="AG493" i="1" a="1"/>
  <c r="AG493" i="1"/>
  <c r="C368" i="1" a="1"/>
  <c r="C368" i="1"/>
  <c r="AE517" i="1" a="1"/>
  <c r="AE517" i="1"/>
  <c r="AK517" i="1" a="1"/>
  <c r="AK517" i="1"/>
  <c r="C267" i="1" a="1"/>
  <c r="C267" i="1"/>
  <c r="P267" i="1" a="1"/>
  <c r="P267" i="1"/>
  <c r="P408" i="1" a="1"/>
  <c r="P408" i="1"/>
  <c r="C408" i="1" a="1"/>
  <c r="C408" i="1"/>
  <c r="AM459" i="1" a="1"/>
  <c r="AM459" i="1"/>
  <c r="AG459" i="1" a="1"/>
  <c r="AG459" i="1"/>
  <c r="P524" i="1" a="1"/>
  <c r="P524" i="1"/>
  <c r="C479" i="1" a="1"/>
  <c r="C479" i="1"/>
  <c r="P479" i="1" a="1"/>
  <c r="P479" i="1"/>
  <c r="AG453" i="1" a="1"/>
  <c r="AG453" i="1"/>
  <c r="AM453" i="1" a="1"/>
  <c r="AM453" i="1"/>
  <c r="P482" i="1" a="1"/>
  <c r="P482" i="1"/>
  <c r="C482" i="1" a="1"/>
  <c r="C482" i="1"/>
  <c r="C384" i="1" a="1"/>
  <c r="C384" i="1"/>
  <c r="P384" i="1" a="1"/>
  <c r="P384" i="1"/>
  <c r="AM579" i="1" a="1"/>
  <c r="AM579" i="1"/>
  <c r="AG579" i="1" a="1"/>
  <c r="AG579" i="1"/>
  <c r="P507" i="1" a="1"/>
  <c r="P507" i="1"/>
  <c r="C507" i="1" a="1"/>
  <c r="C507" i="1"/>
  <c r="AK375" i="1" a="1"/>
  <c r="AK375" i="1"/>
  <c r="AM445" i="1" a="1"/>
  <c r="AM445" i="1"/>
  <c r="AG445" i="1" a="1"/>
  <c r="AG445" i="1"/>
  <c r="AE375" i="1" a="1"/>
  <c r="AE375" i="1"/>
  <c r="AK417" i="1" a="1"/>
  <c r="AK417" i="1"/>
  <c r="AE417" i="1" a="1"/>
  <c r="AE417" i="1"/>
  <c r="AE529" i="1" a="1"/>
  <c r="AE529" i="1"/>
  <c r="C383" i="1" a="1"/>
  <c r="C383" i="1"/>
  <c r="P383" i="1" a="1"/>
  <c r="P383" i="1"/>
  <c r="AK295" i="1" a="1"/>
  <c r="AK295" i="1"/>
  <c r="AE295" i="1" a="1"/>
  <c r="AE295" i="1"/>
  <c r="AK529" i="1" a="1"/>
  <c r="AK529" i="1"/>
  <c r="AK387" i="1" a="1"/>
  <c r="AK387" i="1"/>
  <c r="AE387" i="1" a="1"/>
  <c r="AE387" i="1"/>
  <c r="C324" i="1" a="1"/>
  <c r="C324" i="1"/>
  <c r="P324" i="1" a="1"/>
  <c r="P324" i="1"/>
  <c r="P467" i="1" a="1"/>
  <c r="P467" i="1"/>
  <c r="C467" i="1" a="1"/>
  <c r="C467" i="1"/>
  <c r="AG505" i="1" a="1"/>
  <c r="AG505" i="1"/>
  <c r="AM505" i="1" a="1"/>
  <c r="AM505" i="1"/>
  <c r="AK317" i="1" a="1"/>
  <c r="AK317" i="1"/>
  <c r="AE317" i="1" a="1"/>
  <c r="AE317" i="1"/>
  <c r="AK565" i="1" a="1"/>
  <c r="AK565" i="1"/>
  <c r="AE565" i="1" a="1"/>
  <c r="AE565" i="1"/>
  <c r="C522" i="1" a="1"/>
  <c r="C522" i="1"/>
  <c r="P522" i="1" a="1"/>
  <c r="P522" i="1"/>
  <c r="AK321" i="1" a="1"/>
  <c r="AK321" i="1"/>
  <c r="AE321" i="1" a="1"/>
  <c r="AE321" i="1"/>
  <c r="AM512" i="1" a="1"/>
  <c r="AM512" i="1"/>
  <c r="C137" i="1" a="1"/>
  <c r="C137" i="1"/>
  <c r="P137" i="1" a="1"/>
  <c r="P137" i="1"/>
  <c r="AE464" i="1" a="1"/>
  <c r="AE464" i="1"/>
  <c r="AK464" i="1" a="1"/>
  <c r="AK464" i="1"/>
  <c r="C405" i="1" a="1"/>
  <c r="C405" i="1"/>
  <c r="P405" i="1" a="1"/>
  <c r="P405" i="1"/>
  <c r="P590" i="1" a="1"/>
  <c r="P590" i="1"/>
  <c r="C590" i="1" a="1"/>
  <c r="C590" i="1"/>
  <c r="AG512" i="1" a="1"/>
  <c r="AG512" i="1"/>
  <c r="C504" i="1" a="1"/>
  <c r="C504" i="1"/>
  <c r="P504" i="1" a="1"/>
  <c r="P504" i="1"/>
  <c r="AK409" i="1" a="1"/>
  <c r="AK409" i="1"/>
  <c r="P362" i="1" a="1"/>
  <c r="P362" i="1"/>
  <c r="C362" i="1" a="1"/>
  <c r="C362" i="1"/>
  <c r="AK528" i="1" a="1"/>
  <c r="AK528" i="1"/>
  <c r="AE528" i="1" a="1"/>
  <c r="AE528" i="1"/>
  <c r="AE409" i="1" a="1"/>
  <c r="AE409" i="1"/>
  <c r="AG563" i="1" a="1"/>
  <c r="AG563" i="1"/>
  <c r="AK360" i="1" a="1"/>
  <c r="AK360" i="1"/>
  <c r="AE360" i="1" a="1"/>
  <c r="AE360" i="1"/>
  <c r="AK480" i="1" a="1"/>
  <c r="AK480" i="1"/>
  <c r="AE480" i="1" a="1"/>
  <c r="AE480" i="1"/>
  <c r="C399" i="1" a="1"/>
  <c r="C399" i="1"/>
  <c r="P399" i="1" a="1"/>
  <c r="P399" i="1"/>
  <c r="AM563" i="1" a="1"/>
  <c r="AM563" i="1"/>
  <c r="P533" i="1" a="1"/>
  <c r="P533" i="1"/>
  <c r="AG489" i="1" a="1"/>
  <c r="AG489" i="1"/>
  <c r="AM489" i="1" a="1"/>
  <c r="AM489" i="1"/>
  <c r="C533" i="1" a="1"/>
  <c r="C533" i="1"/>
  <c r="AK257" i="1" a="1"/>
  <c r="AK257" i="1"/>
  <c r="AE257" i="1" a="1"/>
  <c r="AE257" i="1"/>
  <c r="AK316" i="1" a="1"/>
  <c r="AK316" i="1"/>
  <c r="AE316" i="1" a="1"/>
  <c r="AE316" i="1"/>
  <c r="AG469" i="1" a="1"/>
  <c r="AG469" i="1"/>
  <c r="AM469" i="1" a="1"/>
  <c r="AM469" i="1"/>
  <c r="AK238" i="1" a="1"/>
  <c r="AK238" i="1"/>
  <c r="AE238" i="1" a="1"/>
  <c r="AE238" i="1"/>
  <c r="AE314" i="1" a="1"/>
  <c r="AE314" i="1"/>
  <c r="AK314" i="1" a="1"/>
  <c r="AK314" i="1"/>
  <c r="P382" i="1" a="1"/>
  <c r="P382" i="1"/>
  <c r="C382" i="1" a="1"/>
  <c r="C382" i="1"/>
  <c r="P320" i="1" a="1"/>
  <c r="P320" i="1"/>
  <c r="C320" i="1" a="1"/>
  <c r="C320" i="1"/>
  <c r="P535" i="1" a="1"/>
  <c r="P535" i="1"/>
  <c r="C535" i="1" a="1"/>
  <c r="C535" i="1"/>
  <c r="P372" i="1" a="1"/>
  <c r="P372" i="1"/>
  <c r="C372" i="1" a="1"/>
  <c r="C372" i="1"/>
  <c r="AK338" i="1" a="1"/>
  <c r="AK338" i="1"/>
  <c r="AE338" i="1" a="1"/>
  <c r="AE338" i="1"/>
  <c r="AG529" i="1" a="1"/>
  <c r="AG529" i="1"/>
  <c r="AM529" i="1" a="1"/>
  <c r="AM529" i="1"/>
  <c r="C306" i="1" a="1"/>
  <c r="C306" i="1"/>
  <c r="P306" i="1" a="1"/>
  <c r="P306" i="1"/>
  <c r="P487" i="1" a="1"/>
  <c r="P487" i="1"/>
  <c r="C347" i="1" a="1"/>
  <c r="C347" i="1"/>
  <c r="P347" i="1" a="1"/>
  <c r="P347" i="1"/>
  <c r="C341" i="1" a="1"/>
  <c r="C341" i="1"/>
  <c r="P341" i="1" a="1"/>
  <c r="P341" i="1"/>
  <c r="C487" i="1" a="1"/>
  <c r="C487" i="1"/>
  <c r="AK348" i="1" a="1"/>
  <c r="AK348" i="1"/>
  <c r="AE348" i="1" a="1"/>
  <c r="AE348" i="1"/>
  <c r="AM448" i="1" a="1"/>
  <c r="AM448" i="1"/>
  <c r="AG448" i="1" a="1"/>
  <c r="AG448" i="1"/>
  <c r="AK270" i="1" a="1"/>
  <c r="AK270" i="1"/>
  <c r="AE270" i="1" a="1"/>
  <c r="AE270" i="1"/>
  <c r="AE421" i="1" a="1"/>
  <c r="AE421" i="1"/>
  <c r="AK421" i="1" a="1"/>
  <c r="AK421" i="1"/>
  <c r="AG471" i="1" a="1"/>
  <c r="AG471" i="1"/>
  <c r="AM471" i="1" a="1"/>
  <c r="AM471" i="1"/>
  <c r="AG487" i="1" a="1"/>
  <c r="AG487" i="1"/>
  <c r="AM487" i="1" a="1"/>
  <c r="AM487" i="1"/>
  <c r="AK579" i="1" a="1"/>
  <c r="AK579" i="1"/>
  <c r="AE579" i="1" a="1"/>
  <c r="AE579" i="1"/>
  <c r="AK346" i="1" a="1"/>
  <c r="AK346" i="1"/>
  <c r="AE346" i="1" a="1"/>
  <c r="AE346" i="1"/>
  <c r="AM540" i="1" a="1"/>
  <c r="AM540" i="1"/>
  <c r="AG540" i="1" a="1"/>
  <c r="AG540" i="1"/>
  <c r="AG452" i="1" a="1"/>
  <c r="AG452" i="1"/>
  <c r="AM452" i="1" a="1"/>
  <c r="AM452" i="1"/>
  <c r="AK406" i="1" a="1"/>
  <c r="AK406" i="1"/>
  <c r="AE406" i="1" a="1"/>
  <c r="AE406" i="1"/>
  <c r="AK472" i="1" a="1"/>
  <c r="AK472" i="1"/>
  <c r="AE472" i="1" a="1"/>
  <c r="AE472" i="1"/>
  <c r="AK536" i="1" a="1"/>
  <c r="AK536" i="1"/>
  <c r="AE536" i="1" a="1"/>
  <c r="AE536" i="1"/>
  <c r="AM586" i="1" a="1"/>
  <c r="AM586" i="1"/>
  <c r="AG586" i="1" a="1"/>
  <c r="AG586" i="1"/>
  <c r="AK584" i="1" a="1"/>
  <c r="AK584" i="1"/>
  <c r="AE584" i="1" a="1"/>
  <c r="AE584" i="1"/>
  <c r="AM457" i="1" a="1"/>
  <c r="AM457" i="1"/>
  <c r="AG457" i="1" a="1"/>
  <c r="AG457" i="1"/>
  <c r="C493" i="1" a="1"/>
  <c r="C493" i="1"/>
  <c r="P493" i="1" a="1"/>
  <c r="P493" i="1"/>
  <c r="AK589" i="1" a="1"/>
  <c r="AK589" i="1"/>
  <c r="AE589" i="1" a="1"/>
  <c r="AE589" i="1"/>
  <c r="AE512" i="1" a="1"/>
  <c r="AE512" i="1"/>
  <c r="AK512" i="1" a="1"/>
  <c r="AK512" i="1"/>
  <c r="P512" i="1" a="1"/>
  <c r="P512" i="1"/>
  <c r="C512" i="1" a="1"/>
  <c r="C512" i="1"/>
  <c r="AE306" i="1" a="1"/>
  <c r="AE306" i="1"/>
  <c r="AK306" i="1" a="1"/>
  <c r="AK306" i="1"/>
  <c r="P538" i="1" a="1"/>
  <c r="P538" i="1"/>
  <c r="C538" i="1" a="1"/>
  <c r="C538" i="1"/>
  <c r="C247" i="1" a="1"/>
  <c r="C247" i="1"/>
  <c r="P247" i="1" a="1"/>
  <c r="P247" i="1"/>
  <c r="C465" i="1" a="1"/>
  <c r="C465" i="1"/>
  <c r="P465" i="1" a="1"/>
  <c r="P465" i="1"/>
  <c r="C340" i="1" a="1"/>
  <c r="C340" i="1"/>
  <c r="P327" i="1" a="1"/>
  <c r="P327" i="1"/>
  <c r="C327" i="1" a="1"/>
  <c r="C327" i="1"/>
  <c r="P329" i="1" a="1"/>
  <c r="P329" i="1"/>
  <c r="C329" i="1" a="1"/>
  <c r="C329" i="1"/>
  <c r="AE236" i="1" a="1"/>
  <c r="AE236" i="1"/>
  <c r="AK236" i="1" a="1"/>
  <c r="AK236" i="1"/>
  <c r="P500" i="1" a="1"/>
  <c r="P500" i="1"/>
  <c r="C500" i="1" a="1"/>
  <c r="C500" i="1"/>
  <c r="P583" i="1" a="1"/>
  <c r="P583" i="1"/>
  <c r="P328" i="1" a="1"/>
  <c r="P328" i="1"/>
  <c r="C328" i="1" a="1"/>
  <c r="C328" i="1"/>
  <c r="C251" i="1" a="1"/>
  <c r="C251" i="1"/>
  <c r="AE326" i="1" a="1"/>
  <c r="AE326" i="1"/>
  <c r="AK326" i="1" a="1"/>
  <c r="AK326" i="1"/>
  <c r="P340" i="1" a="1"/>
  <c r="P340" i="1"/>
  <c r="AK436" i="1" a="1"/>
  <c r="AK436" i="1"/>
  <c r="AE436" i="1" a="1"/>
  <c r="AE436" i="1"/>
  <c r="C583" i="1" a="1"/>
  <c r="C583" i="1"/>
  <c r="P251" i="1" a="1"/>
  <c r="P251" i="1"/>
  <c r="AK407" i="1" a="1"/>
  <c r="AK407" i="1"/>
  <c r="AE407" i="1" a="1"/>
  <c r="AE407" i="1"/>
  <c r="P426" i="1" a="1"/>
  <c r="P426" i="1"/>
  <c r="C426" i="1" a="1"/>
  <c r="C426" i="1"/>
  <c r="P469" i="1" a="1"/>
  <c r="P469" i="1"/>
  <c r="C469" i="1" a="1"/>
  <c r="C469" i="1"/>
  <c r="C434" i="1" a="1"/>
  <c r="C434" i="1"/>
  <c r="P434" i="1" a="1"/>
  <c r="P434" i="1"/>
  <c r="AM572" i="1" a="1"/>
  <c r="AM572" i="1"/>
  <c r="AG572" i="1" a="1"/>
  <c r="AG572" i="1"/>
  <c r="P304" i="1" a="1"/>
  <c r="P304" i="1"/>
  <c r="C304" i="1" a="1"/>
  <c r="C304" i="1"/>
  <c r="AE412" i="1" a="1"/>
  <c r="AE412" i="1"/>
  <c r="AK412" i="1" a="1"/>
  <c r="AK412" i="1"/>
  <c r="AE339" i="1" a="1"/>
  <c r="AE339" i="1"/>
  <c r="AK339" i="1" a="1"/>
  <c r="AK339" i="1"/>
  <c r="P521" i="1" a="1"/>
  <c r="P521" i="1"/>
  <c r="C521" i="1" a="1"/>
  <c r="C521" i="1"/>
  <c r="P379" i="1" a="1"/>
  <c r="P379" i="1"/>
  <c r="C379" i="1" a="1"/>
  <c r="C379" i="1"/>
  <c r="AK596" i="1" a="1"/>
  <c r="AK596" i="1"/>
  <c r="P375" i="1" a="1"/>
  <c r="P375" i="1"/>
  <c r="C375" i="1" a="1"/>
  <c r="C375" i="1"/>
  <c r="AK587" i="1" a="1"/>
  <c r="AK587" i="1"/>
  <c r="AE587" i="1" a="1"/>
  <c r="AE587" i="1"/>
  <c r="AE596" i="1" a="1"/>
  <c r="AE596" i="1"/>
  <c r="P589" i="1" a="1"/>
  <c r="P589" i="1"/>
  <c r="C589" i="1" a="1"/>
  <c r="C589" i="1"/>
  <c r="AE569" i="1" a="1"/>
  <c r="AE569" i="1"/>
  <c r="AK569" i="1" a="1"/>
  <c r="AK569" i="1"/>
  <c r="AK422" i="1" a="1"/>
  <c r="AK422" i="1"/>
  <c r="AE422" i="1" a="1"/>
  <c r="AE422" i="1"/>
  <c r="AE443" i="1" a="1"/>
  <c r="AE443" i="1"/>
  <c r="AK443" i="1" a="1"/>
  <c r="AK443" i="1"/>
  <c r="P503" i="1" a="1"/>
  <c r="P503" i="1"/>
  <c r="C503" i="1" a="1"/>
  <c r="C503" i="1"/>
  <c r="C486" i="1" a="1"/>
  <c r="C486" i="1"/>
  <c r="P486" i="1" a="1"/>
  <c r="P486" i="1"/>
  <c r="C495" i="1" a="1"/>
  <c r="C495" i="1"/>
  <c r="AG476" i="1" a="1"/>
  <c r="AG476" i="1"/>
  <c r="AK414" i="1" a="1"/>
  <c r="AK414" i="1"/>
  <c r="AE414" i="1" a="1"/>
  <c r="AE414" i="1"/>
  <c r="AK383" i="1" a="1"/>
  <c r="AK383" i="1"/>
  <c r="AE383" i="1" a="1"/>
  <c r="AE383" i="1"/>
  <c r="AM585" i="1" a="1"/>
  <c r="AM585" i="1"/>
  <c r="AG585" i="1" a="1"/>
  <c r="AG585" i="1"/>
  <c r="P495" i="1" a="1"/>
  <c r="P495" i="1"/>
  <c r="AM588" i="1" a="1"/>
  <c r="AM588" i="1"/>
  <c r="AG588" i="1" a="1"/>
  <c r="AG588" i="1"/>
  <c r="P425" i="1" a="1"/>
  <c r="P425" i="1"/>
  <c r="C425" i="1" a="1"/>
  <c r="C425" i="1"/>
  <c r="P420" i="1" a="1"/>
  <c r="P420" i="1"/>
  <c r="C420" i="1" a="1"/>
  <c r="C420" i="1"/>
  <c r="AM476" i="1" a="1"/>
  <c r="AM476" i="1"/>
  <c r="C442" i="1" a="1"/>
  <c r="C442" i="1"/>
  <c r="P442" i="1" a="1"/>
  <c r="P442" i="1"/>
  <c r="P335" i="1" a="1"/>
  <c r="P335" i="1"/>
  <c r="C435" i="1" a="1"/>
  <c r="C435" i="1"/>
  <c r="P435" i="1" a="1"/>
  <c r="P435" i="1"/>
  <c r="AE447" i="1" a="1"/>
  <c r="AE447" i="1"/>
  <c r="AK447" i="1" a="1"/>
  <c r="AK447" i="1"/>
  <c r="AE299" i="1" a="1"/>
  <c r="AE299" i="1"/>
  <c r="P310" i="1" a="1"/>
  <c r="P310" i="1"/>
  <c r="C310" i="1" a="1"/>
  <c r="C310" i="1"/>
  <c r="AE493" i="1" a="1"/>
  <c r="AE493" i="1"/>
  <c r="AK493" i="1" a="1"/>
  <c r="AK493" i="1"/>
  <c r="C335" i="1" a="1"/>
  <c r="C335" i="1"/>
  <c r="C287" i="1" a="1"/>
  <c r="C287" i="1"/>
  <c r="P287" i="1" a="1"/>
  <c r="P287" i="1"/>
  <c r="AK299" i="1" a="1"/>
  <c r="AK299" i="1"/>
  <c r="AK313" i="1" a="1"/>
  <c r="AK313" i="1"/>
  <c r="AE313" i="1" a="1"/>
  <c r="AE313" i="1"/>
  <c r="AK563" i="1" a="1"/>
  <c r="AK563" i="1"/>
  <c r="AE563" i="1" a="1"/>
  <c r="AE563" i="1"/>
  <c r="AK571" i="1" a="1"/>
  <c r="AK571" i="1"/>
  <c r="AE571" i="1" a="1"/>
  <c r="AE571" i="1"/>
  <c r="AE351" i="1" a="1"/>
  <c r="AE351" i="1"/>
  <c r="AK351" i="1" a="1"/>
  <c r="AK351" i="1"/>
  <c r="C485" i="1" a="1"/>
  <c r="C485" i="1"/>
  <c r="P485" i="1" a="1"/>
  <c r="P485" i="1"/>
  <c r="AM526" i="1" a="1"/>
  <c r="AM526" i="1"/>
  <c r="AG526" i="1" a="1"/>
  <c r="AG526" i="1"/>
  <c r="C506" i="1" a="1"/>
  <c r="C506" i="1"/>
  <c r="P506" i="1" a="1"/>
  <c r="P506" i="1"/>
  <c r="AK399" i="1" a="1"/>
  <c r="AK399" i="1"/>
  <c r="AE399" i="1" a="1"/>
  <c r="AE399" i="1"/>
  <c r="P472" i="1" a="1"/>
  <c r="P472" i="1"/>
  <c r="C472" i="1" a="1"/>
  <c r="C472" i="1"/>
  <c r="P529" i="1" a="1"/>
  <c r="P529" i="1"/>
  <c r="C529" i="1" a="1"/>
  <c r="C529" i="1"/>
  <c r="P290" i="1" a="1"/>
  <c r="P290" i="1"/>
  <c r="C290" i="1" a="1"/>
  <c r="C290" i="1"/>
  <c r="AG496" i="1" a="1"/>
  <c r="AG496" i="1"/>
  <c r="AM496" i="1" a="1"/>
  <c r="AM496" i="1"/>
  <c r="C437" i="1" a="1"/>
  <c r="C437" i="1"/>
  <c r="P437" i="1" a="1"/>
  <c r="P437" i="1"/>
  <c r="AK302" i="1" a="1"/>
  <c r="AK302" i="1"/>
  <c r="AE302" i="1" a="1"/>
  <c r="AE302" i="1"/>
  <c r="AK319" i="1" a="1"/>
  <c r="AK319" i="1"/>
  <c r="AE319" i="1" a="1"/>
  <c r="AE319" i="1"/>
  <c r="AG510" i="1" a="1"/>
  <c r="AG510" i="1"/>
  <c r="AM510" i="1" a="1"/>
  <c r="AM510" i="1"/>
  <c r="AE476" i="1" a="1"/>
  <c r="AE476" i="1"/>
  <c r="AK476" i="1" a="1"/>
  <c r="AK476" i="1"/>
  <c r="C249" i="1" a="1"/>
  <c r="C249" i="1"/>
  <c r="P249" i="1" a="1"/>
  <c r="P249" i="1"/>
  <c r="C302" i="1" a="1"/>
  <c r="C302" i="1"/>
  <c r="P302" i="1" a="1"/>
  <c r="P302" i="1"/>
  <c r="C350" i="1" a="1"/>
  <c r="C350" i="1"/>
  <c r="P350" i="1" a="1"/>
  <c r="P350" i="1"/>
  <c r="AK327" i="1" a="1"/>
  <c r="AK327" i="1"/>
  <c r="AE327" i="1" a="1"/>
  <c r="AE327" i="1"/>
  <c r="AM492" i="1" a="1"/>
  <c r="AM492" i="1"/>
  <c r="AG492" i="1" a="1"/>
  <c r="AG492" i="1"/>
  <c r="C588" i="1" a="1"/>
  <c r="C588" i="1"/>
  <c r="P588" i="1" a="1"/>
  <c r="P588" i="1"/>
  <c r="C580" i="1" a="1"/>
  <c r="C580" i="1"/>
  <c r="AK437" i="1" a="1"/>
  <c r="AK437" i="1"/>
  <c r="AE507" i="1" a="1"/>
  <c r="AE507" i="1"/>
  <c r="AK507" i="1" a="1"/>
  <c r="AK507" i="1"/>
  <c r="AE437" i="1" a="1"/>
  <c r="AE437" i="1"/>
  <c r="AK501" i="1" a="1"/>
  <c r="AK501" i="1"/>
  <c r="AE501" i="1" a="1"/>
  <c r="AE501" i="1"/>
  <c r="P578" i="1" a="1"/>
  <c r="P578" i="1"/>
  <c r="C578" i="1" a="1"/>
  <c r="C578" i="1"/>
  <c r="AG566" i="1" a="1"/>
  <c r="AG566" i="1"/>
  <c r="AM566" i="1" a="1"/>
  <c r="AM566" i="1"/>
  <c r="AK526" i="1" a="1"/>
  <c r="AK526" i="1"/>
  <c r="AE526" i="1" a="1"/>
  <c r="AE526" i="1"/>
  <c r="P580" i="1" a="1"/>
  <c r="P580" i="1"/>
  <c r="AE396" i="1" a="1"/>
  <c r="AE396" i="1"/>
  <c r="AK396" i="1" a="1"/>
  <c r="AK396" i="1"/>
  <c r="AM587" i="1" a="1"/>
  <c r="AM587" i="1"/>
  <c r="AG587" i="1" a="1"/>
  <c r="AG587" i="1"/>
  <c r="AG458" i="1" a="1"/>
  <c r="AG458" i="1"/>
  <c r="AM568" i="1" a="1"/>
  <c r="AM568" i="1"/>
  <c r="AG568" i="1" a="1"/>
  <c r="AG568" i="1"/>
  <c r="AK462" i="1" a="1"/>
  <c r="AK462" i="1"/>
  <c r="AE462" i="1" a="1"/>
  <c r="AE462" i="1"/>
  <c r="AK411" i="1" a="1"/>
  <c r="AK411" i="1"/>
  <c r="AE411" i="1" a="1"/>
  <c r="AE411" i="1"/>
  <c r="C458" i="1" a="1"/>
  <c r="C458" i="1"/>
  <c r="P458" i="1" a="1"/>
  <c r="P458" i="1"/>
  <c r="C389" i="1" a="1"/>
  <c r="C389" i="1"/>
  <c r="P389" i="1" a="1"/>
  <c r="P389" i="1"/>
  <c r="AM458" i="1" a="1"/>
  <c r="AM458" i="1"/>
  <c r="AE332" i="1" a="1"/>
  <c r="AE332" i="1"/>
  <c r="AK332" i="1" a="1"/>
  <c r="AK332" i="1"/>
  <c r="P307" i="1" a="1"/>
  <c r="P307" i="1"/>
  <c r="C307" i="1" a="1"/>
  <c r="C307" i="1"/>
  <c r="C348" i="1" a="1"/>
  <c r="C348" i="1"/>
  <c r="P348" i="1" a="1"/>
  <c r="P348" i="1"/>
  <c r="C416" i="1" a="1"/>
  <c r="C416" i="1"/>
  <c r="P416" i="1" a="1"/>
  <c r="P416" i="1"/>
  <c r="C353" i="1" a="1"/>
  <c r="C353" i="1"/>
  <c r="P353" i="1" a="1"/>
  <c r="P353" i="1"/>
  <c r="P461" i="1" a="1"/>
  <c r="P461" i="1"/>
  <c r="C461" i="1" a="1"/>
  <c r="C461" i="1"/>
  <c r="AK577" i="1" a="1"/>
  <c r="AK577" i="1"/>
  <c r="AE577" i="1" a="1"/>
  <c r="AE577" i="1"/>
  <c r="AK570" i="1" a="1"/>
  <c r="AK570" i="1"/>
  <c r="AE570" i="1" a="1"/>
  <c r="AE570" i="1"/>
  <c r="C293" i="1" a="1"/>
  <c r="C293" i="1"/>
  <c r="P293" i="1" a="1"/>
  <c r="P293" i="1"/>
  <c r="AE588" i="1" a="1"/>
  <c r="AE588" i="1"/>
  <c r="AK588" i="1" a="1"/>
  <c r="AK588" i="1"/>
  <c r="AK471" i="1" a="1"/>
  <c r="AK471" i="1"/>
  <c r="AE471" i="1" a="1"/>
  <c r="AE471" i="1"/>
  <c r="AE566" i="1" a="1"/>
  <c r="AE566" i="1"/>
  <c r="AK566" i="1" a="1"/>
  <c r="AK566" i="1"/>
  <c r="AG580" i="1" a="1"/>
  <c r="AG580" i="1"/>
  <c r="AM580" i="1" a="1"/>
  <c r="AM580" i="1"/>
  <c r="C572" i="1" a="1"/>
  <c r="C572" i="1"/>
  <c r="P572" i="1" a="1"/>
  <c r="P572" i="1"/>
  <c r="AK516" i="1" a="1"/>
  <c r="AK516" i="1"/>
  <c r="AE516" i="1" a="1"/>
  <c r="AE516" i="1"/>
  <c r="AM504" i="1" a="1"/>
  <c r="AM504" i="1"/>
  <c r="AG504" i="1" a="1"/>
  <c r="AG504" i="1"/>
  <c r="P596" i="1" a="1"/>
  <c r="P596" i="1"/>
  <c r="C596" i="1" a="1"/>
  <c r="C596" i="1"/>
  <c r="C515" i="1" a="1"/>
  <c r="C515" i="1"/>
  <c r="P515" i="1" a="1"/>
  <c r="P515" i="1"/>
  <c r="AM483" i="1" a="1"/>
  <c r="AM483" i="1"/>
  <c r="AG483" i="1" a="1"/>
  <c r="AG483" i="1"/>
  <c r="AK427" i="1" a="1"/>
  <c r="AK427" i="1"/>
  <c r="AE427" i="1" a="1"/>
  <c r="AE427" i="1"/>
  <c r="AG575" i="1" a="1"/>
  <c r="AG575" i="1"/>
  <c r="AM575" i="1" a="1"/>
  <c r="AM575" i="1"/>
  <c r="AK535" i="1" a="1"/>
  <c r="AK535" i="1"/>
  <c r="AE419" i="1" a="1"/>
  <c r="AE419" i="1"/>
  <c r="AK419" i="1" a="1"/>
  <c r="AK419" i="1"/>
  <c r="AG477" i="1" a="1"/>
  <c r="AG477" i="1"/>
  <c r="AM477" i="1" a="1"/>
  <c r="AM477" i="1"/>
  <c r="AK358" i="1" a="1"/>
  <c r="AK358" i="1"/>
  <c r="AE358" i="1" a="1"/>
  <c r="AE358" i="1"/>
  <c r="AE535" i="1" a="1"/>
  <c r="AE535" i="1"/>
  <c r="AE318" i="1" a="1"/>
  <c r="AE318" i="1"/>
  <c r="AK318" i="1" a="1"/>
  <c r="AK318" i="1"/>
  <c r="AM516" i="1" a="1"/>
  <c r="AM516" i="1"/>
  <c r="AG516" i="1" a="1"/>
  <c r="AG516" i="1"/>
  <c r="C439" i="1" a="1"/>
  <c r="C439" i="1"/>
  <c r="P439" i="1" a="1"/>
  <c r="P439" i="1"/>
  <c r="C450" i="1" a="1"/>
  <c r="C450" i="1"/>
  <c r="P450" i="1" a="1"/>
  <c r="P450" i="1"/>
  <c r="AG470" i="1" a="1"/>
  <c r="AG470" i="1"/>
  <c r="AM470" i="1" a="1"/>
  <c r="AM470" i="1"/>
  <c r="AE509" i="1" a="1"/>
  <c r="AE509" i="1"/>
  <c r="P204" i="1" a="1"/>
  <c r="P204" i="1"/>
  <c r="C204" i="1" a="1"/>
  <c r="C204" i="1"/>
  <c r="C402" i="1" a="1"/>
  <c r="C402" i="1"/>
  <c r="P402" i="1" a="1"/>
  <c r="P402" i="1"/>
  <c r="AK386" i="1" a="1"/>
  <c r="AK386" i="1"/>
  <c r="AE386" i="1" a="1"/>
  <c r="AE386" i="1"/>
  <c r="AK580" i="1" a="1"/>
  <c r="AK580" i="1"/>
  <c r="AE580" i="1" a="1"/>
  <c r="AE580" i="1"/>
  <c r="AK509" i="1" a="1"/>
  <c r="AK509" i="1"/>
  <c r="AM528" i="1" a="1"/>
  <c r="AM528" i="1"/>
  <c r="AG528" i="1" a="1"/>
  <c r="AG528" i="1"/>
  <c r="C473" i="1" a="1"/>
  <c r="C473" i="1"/>
  <c r="P473" i="1" a="1"/>
  <c r="P473" i="1"/>
  <c r="P386" i="1" a="1"/>
  <c r="P386" i="1"/>
  <c r="C386" i="1" a="1"/>
  <c r="C386" i="1"/>
  <c r="P261" i="1" a="1"/>
  <c r="P261" i="1"/>
  <c r="C261" i="1" a="1"/>
  <c r="C261" i="1"/>
  <c r="AE591" i="1" a="1"/>
  <c r="AE591" i="1"/>
  <c r="AK591" i="1" a="1"/>
  <c r="AK591" i="1"/>
  <c r="C475" i="1" a="1"/>
  <c r="C475" i="1"/>
  <c r="P475" i="1" a="1"/>
  <c r="P475" i="1"/>
  <c r="AK561" i="1" a="1"/>
  <c r="AK561" i="1"/>
  <c r="C418" i="1" a="1"/>
  <c r="C418" i="1"/>
  <c r="P418" i="1" a="1"/>
  <c r="P418" i="1"/>
  <c r="AE470" i="1" a="1"/>
  <c r="AE470" i="1"/>
  <c r="AK470" i="1" a="1"/>
  <c r="AK470" i="1"/>
  <c r="AE561" i="1" a="1"/>
  <c r="AE561" i="1"/>
  <c r="P575" i="1" a="1"/>
  <c r="P575" i="1"/>
  <c r="C575" i="1" a="1"/>
  <c r="C575" i="1"/>
  <c r="AE503" i="1" a="1"/>
  <c r="AE503" i="1"/>
  <c r="AK503" i="1" a="1"/>
  <c r="AK503" i="1"/>
  <c r="AE581" i="1" a="1"/>
  <c r="AE581" i="1"/>
  <c r="AK581" i="1" a="1"/>
  <c r="AK581" i="1"/>
  <c r="AE564" i="1" a="1"/>
  <c r="AE564" i="1"/>
  <c r="AK564" i="1" a="1"/>
  <c r="AK564" i="1"/>
  <c r="AK575" i="1" a="1"/>
  <c r="AK575" i="1"/>
  <c r="AE575" i="1" a="1"/>
  <c r="AE575" i="1"/>
  <c r="AK458" i="1" a="1"/>
  <c r="AK458" i="1"/>
  <c r="AE458" i="1" a="1"/>
  <c r="AE458" i="1"/>
  <c r="AM589" i="1" a="1"/>
  <c r="AM589" i="1"/>
  <c r="AG589" i="1" a="1"/>
  <c r="AG589" i="1"/>
  <c r="AE477" i="1" a="1"/>
  <c r="AE477" i="1"/>
  <c r="AK477" i="1" a="1"/>
  <c r="AK477" i="1"/>
  <c r="AE344" i="1" a="1"/>
  <c r="AE344" i="1"/>
  <c r="C429" i="1" a="1"/>
  <c r="C429" i="1"/>
  <c r="AG451" i="1" a="1"/>
  <c r="AG451" i="1"/>
  <c r="AK344" i="1" a="1"/>
  <c r="AK344" i="1"/>
  <c r="P429" i="1" a="1"/>
  <c r="P429" i="1"/>
  <c r="AM474" i="1" a="1"/>
  <c r="AM474" i="1"/>
  <c r="AM488" i="1" a="1"/>
  <c r="AM488" i="1"/>
  <c r="AG488" i="1" a="1"/>
  <c r="AG488" i="1"/>
  <c r="AM451" i="1" a="1"/>
  <c r="AM451" i="1"/>
  <c r="AK457" i="1" a="1"/>
  <c r="AK457" i="1"/>
  <c r="AE457" i="1" a="1"/>
  <c r="AE457" i="1"/>
  <c r="C279" i="1" a="1"/>
  <c r="C279" i="1"/>
  <c r="P279" i="1" a="1"/>
  <c r="P279" i="1"/>
  <c r="C459" i="1" a="1"/>
  <c r="C459" i="1"/>
  <c r="P459" i="1" a="1"/>
  <c r="P459" i="1"/>
  <c r="AM467" i="1" a="1"/>
  <c r="AM467" i="1"/>
  <c r="AG467" i="1" a="1"/>
  <c r="AG467" i="1"/>
  <c r="AG474" i="1" a="1"/>
  <c r="AG474" i="1"/>
  <c r="AE374" i="1" a="1"/>
  <c r="AE374" i="1"/>
  <c r="AK374" i="1" a="1"/>
  <c r="AK374" i="1"/>
  <c r="AK468" i="1" a="1"/>
  <c r="AK468" i="1"/>
  <c r="AE468" i="1" a="1"/>
  <c r="AE468" i="1"/>
  <c r="AE377" i="1" a="1"/>
  <c r="AE377" i="1"/>
  <c r="AK377" i="1" a="1"/>
  <c r="AK377" i="1"/>
  <c r="P438" i="1" a="1"/>
  <c r="P438" i="1"/>
  <c r="C438" i="1" a="1"/>
  <c r="C438" i="1"/>
  <c r="AG541" i="1" a="1"/>
  <c r="AG541" i="1"/>
  <c r="AM541" i="1" a="1"/>
  <c r="AM541" i="1"/>
  <c r="P361" i="1" a="1"/>
  <c r="P361" i="1"/>
  <c r="C361" i="1" a="1"/>
  <c r="C361" i="1"/>
  <c r="AK461" i="1" a="1"/>
  <c r="AK461" i="1"/>
  <c r="AE461" i="1" a="1"/>
  <c r="AE461" i="1"/>
  <c r="AK590" i="1" a="1"/>
  <c r="AK590" i="1"/>
  <c r="AK567" i="1" a="1"/>
  <c r="AK567" i="1"/>
  <c r="AE567" i="1" a="1"/>
  <c r="AE567" i="1"/>
  <c r="AE593" i="1" a="1"/>
  <c r="AE593" i="1"/>
  <c r="AK593" i="1" a="1"/>
  <c r="AK593" i="1"/>
  <c r="AE590" i="1" a="1"/>
  <c r="AE590" i="1"/>
  <c r="AM538" i="1" a="1"/>
  <c r="AM538" i="1"/>
  <c r="AG538" i="1" a="1"/>
  <c r="AG538" i="1"/>
  <c r="AM527" i="1" a="1"/>
  <c r="AM527" i="1"/>
  <c r="AG527" i="1" a="1"/>
  <c r="AG527" i="1"/>
  <c r="AE341" i="1" a="1"/>
  <c r="AE341" i="1"/>
  <c r="AK341" i="1" a="1"/>
  <c r="AK341" i="1"/>
  <c r="AK583" i="1" a="1"/>
  <c r="AK583" i="1"/>
  <c r="AE583" i="1" a="1"/>
  <c r="AE583" i="1"/>
  <c r="AG578" i="1" a="1"/>
  <c r="AG578" i="1"/>
  <c r="AM578" i="1" a="1"/>
  <c r="AM578" i="1"/>
  <c r="AE459" i="1" a="1"/>
  <c r="AE459" i="1"/>
  <c r="AK459" i="1" a="1"/>
  <c r="AK459" i="1"/>
  <c r="C430" i="1" a="1"/>
  <c r="C430" i="1"/>
  <c r="P430" i="1" a="1"/>
  <c r="P430" i="1"/>
  <c r="AE498" i="1" a="1"/>
  <c r="AE498" i="1"/>
  <c r="AK498" i="1" a="1"/>
  <c r="AK498" i="1"/>
  <c r="C445" i="1" a="1"/>
  <c r="C445" i="1"/>
  <c r="P443" i="1" a="1"/>
  <c r="P443" i="1"/>
  <c r="C443" i="1" a="1"/>
  <c r="C443" i="1"/>
  <c r="AM581" i="1" a="1"/>
  <c r="AM581" i="1"/>
  <c r="AG581" i="1" a="1"/>
  <c r="AG581" i="1"/>
  <c r="AE514" i="1" a="1"/>
  <c r="AE514" i="1"/>
  <c r="AK514" i="1" a="1"/>
  <c r="AK514" i="1"/>
  <c r="AE491" i="1" a="1"/>
  <c r="AE491" i="1"/>
  <c r="AK491" i="1" a="1"/>
  <c r="AK491" i="1"/>
  <c r="AK142" i="1" a="1"/>
  <c r="AK142" i="1"/>
  <c r="AE142" i="1" a="1"/>
  <c r="AE142" i="1"/>
  <c r="AG462" i="1" a="1"/>
  <c r="AG462" i="1"/>
  <c r="AM462" i="1" a="1"/>
  <c r="AM462" i="1"/>
  <c r="P445" i="1" a="1"/>
  <c r="P445" i="1"/>
  <c r="AG521" i="1" a="1"/>
  <c r="AG521" i="1"/>
  <c r="AM521" i="1" a="1"/>
  <c r="AM521" i="1"/>
  <c r="AE527" i="1" a="1"/>
  <c r="AE527" i="1"/>
  <c r="AK527" i="1" a="1"/>
  <c r="AK527" i="1"/>
  <c r="P311" i="1" a="1"/>
  <c r="P311" i="1"/>
  <c r="C311" i="1" a="1"/>
  <c r="C311" i="1"/>
  <c r="AK426" i="1" a="1"/>
  <c r="AK426" i="1"/>
  <c r="AE426" i="1" a="1"/>
  <c r="AE426" i="1"/>
  <c r="AM497" i="1" a="1"/>
  <c r="AM497" i="1"/>
  <c r="AG497" i="1" a="1"/>
  <c r="AG497" i="1"/>
  <c r="C79" i="1" a="1"/>
  <c r="C79" i="1"/>
  <c r="P79" i="1" a="1"/>
  <c r="P79" i="1"/>
  <c r="P253" i="1" a="1"/>
  <c r="P253" i="1"/>
  <c r="C253" i="1" a="1"/>
  <c r="C253" i="1"/>
  <c r="P527" i="1" a="1"/>
  <c r="P527" i="1"/>
  <c r="C527" i="1" a="1"/>
  <c r="C527" i="1"/>
  <c r="AM507" i="1" a="1"/>
  <c r="AM507" i="1"/>
  <c r="AG507" i="1" a="1"/>
  <c r="AG507" i="1"/>
  <c r="C286" i="1" a="1"/>
  <c r="C286" i="1"/>
  <c r="P286" i="1" a="1"/>
  <c r="P286" i="1"/>
  <c r="C76" i="1" a="1"/>
  <c r="C76" i="1"/>
  <c r="P76" i="1" a="1"/>
  <c r="P76" i="1"/>
  <c r="AK578" i="1" a="1"/>
  <c r="AK578" i="1"/>
  <c r="C292" i="1" a="1"/>
  <c r="C292" i="1"/>
  <c r="P292" i="1" a="1"/>
  <c r="P292" i="1"/>
  <c r="AE537" i="1" a="1"/>
  <c r="AE537" i="1"/>
  <c r="AK537" i="1" a="1"/>
  <c r="AK537" i="1"/>
  <c r="P352" i="1" a="1"/>
  <c r="P352" i="1"/>
  <c r="C352" i="1" a="1"/>
  <c r="C352" i="1"/>
  <c r="AE578" i="1" a="1"/>
  <c r="AE578" i="1"/>
  <c r="C431" i="1" a="1"/>
  <c r="C431" i="1"/>
  <c r="AK245" i="1" a="1"/>
  <c r="AK245" i="1"/>
  <c r="AE245" i="1" a="1"/>
  <c r="AE245" i="1"/>
  <c r="P431" i="1" a="1"/>
  <c r="P431" i="1"/>
  <c r="AM518" i="1" a="1"/>
  <c r="AM518" i="1"/>
  <c r="AG518" i="1" a="1"/>
  <c r="AG518" i="1"/>
  <c r="AK482" i="1" a="1"/>
  <c r="AK482" i="1"/>
  <c r="AE482" i="1" a="1"/>
  <c r="AE482" i="1"/>
  <c r="AK473" i="1" a="1"/>
  <c r="AK473" i="1"/>
  <c r="AK269" i="1" a="1"/>
  <c r="AK269" i="1"/>
  <c r="AE269" i="1" a="1"/>
  <c r="AE269" i="1"/>
  <c r="AE451" i="1" a="1"/>
  <c r="AE451" i="1"/>
  <c r="AK451" i="1" a="1"/>
  <c r="AK451" i="1"/>
  <c r="P528" i="1" a="1"/>
  <c r="P528" i="1"/>
  <c r="C528" i="1" a="1"/>
  <c r="C528" i="1"/>
  <c r="AE473" i="1" a="1"/>
  <c r="AE473" i="1"/>
  <c r="P305" i="1" a="1"/>
  <c r="P305" i="1"/>
  <c r="C305" i="1" a="1"/>
  <c r="C305" i="1"/>
  <c r="P342" i="1" a="1"/>
  <c r="P342" i="1"/>
  <c r="AE315" i="1" a="1"/>
  <c r="AE315" i="1"/>
  <c r="AK315" i="1" a="1"/>
  <c r="AK315" i="1"/>
  <c r="AM486" i="1" a="1"/>
  <c r="AM486" i="1"/>
  <c r="AG486" i="1" a="1"/>
  <c r="AG486" i="1"/>
  <c r="C428" i="1" a="1"/>
  <c r="C428" i="1"/>
  <c r="P428" i="1" a="1"/>
  <c r="P428" i="1"/>
  <c r="AM468" i="1" a="1"/>
  <c r="AM468" i="1"/>
  <c r="AG468" i="1" a="1"/>
  <c r="AG468" i="1"/>
  <c r="AK372" i="1" a="1"/>
  <c r="AK372" i="1"/>
  <c r="AE372" i="1" a="1"/>
  <c r="AE372" i="1"/>
  <c r="C342" i="1" a="1"/>
  <c r="C342" i="1"/>
  <c r="P330" i="1" a="1"/>
  <c r="P330" i="1"/>
  <c r="C330" i="1" a="1"/>
  <c r="C330" i="1"/>
  <c r="AE369" i="1" a="1"/>
  <c r="AE369" i="1"/>
  <c r="AK369" i="1" a="1"/>
  <c r="AK369" i="1"/>
  <c r="C344" i="1" a="1"/>
  <c r="C344" i="1"/>
  <c r="P344" i="1" a="1"/>
  <c r="P344" i="1"/>
  <c r="C534" i="1" a="1"/>
  <c r="C534" i="1"/>
  <c r="P534" i="1" a="1"/>
  <c r="P534" i="1"/>
  <c r="P277" i="1" a="1"/>
  <c r="P277" i="1"/>
  <c r="C277" i="1" a="1"/>
  <c r="C277" i="1"/>
  <c r="AK474" i="1" a="1"/>
  <c r="AK474" i="1"/>
  <c r="AE474" i="1" a="1"/>
  <c r="AE474" i="1"/>
  <c r="AE429" i="1" a="1"/>
  <c r="AE429" i="1"/>
  <c r="AK429" i="1" a="1"/>
  <c r="AK429" i="1"/>
  <c r="AK420" i="1" a="1"/>
  <c r="AK420" i="1"/>
  <c r="C250" i="1" a="1"/>
  <c r="C250" i="1"/>
  <c r="P250" i="1" a="1"/>
  <c r="P250" i="1"/>
  <c r="C463" i="1" a="1"/>
  <c r="C463" i="1"/>
  <c r="P463" i="1" a="1"/>
  <c r="P463" i="1"/>
  <c r="P585" i="1" a="1"/>
  <c r="P585" i="1"/>
  <c r="C585" i="1" a="1"/>
  <c r="C585" i="1"/>
  <c r="AE420" i="1" a="1"/>
  <c r="AE420" i="1"/>
  <c r="P454" i="1" a="1"/>
  <c r="P454" i="1"/>
  <c r="C454" i="1" a="1"/>
  <c r="C454" i="1"/>
  <c r="P502" i="1" a="1"/>
  <c r="P502" i="1"/>
  <c r="C502" i="1" a="1"/>
  <c r="C502" i="1"/>
  <c r="AG509" i="1" a="1"/>
  <c r="AG509" i="1"/>
  <c r="AM509" i="1" a="1"/>
  <c r="AM509" i="1"/>
  <c r="AG582" i="1" a="1"/>
  <c r="AG582" i="1"/>
  <c r="AM582" i="1" a="1"/>
  <c r="AM582" i="1"/>
  <c r="AK353" i="1" a="1"/>
  <c r="AK353" i="1"/>
  <c r="AM456" i="1" a="1"/>
  <c r="AM456" i="1"/>
  <c r="AG456" i="1" a="1"/>
  <c r="AG456" i="1"/>
  <c r="P395" i="1" a="1"/>
  <c r="P395" i="1"/>
  <c r="C395" i="1" a="1"/>
  <c r="C395" i="1"/>
  <c r="AE353" i="1" a="1"/>
  <c r="AE353" i="1"/>
  <c r="AE510" i="1" a="1"/>
  <c r="AE510" i="1"/>
  <c r="AK510" i="1" a="1"/>
  <c r="AK510" i="1"/>
  <c r="AE330" i="1" a="1"/>
  <c r="AE330" i="1"/>
  <c r="AK330" i="1" a="1"/>
  <c r="AK330" i="1"/>
  <c r="C498" i="1" a="1"/>
  <c r="C498" i="1"/>
  <c r="P498" i="1" a="1"/>
  <c r="P498" i="1"/>
  <c r="C377" i="1" a="1"/>
  <c r="C377" i="1"/>
  <c r="P377" i="1" a="1"/>
  <c r="P377" i="1"/>
  <c r="C381" i="1" a="1"/>
  <c r="C381" i="1"/>
  <c r="P381" i="1" a="1"/>
  <c r="P381" i="1"/>
  <c r="AM524" i="1" a="1"/>
  <c r="AM524" i="1"/>
  <c r="AK418" i="1" a="1"/>
  <c r="AK418" i="1"/>
  <c r="AE418" i="1" a="1"/>
  <c r="AE418" i="1"/>
  <c r="P401" i="1" a="1"/>
  <c r="P401" i="1"/>
  <c r="AK540" i="1" a="1"/>
  <c r="AK540" i="1"/>
  <c r="AE540" i="1" a="1"/>
  <c r="AE540" i="1"/>
  <c r="AE408" i="1" a="1"/>
  <c r="AE408" i="1"/>
  <c r="AG524" i="1" a="1"/>
  <c r="AG524" i="1"/>
  <c r="AK492" i="1" a="1"/>
  <c r="AK492" i="1"/>
  <c r="AE573" i="1" a="1"/>
  <c r="AE573" i="1"/>
  <c r="AK573" i="1" a="1"/>
  <c r="AK573" i="1"/>
  <c r="AK432" i="1" a="1"/>
  <c r="AK432" i="1"/>
  <c r="AE432" i="1" a="1"/>
  <c r="AE432" i="1"/>
  <c r="C401" i="1" a="1"/>
  <c r="C401" i="1"/>
  <c r="C584" i="1" a="1"/>
  <c r="C584" i="1"/>
  <c r="P584" i="1" a="1"/>
  <c r="P584" i="1"/>
  <c r="AK408" i="1" a="1"/>
  <c r="AK408" i="1"/>
  <c r="AE492" i="1" a="1"/>
  <c r="AE492" i="1"/>
  <c r="C489" i="1" a="1"/>
  <c r="C489" i="1"/>
  <c r="P489" i="1" a="1"/>
  <c r="P489" i="1"/>
  <c r="AE568" i="1" a="1"/>
  <c r="AE568" i="1"/>
  <c r="AK568" i="1" a="1"/>
  <c r="AK568" i="1"/>
  <c r="AE440" i="1" a="1"/>
  <c r="AE440" i="1"/>
  <c r="AE574" i="1" a="1"/>
  <c r="AE574" i="1"/>
  <c r="AG569" i="1" a="1"/>
  <c r="AG569" i="1"/>
  <c r="AM569" i="1" a="1"/>
  <c r="AM569" i="1"/>
  <c r="C593" i="1" a="1"/>
  <c r="C593" i="1"/>
  <c r="P593" i="1" a="1"/>
  <c r="P593" i="1"/>
  <c r="AK440" i="1" a="1"/>
  <c r="AK440" i="1"/>
  <c r="AK574" i="1" a="1"/>
  <c r="AK574" i="1"/>
  <c r="AG583" i="1" a="1"/>
  <c r="AG583" i="1"/>
  <c r="P582" i="1" a="1"/>
  <c r="P582" i="1"/>
  <c r="C582" i="1" a="1"/>
  <c r="C582" i="1"/>
  <c r="AE505" i="1" a="1"/>
  <c r="AE505" i="1"/>
  <c r="AK505" i="1" a="1"/>
  <c r="AK505" i="1"/>
  <c r="P532" i="1" a="1"/>
  <c r="P532" i="1"/>
  <c r="AG482" i="1" a="1"/>
  <c r="AG482" i="1"/>
  <c r="AM482" i="1" a="1"/>
  <c r="AM482" i="1"/>
  <c r="AM583" i="1" a="1"/>
  <c r="AM583" i="1"/>
  <c r="C567" i="1" a="1"/>
  <c r="C567" i="1"/>
  <c r="P567" i="1" a="1"/>
  <c r="P567" i="1"/>
  <c r="C532" i="1" a="1"/>
  <c r="C532" i="1"/>
  <c r="AK441" i="1" a="1"/>
  <c r="AK441" i="1"/>
  <c r="P462" i="1" a="1"/>
  <c r="P462" i="1"/>
  <c r="C462" i="1" a="1"/>
  <c r="C462" i="1"/>
  <c r="P478" i="1" a="1"/>
  <c r="P478" i="1"/>
  <c r="AE441" i="1" a="1"/>
  <c r="AE441" i="1"/>
  <c r="AM565" i="1" a="1"/>
  <c r="AM565" i="1"/>
  <c r="AG565" i="1" a="1"/>
  <c r="AG565" i="1"/>
  <c r="AM490" i="1" a="1"/>
  <c r="AM490" i="1"/>
  <c r="AG490" i="1" a="1"/>
  <c r="AG490" i="1"/>
  <c r="AM534" i="1" a="1"/>
  <c r="AM534" i="1"/>
  <c r="AG534" i="1" a="1"/>
  <c r="AG534" i="1"/>
  <c r="C478" i="1" a="1"/>
  <c r="C478" i="1"/>
  <c r="AK378" i="1" a="1"/>
  <c r="AK378" i="1"/>
  <c r="AK520" i="1" a="1"/>
  <c r="AK520" i="1"/>
  <c r="AE520" i="1" a="1"/>
  <c r="AE520" i="1"/>
  <c r="AM464" i="1" a="1"/>
  <c r="AM464" i="1"/>
  <c r="AG464" i="1" a="1"/>
  <c r="AG464" i="1"/>
  <c r="AM514" i="1" a="1"/>
  <c r="AM514" i="1"/>
  <c r="AG514" i="1" a="1"/>
  <c r="AG514" i="1"/>
  <c r="AE378" i="1" a="1"/>
  <c r="AE378" i="1"/>
  <c r="AE331" i="1" a="1"/>
  <c r="AE331" i="1"/>
  <c r="AK331" i="1" a="1"/>
  <c r="AK331" i="1"/>
  <c r="C410" i="1" a="1"/>
  <c r="C410" i="1"/>
  <c r="P410" i="1" a="1"/>
  <c r="P410" i="1"/>
  <c r="C412" i="1" a="1"/>
  <c r="C412" i="1"/>
  <c r="P412" i="1" a="1"/>
  <c r="P412" i="1"/>
  <c r="AM473" i="1" a="1"/>
  <c r="AM473" i="1"/>
  <c r="AG473" i="1" a="1"/>
  <c r="AG473" i="1"/>
  <c r="P387" i="1" a="1"/>
  <c r="P387" i="1"/>
  <c r="C387" i="1" a="1"/>
  <c r="C387" i="1"/>
  <c r="AG502" i="1" a="1"/>
  <c r="AG502" i="1"/>
  <c r="AM502" i="1" a="1"/>
  <c r="AM502" i="1"/>
  <c r="C246" i="1" a="1"/>
  <c r="C246" i="1"/>
  <c r="P246" i="1" a="1"/>
  <c r="P246" i="1"/>
  <c r="AE363" i="1" a="1"/>
  <c r="AE363" i="1"/>
  <c r="AK363" i="1" a="1"/>
  <c r="AK363" i="1"/>
  <c r="C471" i="1" a="1"/>
  <c r="C471" i="1"/>
  <c r="P471" i="1" a="1"/>
  <c r="P471" i="1"/>
  <c r="C398" i="1" a="1"/>
  <c r="C398" i="1"/>
  <c r="P398" i="1" a="1"/>
  <c r="P398" i="1"/>
  <c r="P358" i="1" a="1"/>
  <c r="P358" i="1"/>
  <c r="C358" i="1" a="1"/>
  <c r="C358" i="1"/>
  <c r="AK385" i="1" a="1"/>
  <c r="AK385" i="1"/>
  <c r="AE385" i="1" a="1"/>
  <c r="AE385" i="1"/>
  <c r="P257" i="1" a="1"/>
  <c r="P257" i="1"/>
  <c r="C257" i="1" a="1"/>
  <c r="C257" i="1"/>
  <c r="P365" i="1" a="1"/>
  <c r="P365" i="1"/>
  <c r="C365" i="1" a="1"/>
  <c r="C365" i="1"/>
  <c r="P447" i="1" a="1"/>
  <c r="P447" i="1"/>
  <c r="C447" i="1" a="1"/>
  <c r="C447" i="1"/>
  <c r="C568" i="1" a="1"/>
  <c r="C568" i="1"/>
  <c r="P568" i="1" a="1"/>
  <c r="P568" i="1"/>
  <c r="AE585" i="1" a="1"/>
  <c r="AE585" i="1"/>
  <c r="AK585" i="1" a="1"/>
  <c r="AK585" i="1"/>
  <c r="AE434" i="1" a="1"/>
  <c r="AE434" i="1"/>
  <c r="P594" i="1" a="1"/>
  <c r="P594" i="1"/>
  <c r="C594" i="1" a="1"/>
  <c r="C594" i="1"/>
  <c r="AE595" i="1" a="1"/>
  <c r="AE595" i="1"/>
  <c r="AK595" i="1" a="1"/>
  <c r="AK595" i="1"/>
  <c r="AK586" i="1" a="1"/>
  <c r="AK586" i="1"/>
  <c r="AE586" i="1" a="1"/>
  <c r="AE586" i="1"/>
  <c r="AE398" i="1" a="1"/>
  <c r="AE398" i="1"/>
  <c r="AK398" i="1" a="1"/>
  <c r="AK398" i="1"/>
  <c r="AM590" i="1" a="1"/>
  <c r="AM590" i="1"/>
  <c r="AG590" i="1" a="1"/>
  <c r="AG590" i="1"/>
  <c r="AK434" i="1" a="1"/>
  <c r="AK434" i="1"/>
  <c r="AG584" i="1" a="1"/>
  <c r="AG584" i="1"/>
  <c r="AE494" i="1" a="1"/>
  <c r="AE494" i="1"/>
  <c r="AK494" i="1" a="1"/>
  <c r="AK494" i="1"/>
  <c r="AE532" i="1" a="1"/>
  <c r="AE532" i="1"/>
  <c r="AK532" i="1" a="1"/>
  <c r="AK532" i="1"/>
  <c r="AE463" i="1" a="1"/>
  <c r="AE463" i="1"/>
  <c r="AK463" i="1" a="1"/>
  <c r="AK463" i="1"/>
  <c r="AM584" i="1" a="1"/>
  <c r="AM584" i="1"/>
  <c r="C530" i="1" a="1"/>
  <c r="C530" i="1"/>
  <c r="P530" i="1" a="1"/>
  <c r="P530" i="1"/>
  <c r="AK405" i="1" a="1"/>
  <c r="AK405" i="1"/>
  <c r="AE405" i="1" a="1"/>
  <c r="AE405" i="1"/>
  <c r="C511" i="1" a="1"/>
  <c r="C511" i="1"/>
  <c r="P511" i="1" a="1"/>
  <c r="P511" i="1"/>
  <c r="AK455" i="1" a="1"/>
  <c r="AK455" i="1"/>
  <c r="AE455" i="1" a="1"/>
  <c r="AE455" i="1"/>
  <c r="AE486" i="1" a="1"/>
  <c r="AE486" i="1"/>
  <c r="AK486" i="1" a="1"/>
  <c r="AK486" i="1"/>
  <c r="P441" i="1" a="1"/>
  <c r="P441" i="1"/>
  <c r="C441" i="1" a="1"/>
  <c r="C441" i="1"/>
  <c r="AM571" i="1" a="1"/>
  <c r="AM571" i="1"/>
  <c r="AG571" i="1" a="1"/>
  <c r="AG571" i="1"/>
  <c r="AK488" i="1" a="1"/>
  <c r="AK488" i="1"/>
  <c r="AE488" i="1" a="1"/>
  <c r="AE488" i="1"/>
  <c r="AE395" i="1" a="1"/>
  <c r="AE395" i="1"/>
  <c r="AK395" i="1" a="1"/>
  <c r="AK395" i="1"/>
  <c r="AE496" i="1" a="1"/>
  <c r="AE496" i="1"/>
  <c r="AK496" i="1" a="1"/>
  <c r="AK496" i="1"/>
  <c r="C392" i="1" a="1"/>
  <c r="C392" i="1"/>
  <c r="P392" i="1" a="1"/>
  <c r="P392" i="1"/>
  <c r="AM503" i="1" a="1"/>
  <c r="AM503" i="1"/>
  <c r="P510" i="1" a="1"/>
  <c r="P510" i="1"/>
  <c r="C510" i="1" a="1"/>
  <c r="C510" i="1"/>
  <c r="C519" i="1" a="1"/>
  <c r="C519" i="1"/>
  <c r="P519" i="1" a="1"/>
  <c r="P519" i="1"/>
  <c r="C523" i="1" a="1"/>
  <c r="C523" i="1"/>
  <c r="P523" i="1" a="1"/>
  <c r="P523" i="1"/>
  <c r="C484" i="1" a="1"/>
  <c r="C484" i="1"/>
  <c r="P484" i="1" a="1"/>
  <c r="P484" i="1"/>
  <c r="AG503" i="1" a="1"/>
  <c r="AG503" i="1"/>
  <c r="AE282" i="1" a="1"/>
  <c r="AE282" i="1"/>
  <c r="AK282" i="1" a="1"/>
  <c r="AK282" i="1"/>
  <c r="AE304" i="1" a="1"/>
  <c r="AE304" i="1"/>
  <c r="AK304" i="1" a="1"/>
  <c r="AK304" i="1"/>
  <c r="C357" i="1" a="1"/>
  <c r="C357" i="1"/>
  <c r="P357" i="1" a="1"/>
  <c r="P357" i="1"/>
  <c r="C296" i="1" a="1"/>
  <c r="C296" i="1"/>
  <c r="AM520" i="1" a="1"/>
  <c r="AM520" i="1"/>
  <c r="AG520" i="1" a="1"/>
  <c r="AG520" i="1"/>
  <c r="P474" i="1" a="1"/>
  <c r="P474" i="1"/>
  <c r="C474" i="1" a="1"/>
  <c r="C474" i="1"/>
  <c r="AG479" i="1" a="1"/>
  <c r="AG479" i="1"/>
  <c r="AM479" i="1" a="1"/>
  <c r="AM479" i="1"/>
  <c r="P296" i="1" a="1"/>
  <c r="P296" i="1"/>
  <c r="C343" i="1" a="1"/>
  <c r="C343" i="1"/>
  <c r="P343" i="1" a="1"/>
  <c r="P343" i="1"/>
  <c r="P332" i="1" a="1"/>
  <c r="P332" i="1"/>
  <c r="C332" i="1" a="1"/>
  <c r="C332" i="1"/>
  <c r="AK328" i="1" a="1"/>
  <c r="AK328" i="1"/>
  <c r="AE328" i="1" a="1"/>
  <c r="AE328" i="1"/>
  <c r="AG530" i="1" a="1"/>
  <c r="AG530" i="1"/>
  <c r="AM530" i="1" a="1"/>
  <c r="AM530" i="1"/>
  <c r="AG511" i="1" a="1"/>
  <c r="AG511" i="1"/>
  <c r="AM511" i="1" a="1"/>
  <c r="AM511" i="1"/>
  <c r="AE356" i="1" a="1"/>
  <c r="AE356" i="1"/>
  <c r="AK356" i="1" a="1"/>
  <c r="AK356" i="1"/>
  <c r="AK345" i="1" a="1"/>
  <c r="AK345" i="1"/>
  <c r="AE345" i="1" a="1"/>
  <c r="AE345" i="1"/>
  <c r="AK218" i="1" a="1"/>
  <c r="AK218" i="1"/>
  <c r="AE218" i="1" a="1"/>
  <c r="AE218" i="1"/>
  <c r="AK355" i="1" a="1"/>
  <c r="AK355" i="1"/>
  <c r="AE355" i="1" a="1"/>
  <c r="AE355" i="1"/>
  <c r="AK381" i="1" a="1"/>
  <c r="AK381" i="1"/>
  <c r="AE381" i="1" a="1"/>
  <c r="AE381" i="1"/>
  <c r="AE343" i="1" a="1"/>
  <c r="AE343" i="1"/>
  <c r="AK343" i="1" a="1"/>
  <c r="AK343" i="1"/>
  <c r="C303" i="1" a="1"/>
  <c r="C303" i="1"/>
  <c r="P303" i="1" a="1"/>
  <c r="P303" i="1"/>
  <c r="AE460" i="1" a="1"/>
  <c r="AE460" i="1"/>
  <c r="AK460" i="1" a="1"/>
  <c r="AK460" i="1"/>
  <c r="AE475" i="1" a="1"/>
  <c r="AE475" i="1"/>
  <c r="AK475" i="1" a="1"/>
  <c r="AK475" i="1"/>
  <c r="AE425" i="1" a="1"/>
  <c r="AE425" i="1"/>
  <c r="AK425" i="1" a="1"/>
  <c r="AK425" i="1"/>
  <c r="P351" i="1" a="1"/>
  <c r="P351" i="1"/>
  <c r="C351" i="1" a="1"/>
  <c r="C351" i="1"/>
  <c r="P190" i="1" a="1"/>
  <c r="P190" i="1"/>
  <c r="AK322" i="1" a="1"/>
  <c r="AK322" i="1"/>
  <c r="AE322" i="1" a="1"/>
  <c r="AE322" i="1"/>
  <c r="C190" i="1" a="1"/>
  <c r="C190" i="1"/>
  <c r="AK72" i="1" a="1"/>
  <c r="AK72" i="1"/>
  <c r="AE72" i="1" a="1"/>
  <c r="AE72" i="1"/>
  <c r="AK487" i="1" a="1"/>
  <c r="AK487" i="1"/>
  <c r="AE487" i="1" a="1"/>
  <c r="AE487" i="1"/>
  <c r="AK172" i="1" a="1"/>
  <c r="AK172" i="1"/>
  <c r="AE172" i="1" a="1"/>
  <c r="AE172" i="1"/>
  <c r="C110" i="1" a="1"/>
  <c r="C110" i="1"/>
  <c r="P110" i="1" a="1"/>
  <c r="P110" i="1"/>
  <c r="AE68" i="1" a="1"/>
  <c r="AE68" i="1"/>
  <c r="AK68" i="1" a="1"/>
  <c r="AK68" i="1"/>
  <c r="C194" i="1" a="1"/>
  <c r="C194" i="1"/>
  <c r="P194" i="1" a="1"/>
  <c r="P194" i="1"/>
  <c r="AK260" i="1" a="1"/>
  <c r="AK260" i="1"/>
  <c r="AE260" i="1" a="1"/>
  <c r="AE260" i="1"/>
  <c r="AM550" i="1" a="1"/>
  <c r="AM550" i="1"/>
  <c r="AG550" i="1" a="1"/>
  <c r="AG550" i="1"/>
  <c r="P219" i="1" a="1"/>
  <c r="P219" i="1"/>
  <c r="C219" i="1" a="1"/>
  <c r="C219" i="1"/>
  <c r="P174" i="1" a="1"/>
  <c r="P174" i="1"/>
  <c r="P68" i="1" a="1"/>
  <c r="P68" i="1"/>
  <c r="C68" i="1" a="1"/>
  <c r="C68" i="1"/>
  <c r="AE277" i="1" a="1"/>
  <c r="AE277" i="1"/>
  <c r="AK277" i="1" a="1"/>
  <c r="AK277" i="1"/>
  <c r="AK499" i="1" a="1"/>
  <c r="AK499" i="1"/>
  <c r="P266" i="1" a="1"/>
  <c r="P266" i="1"/>
  <c r="C266" i="1" a="1"/>
  <c r="C266" i="1"/>
  <c r="P520" i="1" a="1"/>
  <c r="P520" i="1"/>
  <c r="C520" i="1" a="1"/>
  <c r="C520" i="1"/>
  <c r="C174" i="1" a="1"/>
  <c r="C174" i="1"/>
  <c r="AK129" i="1" a="1"/>
  <c r="AK129" i="1"/>
  <c r="AE129" i="1" a="1"/>
  <c r="AE129" i="1"/>
  <c r="AK230" i="1" a="1"/>
  <c r="AK230" i="1"/>
  <c r="AE230" i="1" a="1"/>
  <c r="AE230" i="1"/>
  <c r="P136" i="1" a="1"/>
  <c r="P136" i="1"/>
  <c r="C136" i="1" a="1"/>
  <c r="C136" i="1"/>
  <c r="AK35" i="1" a="1"/>
  <c r="AK35" i="1"/>
  <c r="AE35" i="1" a="1"/>
  <c r="AE35" i="1"/>
  <c r="C178" i="1" a="1"/>
  <c r="C178" i="1"/>
  <c r="P178" i="1" a="1"/>
  <c r="P178" i="1"/>
  <c r="AE76" i="1" a="1"/>
  <c r="AE76" i="1"/>
  <c r="AK76" i="1" a="1"/>
  <c r="AK76" i="1"/>
  <c r="AE186" i="1" a="1"/>
  <c r="AE186" i="1"/>
  <c r="AK186" i="1" a="1"/>
  <c r="AK186" i="1"/>
  <c r="P88" i="1" a="1"/>
  <c r="P88" i="1"/>
  <c r="C88" i="1" a="1"/>
  <c r="C88" i="1"/>
  <c r="AK268" i="1" a="1"/>
  <c r="AK268" i="1"/>
  <c r="AE268" i="1" a="1"/>
  <c r="AE268" i="1"/>
  <c r="P284" i="1" a="1"/>
  <c r="P284" i="1"/>
  <c r="C284" i="1" a="1"/>
  <c r="C284" i="1"/>
  <c r="C453" i="1" a="1"/>
  <c r="C453" i="1"/>
  <c r="P453" i="1" a="1"/>
  <c r="P453" i="1"/>
  <c r="AK179" i="1" a="1"/>
  <c r="AK179" i="1"/>
  <c r="AE179" i="1" a="1"/>
  <c r="AE179" i="1"/>
  <c r="AK206" i="1" a="1"/>
  <c r="AK206" i="1"/>
  <c r="AE206" i="1" a="1"/>
  <c r="AE206" i="1"/>
  <c r="C181" i="1" a="1"/>
  <c r="C181" i="1"/>
  <c r="P181" i="1" a="1"/>
  <c r="P181" i="1"/>
  <c r="C47" i="1" a="1"/>
  <c r="C47" i="1"/>
  <c r="P47" i="1" a="1"/>
  <c r="P47" i="1"/>
  <c r="AG545" i="1" a="1"/>
  <c r="AG545" i="1"/>
  <c r="AK366" i="1" a="1"/>
  <c r="AK366" i="1"/>
  <c r="AE366" i="1" a="1"/>
  <c r="AE366" i="1"/>
  <c r="AK287" i="1" a="1"/>
  <c r="AK287" i="1"/>
  <c r="AE287" i="1" a="1"/>
  <c r="AE287" i="1"/>
  <c r="C214" i="1" a="1"/>
  <c r="C214" i="1"/>
  <c r="P214" i="1" a="1"/>
  <c r="P214" i="1"/>
  <c r="AM465" i="1" a="1"/>
  <c r="AM465" i="1"/>
  <c r="AG465" i="1" a="1"/>
  <c r="AG465" i="1"/>
  <c r="C271" i="1" a="1"/>
  <c r="C271" i="1"/>
  <c r="AK538" i="1" a="1"/>
  <c r="AK538" i="1"/>
  <c r="AE538" i="1" a="1"/>
  <c r="AE538" i="1"/>
  <c r="AE531" i="1" a="1"/>
  <c r="AE531" i="1"/>
  <c r="AK531" i="1" a="1"/>
  <c r="AK531" i="1"/>
  <c r="AK253" i="1" a="1"/>
  <c r="AK253" i="1"/>
  <c r="AE253" i="1" a="1"/>
  <c r="AE253" i="1"/>
  <c r="AM545" i="1" a="1"/>
  <c r="AM545" i="1"/>
  <c r="P244" i="1" a="1"/>
  <c r="P244" i="1"/>
  <c r="P42" i="1" a="1"/>
  <c r="P42" i="1"/>
  <c r="P151" i="1" a="1"/>
  <c r="P151" i="1"/>
  <c r="AE329" i="1" a="1"/>
  <c r="AE329" i="1"/>
  <c r="P271" i="1" a="1"/>
  <c r="P271" i="1"/>
  <c r="C244" i="1" a="1"/>
  <c r="C244" i="1"/>
  <c r="P322" i="1" a="1"/>
  <c r="P322" i="1"/>
  <c r="C42" i="1" a="1"/>
  <c r="C42" i="1"/>
  <c r="C151" i="1" a="1"/>
  <c r="C151" i="1"/>
  <c r="AK329" i="1" a="1"/>
  <c r="AK329" i="1"/>
  <c r="AK188" i="1" a="1"/>
  <c r="AK188" i="1"/>
  <c r="AE188" i="1" a="1"/>
  <c r="AE188" i="1"/>
  <c r="AE107" i="1" a="1"/>
  <c r="AE107" i="1"/>
  <c r="AK107" i="1" a="1"/>
  <c r="AK107" i="1"/>
  <c r="C322" i="1" a="1"/>
  <c r="C322" i="1"/>
  <c r="AK153" i="1" a="1"/>
  <c r="AK153" i="1"/>
  <c r="C215" i="1" a="1"/>
  <c r="C215" i="1"/>
  <c r="P215" i="1" a="1"/>
  <c r="P215" i="1"/>
  <c r="AE153" i="1" a="1"/>
  <c r="AE153" i="1"/>
  <c r="AE104" i="1" a="1"/>
  <c r="AE104" i="1"/>
  <c r="AK104" i="1" a="1"/>
  <c r="AK104" i="1"/>
  <c r="P75" i="1" a="1"/>
  <c r="P75" i="1"/>
  <c r="C75" i="1" a="1"/>
  <c r="C75" i="1"/>
  <c r="P52" i="1" a="1"/>
  <c r="P52" i="1"/>
  <c r="C52" i="1" a="1"/>
  <c r="C52" i="1"/>
  <c r="AE264" i="1" a="1"/>
  <c r="AE264" i="1"/>
  <c r="AK264" i="1" a="1"/>
  <c r="AK264" i="1"/>
  <c r="AK137" i="1" a="1"/>
  <c r="AK137" i="1"/>
  <c r="AE64" i="1" a="1"/>
  <c r="AE64" i="1"/>
  <c r="P111" i="1" a="1"/>
  <c r="P111" i="1"/>
  <c r="C111" i="1" a="1"/>
  <c r="C111" i="1"/>
  <c r="AE137" i="1" a="1"/>
  <c r="AE137" i="1"/>
  <c r="P213" i="1" a="1"/>
  <c r="P213" i="1"/>
  <c r="C213" i="1" a="1"/>
  <c r="C213" i="1"/>
  <c r="AK64" i="1" a="1"/>
  <c r="AK64" i="1"/>
  <c r="C143" i="1" a="1"/>
  <c r="C143" i="1"/>
  <c r="P143" i="1" a="1"/>
  <c r="P143" i="1"/>
  <c r="P224" i="1" a="1"/>
  <c r="P224" i="1"/>
  <c r="C224" i="1" a="1"/>
  <c r="C224" i="1"/>
  <c r="AE185" i="1" a="1"/>
  <c r="AE185" i="1"/>
  <c r="AK185" i="1" a="1"/>
  <c r="AK185" i="1"/>
  <c r="C162" i="1" a="1"/>
  <c r="C162" i="1"/>
  <c r="P162" i="1" a="1"/>
  <c r="P162" i="1"/>
  <c r="C193" i="1" a="1"/>
  <c r="C193" i="1"/>
  <c r="P193" i="1" a="1"/>
  <c r="P193" i="1"/>
  <c r="AK557" i="1" a="1"/>
  <c r="AK557" i="1"/>
  <c r="P57" i="1" a="1"/>
  <c r="P57" i="1"/>
  <c r="C57" i="1" a="1"/>
  <c r="C57" i="1"/>
  <c r="AE557" i="1" a="1"/>
  <c r="AE557" i="1"/>
  <c r="P466" i="1" a="1"/>
  <c r="P466" i="1"/>
  <c r="C466" i="1" a="1"/>
  <c r="C466" i="1"/>
  <c r="AE190" i="1" a="1"/>
  <c r="AE190" i="1"/>
  <c r="AK190" i="1" a="1"/>
  <c r="AK190" i="1"/>
  <c r="AK352" i="1" a="1"/>
  <c r="AK352" i="1"/>
  <c r="AE352" i="1" a="1"/>
  <c r="AE352" i="1"/>
  <c r="P142" i="1" a="1"/>
  <c r="P142" i="1"/>
  <c r="C142" i="1" a="1"/>
  <c r="C142" i="1"/>
  <c r="AK167" i="1" a="1"/>
  <c r="AK167" i="1"/>
  <c r="AE167" i="1" a="1"/>
  <c r="AE167" i="1"/>
  <c r="AK379" i="1" a="1"/>
  <c r="AK379" i="1"/>
  <c r="P539" i="1" a="1"/>
  <c r="P539" i="1"/>
  <c r="P457" i="1" a="1"/>
  <c r="P457" i="1"/>
  <c r="C133" i="1" a="1"/>
  <c r="C133" i="1"/>
  <c r="P133" i="1" a="1"/>
  <c r="P133" i="1"/>
  <c r="AK323" i="1" a="1"/>
  <c r="AK323" i="1"/>
  <c r="AE323" i="1" a="1"/>
  <c r="AE323" i="1"/>
  <c r="AE379" i="1" a="1"/>
  <c r="AE379" i="1"/>
  <c r="AM450" i="1" a="1"/>
  <c r="AM450" i="1"/>
  <c r="AG450" i="1" a="1"/>
  <c r="AG450" i="1"/>
  <c r="C5" i="1" a="1"/>
  <c r="C5" i="1"/>
  <c r="C539" i="1" a="1"/>
  <c r="C539" i="1"/>
  <c r="C457" i="1" a="1"/>
  <c r="C457" i="1"/>
  <c r="AE467" i="1" a="1"/>
  <c r="AE467" i="1"/>
  <c r="AK467" i="1" a="1"/>
  <c r="AK467" i="1"/>
  <c r="AE394" i="1" a="1"/>
  <c r="AE394" i="1"/>
  <c r="AK394" i="1" a="1"/>
  <c r="AK394" i="1"/>
  <c r="AK506" i="1" a="1"/>
  <c r="AK506" i="1"/>
  <c r="AE506" i="1" a="1"/>
  <c r="AE506" i="1"/>
  <c r="AK424" i="1" a="1"/>
  <c r="AK424" i="1"/>
  <c r="AE424" i="1" a="1"/>
  <c r="AE424" i="1"/>
  <c r="C313" i="1" a="1"/>
  <c r="C313" i="1"/>
  <c r="P313" i="1" a="1"/>
  <c r="P313" i="1"/>
  <c r="C126" i="1" a="1"/>
  <c r="C126" i="1"/>
  <c r="P126" i="1" a="1"/>
  <c r="P126" i="1"/>
  <c r="AK428" i="1" a="1"/>
  <c r="AK428" i="1"/>
  <c r="AE66" i="1" a="1"/>
  <c r="AE66" i="1"/>
  <c r="AK66" i="1" a="1"/>
  <c r="AK66" i="1"/>
  <c r="AE84" i="1" a="1"/>
  <c r="AE84" i="1"/>
  <c r="AK84" i="1" a="1"/>
  <c r="AK84" i="1"/>
  <c r="C492" i="1" a="1"/>
  <c r="C492" i="1"/>
  <c r="P492" i="1" a="1"/>
  <c r="P492" i="1"/>
  <c r="AE382" i="1" a="1"/>
  <c r="AE382" i="1"/>
  <c r="AK382" i="1" a="1"/>
  <c r="AK382" i="1"/>
  <c r="AK215" i="1" a="1"/>
  <c r="AK215" i="1"/>
  <c r="AE215" i="1" a="1"/>
  <c r="AE215" i="1"/>
  <c r="C208" i="1" a="1"/>
  <c r="C208" i="1"/>
  <c r="P208" i="1" a="1"/>
  <c r="P208" i="1"/>
  <c r="AE428" i="1" a="1"/>
  <c r="AE428" i="1"/>
  <c r="AK187" i="1" a="1"/>
  <c r="AK187" i="1"/>
  <c r="AE187" i="1" a="1"/>
  <c r="AE187" i="1"/>
  <c r="AK118" i="1" a="1"/>
  <c r="AK118" i="1"/>
  <c r="C221" i="1" a="1"/>
  <c r="C221" i="1"/>
  <c r="P221" i="1" a="1"/>
  <c r="P221" i="1"/>
  <c r="AK161" i="1" a="1"/>
  <c r="AK161" i="1"/>
  <c r="AE161" i="1" a="1"/>
  <c r="AE161" i="1"/>
  <c r="AE118" i="1" a="1"/>
  <c r="AE118" i="1"/>
  <c r="C245" i="1" a="1"/>
  <c r="C245" i="1"/>
  <c r="P245" i="1" a="1"/>
  <c r="P245" i="1"/>
  <c r="AK241" i="1" a="1"/>
  <c r="AK241" i="1"/>
  <c r="AE305" i="1" a="1"/>
  <c r="AE305" i="1"/>
  <c r="AK305" i="1" a="1"/>
  <c r="AK305" i="1"/>
  <c r="P225" i="1" a="1"/>
  <c r="P225" i="1"/>
  <c r="C225" i="1" a="1"/>
  <c r="C225" i="1"/>
  <c r="AK285" i="1" a="1"/>
  <c r="AK285" i="1"/>
  <c r="AE285" i="1" a="1"/>
  <c r="AE285" i="1"/>
  <c r="AE241" i="1" a="1"/>
  <c r="AE241" i="1"/>
  <c r="P87" i="1" a="1"/>
  <c r="P87" i="1"/>
  <c r="C87" i="1" a="1"/>
  <c r="C87" i="1"/>
  <c r="C150" i="1" a="1"/>
  <c r="C150" i="1"/>
  <c r="P150" i="1" a="1"/>
  <c r="P150" i="1"/>
  <c r="AK131" i="1" a="1"/>
  <c r="AK131" i="1"/>
  <c r="C63" i="1" a="1"/>
  <c r="C63" i="1"/>
  <c r="P63" i="1" a="1"/>
  <c r="P63" i="1"/>
  <c r="AE559" i="1" a="1"/>
  <c r="AE559" i="1"/>
  <c r="AK559" i="1" a="1"/>
  <c r="AK559" i="1"/>
  <c r="C285" i="1" a="1"/>
  <c r="C285" i="1"/>
  <c r="C168" i="1" a="1"/>
  <c r="C168" i="1"/>
  <c r="P168" i="1" a="1"/>
  <c r="P168" i="1"/>
  <c r="AE131" i="1" a="1"/>
  <c r="AE131" i="1"/>
  <c r="P285" i="1" a="1"/>
  <c r="P285" i="1"/>
  <c r="C78" i="1" a="1"/>
  <c r="C78" i="1"/>
  <c r="P78" i="1" a="1"/>
  <c r="P78" i="1"/>
  <c r="AE244" i="1" a="1"/>
  <c r="AE244" i="1"/>
  <c r="AK244" i="1" a="1"/>
  <c r="AK244" i="1"/>
  <c r="AE208" i="1" a="1"/>
  <c r="AE208" i="1"/>
  <c r="AK208" i="1" a="1"/>
  <c r="AK208" i="1"/>
  <c r="AE263" i="1" a="1"/>
  <c r="AE263" i="1"/>
  <c r="AK263" i="1" a="1"/>
  <c r="AK263" i="1"/>
  <c r="P201" i="1" a="1"/>
  <c r="P201" i="1"/>
  <c r="C201" i="1" a="1"/>
  <c r="C201" i="1"/>
  <c r="AE102" i="1" a="1"/>
  <c r="AE102" i="1"/>
  <c r="AK102" i="1" a="1"/>
  <c r="AK102" i="1"/>
  <c r="AK109" i="1" a="1"/>
  <c r="AK109" i="1"/>
  <c r="AE109" i="1" a="1"/>
  <c r="AE109" i="1"/>
  <c r="AE82" i="1" a="1"/>
  <c r="AE82" i="1"/>
  <c r="AK311" i="1" a="1"/>
  <c r="AK311" i="1"/>
  <c r="AK82" i="1" a="1"/>
  <c r="AK82" i="1"/>
  <c r="C282" i="1" a="1"/>
  <c r="C282" i="1"/>
  <c r="P282" i="1" a="1"/>
  <c r="P282" i="1"/>
  <c r="P38" i="1" a="1"/>
  <c r="P38" i="1"/>
  <c r="C38" i="1" a="1"/>
  <c r="C38" i="1"/>
  <c r="C100" i="1" a="1"/>
  <c r="C100" i="1"/>
  <c r="P100" i="1" a="1"/>
  <c r="P100" i="1"/>
  <c r="C64" i="1" a="1"/>
  <c r="C64" i="1"/>
  <c r="AK214" i="1" a="1"/>
  <c r="AK214" i="1"/>
  <c r="AE214" i="1" a="1"/>
  <c r="AE214" i="1"/>
  <c r="P64" i="1" a="1"/>
  <c r="P64" i="1"/>
  <c r="AE311" i="1" a="1"/>
  <c r="AE311" i="1"/>
  <c r="AK233" i="1" a="1"/>
  <c r="AK233" i="1"/>
  <c r="AE233" i="1" a="1"/>
  <c r="AE233" i="1"/>
  <c r="AE159" i="1" a="1"/>
  <c r="AE159" i="1"/>
  <c r="AK159" i="1" a="1"/>
  <c r="AK159" i="1"/>
  <c r="AK95" i="1" a="1"/>
  <c r="AK95" i="1"/>
  <c r="C69" i="1" a="1"/>
  <c r="C69" i="1"/>
  <c r="P69" i="1" a="1"/>
  <c r="P69" i="1"/>
  <c r="AE95" i="1" a="1"/>
  <c r="AE95" i="1"/>
  <c r="AK99" i="1" a="1"/>
  <c r="AK99" i="1"/>
  <c r="AE99" i="1" a="1"/>
  <c r="AE99" i="1"/>
  <c r="AK93" i="1" a="1"/>
  <c r="AK93" i="1"/>
  <c r="AE219" i="1" a="1"/>
  <c r="AE219" i="1"/>
  <c r="AE93" i="1" a="1"/>
  <c r="AE93" i="1"/>
  <c r="AK219" i="1" a="1"/>
  <c r="AK219" i="1"/>
  <c r="P207" i="1" a="1"/>
  <c r="P207" i="1"/>
  <c r="C207" i="1" a="1"/>
  <c r="C207" i="1"/>
  <c r="C71" i="1" a="1"/>
  <c r="C71" i="1"/>
  <c r="P71" i="1" a="1"/>
  <c r="P71" i="1"/>
  <c r="AE27" i="1" a="1"/>
  <c r="AE27" i="1"/>
  <c r="P131" i="1" a="1"/>
  <c r="P131" i="1"/>
  <c r="C131" i="1" a="1"/>
  <c r="C131" i="1"/>
  <c r="C300" i="1" a="1"/>
  <c r="C300" i="1"/>
  <c r="P300" i="1" a="1"/>
  <c r="P300" i="1"/>
  <c r="C326" i="1" a="1"/>
  <c r="C326" i="1"/>
  <c r="AK27" i="1" a="1"/>
  <c r="AK27" i="1"/>
  <c r="AE227" i="1" a="1"/>
  <c r="AE227" i="1"/>
  <c r="AK227" i="1" a="1"/>
  <c r="AK227" i="1"/>
  <c r="P326" i="1" a="1"/>
  <c r="P326" i="1"/>
  <c r="AE56" i="1" a="1"/>
  <c r="AE56" i="1"/>
  <c r="AK56" i="1" a="1"/>
  <c r="AK56" i="1"/>
  <c r="AE176" i="1" a="1"/>
  <c r="AE176" i="1"/>
  <c r="AK176" i="1" a="1"/>
  <c r="AK176" i="1"/>
  <c r="C238" i="1" a="1"/>
  <c r="C238" i="1"/>
  <c r="P238" i="1" a="1"/>
  <c r="P238" i="1"/>
  <c r="AE284" i="1" a="1"/>
  <c r="AE284" i="1"/>
  <c r="AE283" i="1" a="1"/>
  <c r="AE283" i="1"/>
  <c r="AK283" i="1" a="1"/>
  <c r="AK283" i="1"/>
  <c r="AE144" i="1" a="1"/>
  <c r="AE144" i="1"/>
  <c r="AK144" i="1" a="1"/>
  <c r="AK144" i="1"/>
  <c r="C189" i="1" a="1"/>
  <c r="C189" i="1"/>
  <c r="P189" i="1" a="1"/>
  <c r="P189" i="1"/>
  <c r="AK132" i="1" a="1"/>
  <c r="AK132" i="1"/>
  <c r="AE132" i="1" a="1"/>
  <c r="AE132" i="1"/>
  <c r="C321" i="1" a="1"/>
  <c r="C321" i="1"/>
  <c r="P321" i="1" a="1"/>
  <c r="P321" i="1"/>
  <c r="AE497" i="1" a="1"/>
  <c r="AE497" i="1"/>
  <c r="AK497" i="1" a="1"/>
  <c r="AK497" i="1"/>
  <c r="C123" i="1" a="1"/>
  <c r="C123" i="1"/>
  <c r="P123" i="1" a="1"/>
  <c r="P123" i="1"/>
  <c r="C376" i="1" a="1"/>
  <c r="C376" i="1"/>
  <c r="P376" i="1" a="1"/>
  <c r="P376" i="1"/>
  <c r="C139" i="1" a="1"/>
  <c r="C139" i="1"/>
  <c r="P139" i="1" a="1"/>
  <c r="P139" i="1"/>
  <c r="C11" i="1" a="1"/>
  <c r="C11" i="1"/>
  <c r="AE180" i="1" a="1"/>
  <c r="AE180" i="1"/>
  <c r="AK180" i="1" a="1"/>
  <c r="AK180" i="1"/>
  <c r="C280" i="1" a="1"/>
  <c r="C280" i="1"/>
  <c r="P280" i="1" a="1"/>
  <c r="P280" i="1"/>
  <c r="AE209" i="1" a="1"/>
  <c r="AE209" i="1"/>
  <c r="AK209" i="1" a="1"/>
  <c r="AK209" i="1"/>
  <c r="P31" i="1" a="1"/>
  <c r="P31" i="1"/>
  <c r="C31" i="1" a="1"/>
  <c r="C31" i="1"/>
  <c r="P209" i="1" a="1"/>
  <c r="P209" i="1"/>
  <c r="C209" i="1" a="1"/>
  <c r="C209" i="1"/>
  <c r="P158" i="1" a="1"/>
  <c r="P158" i="1"/>
  <c r="AK223" i="1" a="1"/>
  <c r="AK223" i="1"/>
  <c r="AE223" i="1" a="1"/>
  <c r="AE223" i="1"/>
  <c r="P288" i="1" a="1"/>
  <c r="P288" i="1"/>
  <c r="C288" i="1" a="1"/>
  <c r="C288" i="1"/>
  <c r="AK173" i="1" a="1"/>
  <c r="AK173" i="1"/>
  <c r="C158" i="1" a="1"/>
  <c r="C158" i="1"/>
  <c r="AE197" i="1" a="1"/>
  <c r="AE197" i="1"/>
  <c r="AK197" i="1" a="1"/>
  <c r="AK197" i="1"/>
  <c r="P56" i="1" a="1"/>
  <c r="P56" i="1"/>
  <c r="P205" i="1" a="1"/>
  <c r="P205" i="1"/>
  <c r="C205" i="1" a="1"/>
  <c r="C205" i="1"/>
  <c r="AK86" i="1" a="1"/>
  <c r="AK86" i="1"/>
  <c r="AE86" i="1" a="1"/>
  <c r="AE86" i="1"/>
  <c r="AE173" i="1" a="1"/>
  <c r="AE173" i="1"/>
  <c r="P108" i="1" a="1"/>
  <c r="P108" i="1"/>
  <c r="C108" i="1" a="1"/>
  <c r="C108" i="1"/>
  <c r="C61" i="1" a="1"/>
  <c r="C61" i="1"/>
  <c r="C56" i="1" a="1"/>
  <c r="C56" i="1"/>
  <c r="P61" i="1" a="1"/>
  <c r="P61" i="1"/>
  <c r="C184" i="1" a="1"/>
  <c r="C184" i="1"/>
  <c r="P184" i="1" a="1"/>
  <c r="P184" i="1"/>
  <c r="C483" i="1" a="1"/>
  <c r="C483" i="1"/>
  <c r="P483" i="1" a="1"/>
  <c r="P483" i="1"/>
  <c r="AE551" i="1" a="1"/>
  <c r="AE551" i="1"/>
  <c r="AK551" i="1" a="1"/>
  <c r="AK551" i="1"/>
  <c r="P552" i="1" a="1"/>
  <c r="P552" i="1"/>
  <c r="C552" i="1" a="1"/>
  <c r="C552" i="1"/>
  <c r="P317" i="1" a="1"/>
  <c r="P317" i="1"/>
  <c r="C317" i="1" a="1"/>
  <c r="C317" i="1"/>
  <c r="AK113" i="1" a="1"/>
  <c r="AK113" i="1"/>
  <c r="AE113" i="1" a="1"/>
  <c r="AE113" i="1"/>
  <c r="AE325" i="1" a="1"/>
  <c r="AE325" i="1"/>
  <c r="AK325" i="1" a="1"/>
  <c r="AK325" i="1"/>
  <c r="AE158" i="1" a="1"/>
  <c r="AE158" i="1"/>
  <c r="AK158" i="1" a="1"/>
  <c r="AK158" i="1"/>
  <c r="AK124" i="1" a="1"/>
  <c r="AK124" i="1"/>
  <c r="AE124" i="1" a="1"/>
  <c r="AE124" i="1"/>
  <c r="AE143" i="1" a="1"/>
  <c r="AE143" i="1"/>
  <c r="AE85" i="1" a="1"/>
  <c r="AE85" i="1"/>
  <c r="AK85" i="1" a="1"/>
  <c r="AK85" i="1"/>
  <c r="AE367" i="1" a="1"/>
  <c r="AE367" i="1"/>
  <c r="AK367" i="1" a="1"/>
  <c r="AK367" i="1"/>
  <c r="AE259" i="1" a="1"/>
  <c r="AE259" i="1"/>
  <c r="AK259" i="1" a="1"/>
  <c r="AK259" i="1"/>
  <c r="AK224" i="1" a="1"/>
  <c r="AK224" i="1"/>
  <c r="AE224" i="1" a="1"/>
  <c r="AE224" i="1"/>
  <c r="AK143" i="1" a="1"/>
  <c r="AK143" i="1"/>
  <c r="C116" i="1" a="1"/>
  <c r="C116" i="1"/>
  <c r="P270" i="1" a="1"/>
  <c r="P270" i="1"/>
  <c r="C270" i="1" a="1"/>
  <c r="C270" i="1"/>
  <c r="C7" i="1" a="1"/>
  <c r="C7" i="1"/>
  <c r="P141" i="1" a="1"/>
  <c r="P141" i="1"/>
  <c r="C141" i="1" a="1"/>
  <c r="C141" i="1"/>
  <c r="P537" i="1" a="1"/>
  <c r="P537" i="1"/>
  <c r="C537" i="1" a="1"/>
  <c r="C537" i="1"/>
  <c r="C338" i="1" a="1"/>
  <c r="C338" i="1"/>
  <c r="P338" i="1" a="1"/>
  <c r="P338" i="1"/>
  <c r="P116" i="1" a="1"/>
  <c r="P116" i="1"/>
  <c r="AM447" i="1" a="1"/>
  <c r="AM447" i="1"/>
  <c r="AG447" i="1" a="1"/>
  <c r="AG447" i="1"/>
  <c r="AE271" i="1" a="1"/>
  <c r="AE271" i="1"/>
  <c r="AK271" i="1" a="1"/>
  <c r="AK271" i="1"/>
  <c r="AE184" i="1" a="1"/>
  <c r="AE184" i="1"/>
  <c r="AK171" i="1" a="1"/>
  <c r="AK171" i="1"/>
  <c r="AE171" i="1" a="1"/>
  <c r="AE171" i="1"/>
  <c r="AE248" i="1" a="1"/>
  <c r="AE248" i="1"/>
  <c r="AK248" i="1" a="1"/>
  <c r="AK248" i="1"/>
  <c r="C21" i="1" a="1"/>
  <c r="C21" i="1"/>
  <c r="AK184" i="1" a="1"/>
  <c r="AK184" i="1"/>
  <c r="C268" i="1" a="1"/>
  <c r="C268" i="1"/>
  <c r="C177" i="1" a="1"/>
  <c r="C177" i="1"/>
  <c r="P177" i="1" a="1"/>
  <c r="P177" i="1"/>
  <c r="AE139" i="1" a="1"/>
  <c r="AE139" i="1"/>
  <c r="AK139" i="1" a="1"/>
  <c r="AK139" i="1"/>
  <c r="AK81" i="1" a="1"/>
  <c r="AK81" i="1"/>
  <c r="AE81" i="1" a="1"/>
  <c r="AE81" i="1"/>
  <c r="P268" i="1" a="1"/>
  <c r="P268" i="1"/>
  <c r="C94" i="1" a="1"/>
  <c r="C94" i="1"/>
  <c r="P94" i="1" a="1"/>
  <c r="P94" i="1"/>
  <c r="AE127" i="1" a="1"/>
  <c r="AE127" i="1"/>
  <c r="AK127" i="1" a="1"/>
  <c r="AK127" i="1"/>
  <c r="C210" i="1" a="1"/>
  <c r="C210" i="1"/>
  <c r="P210" i="1" a="1"/>
  <c r="P210" i="1"/>
  <c r="AE168" i="1" a="1"/>
  <c r="AE168" i="1"/>
  <c r="AK168" i="1" a="1"/>
  <c r="AK168" i="1"/>
  <c r="AE213" i="1" a="1"/>
  <c r="AE213" i="1"/>
  <c r="AK170" i="1" a="1"/>
  <c r="AK170" i="1"/>
  <c r="AE170" i="1" a="1"/>
  <c r="AE170" i="1"/>
  <c r="AK29" i="1" a="1"/>
  <c r="AK29" i="1"/>
  <c r="AE29" i="1" a="1"/>
  <c r="AE29" i="1"/>
  <c r="P243" i="1" a="1"/>
  <c r="P243" i="1"/>
  <c r="C243" i="1" a="1"/>
  <c r="C243" i="1"/>
  <c r="AK213" i="1" a="1"/>
  <c r="AK213" i="1"/>
  <c r="P146" i="1" a="1"/>
  <c r="P146" i="1"/>
  <c r="C146" i="1" a="1"/>
  <c r="C146" i="1"/>
  <c r="AE262" i="1" a="1"/>
  <c r="AE262" i="1"/>
  <c r="AK262" i="1" a="1"/>
  <c r="AK262" i="1"/>
  <c r="AE226" i="1" a="1"/>
  <c r="AE226" i="1"/>
  <c r="AK226" i="1" a="1"/>
  <c r="AK226" i="1"/>
  <c r="P274" i="1" a="1"/>
  <c r="P274" i="1"/>
  <c r="AE162" i="1" a="1"/>
  <c r="AE162" i="1"/>
  <c r="AK182" i="1" a="1"/>
  <c r="AK182" i="1"/>
  <c r="AE182" i="1" a="1"/>
  <c r="AE182" i="1"/>
  <c r="C48" i="1" a="1"/>
  <c r="C48" i="1"/>
  <c r="P48" i="1" a="1"/>
  <c r="P48" i="1"/>
  <c r="AE309" i="1" a="1"/>
  <c r="AE309" i="1"/>
  <c r="AK309" i="1" a="1"/>
  <c r="AK309" i="1"/>
  <c r="C274" i="1" a="1"/>
  <c r="C274" i="1"/>
  <c r="C276" i="1" a="1"/>
  <c r="C276" i="1"/>
  <c r="P276" i="1" a="1"/>
  <c r="P276" i="1"/>
  <c r="C130" i="1" a="1"/>
  <c r="C130" i="1"/>
  <c r="P130" i="1" a="1"/>
  <c r="P130" i="1"/>
  <c r="AE442" i="1" a="1"/>
  <c r="AE442" i="1"/>
  <c r="AK389" i="1" a="1"/>
  <c r="AK389" i="1"/>
  <c r="AK162" i="1" a="1"/>
  <c r="AK162" i="1"/>
  <c r="C291" i="1" a="1"/>
  <c r="C291" i="1"/>
  <c r="P231" i="1" a="1"/>
  <c r="P231" i="1"/>
  <c r="P291" i="1" a="1"/>
  <c r="P291" i="1"/>
  <c r="P32" i="1" a="1"/>
  <c r="P32" i="1"/>
  <c r="C32" i="1" a="1"/>
  <c r="C32" i="1"/>
  <c r="AK442" i="1" a="1"/>
  <c r="AK442" i="1"/>
  <c r="AK256" i="1" a="1"/>
  <c r="AK256" i="1"/>
  <c r="AE389" i="1" a="1"/>
  <c r="AE389" i="1"/>
  <c r="C231" i="1" a="1"/>
  <c r="C231" i="1"/>
  <c r="AE256" i="1" a="1"/>
  <c r="AE256" i="1"/>
  <c r="AE235" i="1" a="1"/>
  <c r="AE235" i="1"/>
  <c r="AK235" i="1" a="1"/>
  <c r="AK235" i="1"/>
  <c r="P540" i="1" a="1"/>
  <c r="P540" i="1"/>
  <c r="C540" i="1" a="1"/>
  <c r="C540" i="1"/>
  <c r="AK274" i="1" a="1"/>
  <c r="AK274" i="1"/>
  <c r="AE274" i="1" a="1"/>
  <c r="AE274" i="1"/>
  <c r="AE448" i="1" a="1"/>
  <c r="AE448" i="1"/>
  <c r="AK448" i="1" a="1"/>
  <c r="AK448" i="1"/>
  <c r="AK524" i="1" a="1"/>
  <c r="AK524" i="1"/>
  <c r="AE524" i="1" a="1"/>
  <c r="AE524" i="1"/>
  <c r="AE225" i="1" a="1"/>
  <c r="AE225" i="1"/>
  <c r="AM494" i="1" a="1"/>
  <c r="AM494" i="1"/>
  <c r="P241" i="1" a="1"/>
  <c r="P241" i="1"/>
  <c r="AG494" i="1" a="1"/>
  <c r="AG494" i="1"/>
  <c r="AK195" i="1" a="1"/>
  <c r="AK195" i="1"/>
  <c r="AE195" i="1" a="1"/>
  <c r="AE195" i="1"/>
  <c r="AK254" i="1" a="1"/>
  <c r="AK254" i="1"/>
  <c r="AE254" i="1" a="1"/>
  <c r="AE254" i="1"/>
  <c r="AG478" i="1" a="1"/>
  <c r="AG478" i="1"/>
  <c r="AK225" i="1" a="1"/>
  <c r="AK225" i="1"/>
  <c r="AM478" i="1" a="1"/>
  <c r="AM478" i="1"/>
  <c r="C241" i="1" a="1"/>
  <c r="C241" i="1"/>
  <c r="AG525" i="1" a="1"/>
  <c r="AG525" i="1"/>
  <c r="AM525" i="1" a="1"/>
  <c r="AM525" i="1"/>
  <c r="AK189" i="1" a="1"/>
  <c r="AK189" i="1"/>
  <c r="AE189" i="1" a="1"/>
  <c r="AE189" i="1"/>
  <c r="P28" i="1" a="1"/>
  <c r="P28" i="1"/>
  <c r="C28" i="1" a="1"/>
  <c r="C28" i="1"/>
  <c r="C120" i="1" a="1"/>
  <c r="C120" i="1"/>
  <c r="P120" i="1" a="1"/>
  <c r="P120" i="1"/>
  <c r="AE373" i="1" a="1"/>
  <c r="AE373" i="1"/>
  <c r="AK373" i="1" a="1"/>
  <c r="AK373" i="1"/>
  <c r="P37" i="1" a="1"/>
  <c r="P37" i="1"/>
  <c r="P227" i="1" a="1"/>
  <c r="P227" i="1"/>
  <c r="C227" i="1" a="1"/>
  <c r="C227" i="1"/>
  <c r="AK552" i="1" a="1"/>
  <c r="AK552" i="1"/>
  <c r="AE552" i="1" a="1"/>
  <c r="AE552" i="1"/>
  <c r="P167" i="1" a="1"/>
  <c r="P167" i="1"/>
  <c r="C167" i="1" a="1"/>
  <c r="C167" i="1"/>
  <c r="P159" i="1" a="1"/>
  <c r="P159" i="1"/>
  <c r="C159" i="1" a="1"/>
  <c r="C159" i="1"/>
  <c r="AE403" i="1" a="1"/>
  <c r="AE403" i="1"/>
  <c r="C73" i="1" a="1"/>
  <c r="C73" i="1"/>
  <c r="P73" i="1" a="1"/>
  <c r="P73" i="1"/>
  <c r="C37" i="1" a="1"/>
  <c r="C37" i="1"/>
  <c r="P55" i="1" a="1"/>
  <c r="P55" i="1"/>
  <c r="C55" i="1" a="1"/>
  <c r="C55" i="1"/>
  <c r="AK403" i="1" a="1"/>
  <c r="AK403" i="1"/>
  <c r="C309" i="1" a="1"/>
  <c r="C309" i="1"/>
  <c r="P309" i="1" a="1"/>
  <c r="P309" i="1"/>
  <c r="C331" i="1" a="1"/>
  <c r="C331" i="1"/>
  <c r="P331" i="1" a="1"/>
  <c r="P331" i="1"/>
  <c r="AK342" i="1" a="1"/>
  <c r="AK342" i="1"/>
  <c r="AE342" i="1" a="1"/>
  <c r="AE342" i="1"/>
  <c r="P514" i="1" a="1"/>
  <c r="P514" i="1"/>
  <c r="C514" i="1" a="1"/>
  <c r="C514" i="1"/>
  <c r="P98" i="1" a="1"/>
  <c r="P98" i="1"/>
  <c r="C98" i="1" a="1"/>
  <c r="C98" i="1"/>
  <c r="P240" i="1" a="1"/>
  <c r="P240" i="1"/>
  <c r="C84" i="1" a="1"/>
  <c r="C84" i="1"/>
  <c r="P84" i="1" a="1"/>
  <c r="P84" i="1"/>
  <c r="C240" i="1" a="1"/>
  <c r="C240" i="1"/>
  <c r="P242" i="1" a="1"/>
  <c r="P242" i="1"/>
  <c r="C242" i="1" a="1"/>
  <c r="C242" i="1"/>
  <c r="AM536" i="1" a="1"/>
  <c r="AM536" i="1"/>
  <c r="AG536" i="1" a="1"/>
  <c r="AG536" i="1"/>
  <c r="C203" i="1" a="1"/>
  <c r="C203" i="1"/>
  <c r="C99" i="1" a="1"/>
  <c r="C99" i="1"/>
  <c r="P99" i="1" a="1"/>
  <c r="P99" i="1"/>
  <c r="C114" i="1" a="1"/>
  <c r="C114" i="1"/>
  <c r="P114" i="1" a="1"/>
  <c r="P114" i="1"/>
  <c r="P234" i="1" a="1"/>
  <c r="P234" i="1"/>
  <c r="C234" i="1" a="1"/>
  <c r="C234" i="1"/>
  <c r="P203" i="1" a="1"/>
  <c r="P203" i="1"/>
  <c r="C112" i="1" a="1"/>
  <c r="C112" i="1"/>
  <c r="P112" i="1" a="1"/>
  <c r="P112" i="1"/>
  <c r="P62" i="1" a="1"/>
  <c r="P62" i="1"/>
  <c r="AK239" i="1" a="1"/>
  <c r="AK239" i="1"/>
  <c r="C235" i="1" a="1"/>
  <c r="C235" i="1"/>
  <c r="P235" i="1" a="1"/>
  <c r="P235" i="1"/>
  <c r="C124" i="1" a="1"/>
  <c r="C124" i="1"/>
  <c r="P124" i="1" a="1"/>
  <c r="P124" i="1"/>
  <c r="AK166" i="1" a="1"/>
  <c r="AK166" i="1"/>
  <c r="AE166" i="1" a="1"/>
  <c r="AE166" i="1"/>
  <c r="AE211" i="1" a="1"/>
  <c r="AE211" i="1"/>
  <c r="AK211" i="1" a="1"/>
  <c r="AK211" i="1"/>
  <c r="C62" i="1" a="1"/>
  <c r="C62" i="1"/>
  <c r="AE239" i="1" a="1"/>
  <c r="AE239" i="1"/>
  <c r="AE247" i="1" a="1"/>
  <c r="AE247" i="1"/>
  <c r="AK247" i="1" a="1"/>
  <c r="AK247" i="1"/>
  <c r="AK294" i="1" a="1"/>
  <c r="AK294" i="1"/>
  <c r="AE294" i="1" a="1"/>
  <c r="AE294" i="1"/>
  <c r="AE250" i="1" a="1"/>
  <c r="AE250" i="1"/>
  <c r="AK250" i="1" a="1"/>
  <c r="AK250" i="1"/>
  <c r="C543" i="1" a="1"/>
  <c r="C543" i="1"/>
  <c r="P543" i="1" a="1"/>
  <c r="P543" i="1"/>
  <c r="C553" i="1" a="1"/>
  <c r="C553" i="1"/>
  <c r="P553" i="1" a="1"/>
  <c r="P553" i="1"/>
  <c r="AK354" i="1" a="1"/>
  <c r="AK354" i="1"/>
  <c r="AE354" i="1" a="1"/>
  <c r="AE354" i="1"/>
  <c r="AE140" i="1" a="1"/>
  <c r="AE140" i="1"/>
  <c r="C132" i="1" a="1"/>
  <c r="C132" i="1"/>
  <c r="P132" i="1" a="1"/>
  <c r="P132" i="1"/>
  <c r="AE276" i="1" a="1"/>
  <c r="AE276" i="1"/>
  <c r="AK276" i="1" a="1"/>
  <c r="AK276" i="1"/>
  <c r="AK479" i="1" a="1"/>
  <c r="AK479" i="1"/>
  <c r="AE479" i="1" a="1"/>
  <c r="AE479" i="1"/>
  <c r="C58" i="1" a="1"/>
  <c r="C58" i="1"/>
  <c r="AK140" i="1" a="1"/>
  <c r="AK140" i="1"/>
  <c r="P58" i="1" a="1"/>
  <c r="P58" i="1"/>
  <c r="P275" i="1" a="1"/>
  <c r="P275" i="1"/>
  <c r="C275" i="1" a="1"/>
  <c r="C275" i="1"/>
  <c r="AK199" i="1" a="1"/>
  <c r="AK199" i="1"/>
  <c r="AE199" i="1" a="1"/>
  <c r="AE199" i="1"/>
  <c r="P101" i="1" a="1"/>
  <c r="P101" i="1"/>
  <c r="AE94" i="1" a="1"/>
  <c r="AE94" i="1"/>
  <c r="AK94" i="1" a="1"/>
  <c r="AK94" i="1"/>
  <c r="AK59" i="1" a="1"/>
  <c r="AK59" i="1"/>
  <c r="AE59" i="1" a="1"/>
  <c r="AE59" i="1"/>
  <c r="C19" i="1" a="1"/>
  <c r="C19" i="1"/>
  <c r="C101" i="1" a="1"/>
  <c r="C101" i="1"/>
  <c r="AK119" i="1" a="1"/>
  <c r="AK119" i="1"/>
  <c r="C336" i="1" a="1"/>
  <c r="C336" i="1"/>
  <c r="P336" i="1" a="1"/>
  <c r="P336" i="1"/>
  <c r="AE272" i="1" a="1"/>
  <c r="AE272" i="1"/>
  <c r="AK272" i="1" a="1"/>
  <c r="AK272" i="1"/>
  <c r="AE60" i="1" a="1"/>
  <c r="AE60" i="1"/>
  <c r="AK60" i="1" a="1"/>
  <c r="AK60" i="1"/>
  <c r="P164" i="1" a="1"/>
  <c r="P164" i="1"/>
  <c r="AE119" i="1" a="1"/>
  <c r="AE119" i="1"/>
  <c r="AK210" i="1" a="1"/>
  <c r="AK210" i="1"/>
  <c r="AE210" i="1" a="1"/>
  <c r="AE210" i="1"/>
  <c r="C164" i="1" a="1"/>
  <c r="C164" i="1"/>
  <c r="C160" i="1" a="1"/>
  <c r="C160" i="1"/>
  <c r="C236" i="1" a="1"/>
  <c r="C236" i="1"/>
  <c r="P236" i="1" a="1"/>
  <c r="P236" i="1"/>
  <c r="P312" i="1" a="1"/>
  <c r="P312" i="1"/>
  <c r="C312" i="1" a="1"/>
  <c r="C312" i="1"/>
  <c r="P160" i="1" a="1"/>
  <c r="P160" i="1"/>
  <c r="P77" i="1" a="1"/>
  <c r="P77" i="1"/>
  <c r="C77" i="1" a="1"/>
  <c r="C77" i="1"/>
  <c r="AE368" i="1" a="1"/>
  <c r="AE368" i="1"/>
  <c r="AK368" i="1" a="1"/>
  <c r="AK368" i="1"/>
  <c r="C354" i="1" a="1"/>
  <c r="C354" i="1"/>
  <c r="P354" i="1" a="1"/>
  <c r="P354" i="1"/>
  <c r="AE54" i="1" a="1"/>
  <c r="AE54" i="1"/>
  <c r="AK54" i="1" a="1"/>
  <c r="AK54" i="1"/>
  <c r="AE51" i="1" a="1"/>
  <c r="AE51" i="1"/>
  <c r="AK51" i="1" a="1"/>
  <c r="AK51" i="1"/>
  <c r="AE533" i="1" a="1"/>
  <c r="AE533" i="1"/>
  <c r="AK533" i="1" a="1"/>
  <c r="AK533" i="1"/>
  <c r="C218" i="1" a="1"/>
  <c r="C218" i="1"/>
  <c r="P50" i="1" a="1"/>
  <c r="P50" i="1"/>
  <c r="C50" i="1" a="1"/>
  <c r="C50" i="1"/>
  <c r="P218" i="1" a="1"/>
  <c r="P218" i="1"/>
  <c r="C119" i="1" a="1"/>
  <c r="C119" i="1"/>
  <c r="AK303" i="1" a="1"/>
  <c r="AK303" i="1"/>
  <c r="P119" i="1" a="1"/>
  <c r="P119" i="1"/>
  <c r="AE303" i="1" a="1"/>
  <c r="AE303" i="1"/>
  <c r="AK49" i="1" a="1"/>
  <c r="AK49" i="1"/>
  <c r="AE49" i="1" a="1"/>
  <c r="AE49" i="1"/>
  <c r="AE234" i="1" a="1"/>
  <c r="AE234" i="1"/>
  <c r="AE43" i="1" a="1"/>
  <c r="AE43" i="1"/>
  <c r="AK43" i="1" a="1"/>
  <c r="AK43" i="1"/>
  <c r="AE67" i="1" a="1"/>
  <c r="AE67" i="1"/>
  <c r="AK67" i="1" a="1"/>
  <c r="AK67" i="1"/>
  <c r="AK234" i="1" a="1"/>
  <c r="AK234" i="1"/>
  <c r="AG485" i="1" a="1"/>
  <c r="AG485" i="1"/>
  <c r="AM485" i="1" a="1"/>
  <c r="AM485" i="1"/>
  <c r="C349" i="1" a="1"/>
  <c r="C349" i="1"/>
  <c r="P349" i="1" a="1"/>
  <c r="P349" i="1"/>
  <c r="AE198" i="1" a="1"/>
  <c r="AE198" i="1"/>
  <c r="AK198" i="1" a="1"/>
  <c r="AK198" i="1"/>
  <c r="C186" i="1" a="1"/>
  <c r="C186" i="1"/>
  <c r="P186" i="1" a="1"/>
  <c r="P186" i="1"/>
  <c r="AE178" i="1" a="1"/>
  <c r="AE178" i="1"/>
  <c r="AK178" i="1" a="1"/>
  <c r="AK178" i="1"/>
  <c r="AE449" i="1" a="1"/>
  <c r="AE449" i="1"/>
  <c r="AK449" i="1" a="1"/>
  <c r="AK449" i="1"/>
  <c r="C258" i="1" a="1"/>
  <c r="C258" i="1"/>
  <c r="P258" i="1" a="1"/>
  <c r="P258" i="1"/>
  <c r="P564" i="1" a="1"/>
  <c r="P564" i="1"/>
  <c r="C564" i="1" a="1"/>
  <c r="C564" i="1"/>
  <c r="C333" i="1" a="1"/>
  <c r="C333" i="1"/>
  <c r="P333" i="1" a="1"/>
  <c r="P333" i="1"/>
  <c r="AE155" i="1" a="1"/>
  <c r="AE155" i="1"/>
  <c r="AK155" i="1" a="1"/>
  <c r="AK155" i="1"/>
  <c r="AE122" i="1" a="1"/>
  <c r="AE122" i="1"/>
  <c r="AK122" i="1" a="1"/>
  <c r="AK122" i="1"/>
  <c r="AK123" i="1" a="1"/>
  <c r="AK123" i="1"/>
  <c r="AE123" i="1" a="1"/>
  <c r="AE123" i="1"/>
  <c r="C182" i="1" a="1"/>
  <c r="C182" i="1"/>
  <c r="P325" i="1" a="1"/>
  <c r="P325" i="1"/>
  <c r="C325" i="1" a="1"/>
  <c r="C325" i="1"/>
  <c r="AK75" i="1" a="1"/>
  <c r="AK75" i="1"/>
  <c r="AE216" i="1" a="1"/>
  <c r="AE216" i="1"/>
  <c r="C197" i="1" a="1"/>
  <c r="C197" i="1"/>
  <c r="P197" i="1" a="1"/>
  <c r="P197" i="1"/>
  <c r="C96" i="1" a="1"/>
  <c r="C96" i="1"/>
  <c r="P96" i="1" a="1"/>
  <c r="P96" i="1"/>
  <c r="P182" i="1" a="1"/>
  <c r="P182" i="1"/>
  <c r="AE75" i="1" a="1"/>
  <c r="AE75" i="1"/>
  <c r="AK216" i="1" a="1"/>
  <c r="AK216" i="1"/>
  <c r="P195" i="1" a="1"/>
  <c r="P195" i="1"/>
  <c r="C125" i="1" a="1"/>
  <c r="C125" i="1"/>
  <c r="P125" i="1" a="1"/>
  <c r="P125" i="1"/>
  <c r="AE69" i="1" a="1"/>
  <c r="AE69" i="1"/>
  <c r="AE151" i="1" a="1"/>
  <c r="AE151" i="1"/>
  <c r="AK151" i="1" a="1"/>
  <c r="AK151" i="1"/>
  <c r="P180" i="1" a="1"/>
  <c r="P180" i="1"/>
  <c r="C180" i="1" a="1"/>
  <c r="C180" i="1"/>
  <c r="AK69" i="1" a="1"/>
  <c r="AK69" i="1"/>
  <c r="C195" i="1" a="1"/>
  <c r="C195" i="1"/>
  <c r="P157" i="1" a="1"/>
  <c r="P157" i="1"/>
  <c r="AK100" i="1" a="1"/>
  <c r="AK100" i="1"/>
  <c r="C157" i="1" a="1"/>
  <c r="C157" i="1"/>
  <c r="AK44" i="1" a="1"/>
  <c r="AK44" i="1"/>
  <c r="C145" i="1" a="1"/>
  <c r="C145" i="1"/>
  <c r="P145" i="1" a="1"/>
  <c r="P145" i="1"/>
  <c r="AE91" i="1" a="1"/>
  <c r="AE91" i="1"/>
  <c r="AK91" i="1" a="1"/>
  <c r="AK91" i="1"/>
  <c r="AE100" i="1" a="1"/>
  <c r="AE100" i="1"/>
  <c r="C128" i="1" a="1"/>
  <c r="C128" i="1"/>
  <c r="P128" i="1" a="1"/>
  <c r="P128" i="1"/>
  <c r="AE44" i="1" a="1"/>
  <c r="AE44" i="1"/>
  <c r="AE106" i="1" a="1"/>
  <c r="AE106" i="1"/>
  <c r="AK106" i="1" a="1"/>
  <c r="AK106" i="1"/>
  <c r="AE543" i="1" a="1"/>
  <c r="AE543" i="1"/>
  <c r="AK543" i="1" a="1"/>
  <c r="AK543" i="1"/>
  <c r="P220" i="1" a="1"/>
  <c r="P220" i="1"/>
  <c r="C220" i="1" a="1"/>
  <c r="C220" i="1"/>
  <c r="P198" i="1" a="1"/>
  <c r="P198" i="1"/>
  <c r="C198" i="1" a="1"/>
  <c r="C198" i="1"/>
  <c r="AK121" i="1" a="1"/>
  <c r="AK121" i="1"/>
  <c r="AE121" i="1" a="1"/>
  <c r="AE121" i="1"/>
  <c r="AE365" i="1" a="1"/>
  <c r="AE365" i="1"/>
  <c r="AE349" i="1" a="1"/>
  <c r="AE349" i="1"/>
  <c r="AK349" i="1" a="1"/>
  <c r="AK349" i="1"/>
  <c r="C289" i="1" a="1"/>
  <c r="C289" i="1"/>
  <c r="AG554" i="1" a="1"/>
  <c r="AG554" i="1"/>
  <c r="AM554" i="1" a="1"/>
  <c r="AM554" i="1"/>
  <c r="C494" i="1" a="1"/>
  <c r="C494" i="1"/>
  <c r="P494" i="1" a="1"/>
  <c r="P494" i="1"/>
  <c r="P206" i="1" a="1"/>
  <c r="P206" i="1"/>
  <c r="AK77" i="1" a="1"/>
  <c r="AK77" i="1"/>
  <c r="AE77" i="1" a="1"/>
  <c r="AE77" i="1"/>
  <c r="P171" i="1" a="1"/>
  <c r="P171" i="1"/>
  <c r="C171" i="1" a="1"/>
  <c r="C171" i="1"/>
  <c r="AK365" i="1" a="1"/>
  <c r="AK365" i="1"/>
  <c r="P289" i="1" a="1"/>
  <c r="P289" i="1"/>
  <c r="P422" i="1" a="1"/>
  <c r="P422" i="1"/>
  <c r="C422" i="1" a="1"/>
  <c r="C422" i="1"/>
  <c r="AE240" i="1" a="1"/>
  <c r="AE240" i="1"/>
  <c r="C206" i="1" a="1"/>
  <c r="C206" i="1"/>
  <c r="AK205" i="1" a="1"/>
  <c r="AK205" i="1"/>
  <c r="AE205" i="1" a="1"/>
  <c r="AE205" i="1"/>
  <c r="AK160" i="1" a="1"/>
  <c r="AK160" i="1"/>
  <c r="AE160" i="1" a="1"/>
  <c r="AE160" i="1"/>
  <c r="AE128" i="1" a="1"/>
  <c r="AE128" i="1"/>
  <c r="AK128" i="1" a="1"/>
  <c r="AK128" i="1"/>
  <c r="C187" i="1" a="1"/>
  <c r="C187" i="1"/>
  <c r="P187" i="1" a="1"/>
  <c r="P187" i="1"/>
  <c r="AK240" i="1" a="1"/>
  <c r="AK240" i="1"/>
  <c r="AE116" i="1" a="1"/>
  <c r="AE116" i="1"/>
  <c r="AK116" i="1" a="1"/>
  <c r="AK116" i="1"/>
  <c r="AE141" i="1" a="1"/>
  <c r="AE141" i="1"/>
  <c r="AK141" i="1" a="1"/>
  <c r="AK141" i="1"/>
  <c r="AE165" i="1" a="1"/>
  <c r="AE165" i="1"/>
  <c r="AK165" i="1" a="1"/>
  <c r="AK165" i="1"/>
  <c r="C223" i="1" a="1"/>
  <c r="C223" i="1"/>
  <c r="P228" i="1" a="1"/>
  <c r="P228" i="1"/>
  <c r="C228" i="1" a="1"/>
  <c r="C228" i="1"/>
  <c r="AE212" i="1" a="1"/>
  <c r="AE212" i="1"/>
  <c r="AK212" i="1" a="1"/>
  <c r="AK212" i="1"/>
  <c r="C202" i="1" a="1"/>
  <c r="C202" i="1"/>
  <c r="AE293" i="1" a="1"/>
  <c r="AE293" i="1"/>
  <c r="AK293" i="1" a="1"/>
  <c r="AK293" i="1"/>
  <c r="P223" i="1" a="1"/>
  <c r="P223" i="1"/>
  <c r="C90" i="1" a="1"/>
  <c r="C90" i="1"/>
  <c r="P90" i="1" a="1"/>
  <c r="P90" i="1"/>
  <c r="AE174" i="1" a="1"/>
  <c r="AE174" i="1"/>
  <c r="AK174" i="1" a="1"/>
  <c r="AK174" i="1"/>
  <c r="P202" i="1" a="1"/>
  <c r="P202" i="1"/>
  <c r="AK324" i="1" a="1"/>
  <c r="AK324" i="1"/>
  <c r="AE324" i="1" a="1"/>
  <c r="AE324" i="1"/>
  <c r="AE201" i="1" a="1"/>
  <c r="AE201" i="1"/>
  <c r="AK201" i="1" a="1"/>
  <c r="AK201" i="1"/>
  <c r="AK61" i="1" a="1"/>
  <c r="AK61" i="1"/>
  <c r="AE61" i="1" a="1"/>
  <c r="AE61" i="1"/>
  <c r="P148" i="1" a="1"/>
  <c r="P148" i="1"/>
  <c r="C148" i="1" a="1"/>
  <c r="C148" i="1"/>
  <c r="P200" i="1" a="1"/>
  <c r="P200" i="1"/>
  <c r="P390" i="1" a="1"/>
  <c r="P390" i="1"/>
  <c r="AE410" i="1" a="1"/>
  <c r="AE410" i="1"/>
  <c r="AK410" i="1" a="1"/>
  <c r="AK410" i="1"/>
  <c r="C561" i="1" a="1"/>
  <c r="C561" i="1"/>
  <c r="C106" i="1" a="1"/>
  <c r="C106" i="1"/>
  <c r="P106" i="1" a="1"/>
  <c r="P106" i="1"/>
  <c r="AK556" i="1" a="1"/>
  <c r="AK556" i="1"/>
  <c r="AE556" i="1" a="1"/>
  <c r="AE556" i="1"/>
  <c r="P561" i="1" a="1"/>
  <c r="P561" i="1"/>
  <c r="C200" i="1" a="1"/>
  <c r="C200" i="1"/>
  <c r="C390" i="1" a="1"/>
  <c r="C390" i="1"/>
  <c r="P144" i="1" a="1"/>
  <c r="P144" i="1"/>
  <c r="C144" i="1" a="1"/>
  <c r="C144" i="1"/>
  <c r="P281" i="1" a="1"/>
  <c r="P281" i="1"/>
  <c r="C281" i="1" a="1"/>
  <c r="C281" i="1"/>
  <c r="C371" i="1" a="1"/>
  <c r="C371" i="1"/>
  <c r="P371" i="1" a="1"/>
  <c r="P371" i="1"/>
  <c r="P359" i="1" a="1"/>
  <c r="P359" i="1"/>
  <c r="C359" i="1" a="1"/>
  <c r="C359" i="1"/>
  <c r="P185" i="1" a="1"/>
  <c r="P185" i="1"/>
  <c r="C185" i="1" a="1"/>
  <c r="C185" i="1"/>
  <c r="C262" i="1" a="1"/>
  <c r="C262" i="1"/>
  <c r="P262" i="1" a="1"/>
  <c r="P262" i="1"/>
  <c r="AE115" i="1" a="1"/>
  <c r="AE115" i="1"/>
  <c r="AK115" i="1" a="1"/>
  <c r="AK115" i="1"/>
  <c r="P154" i="1" a="1"/>
  <c r="P154" i="1"/>
  <c r="P175" i="1" a="1"/>
  <c r="P175" i="1"/>
  <c r="C154" i="1" a="1"/>
  <c r="C154" i="1"/>
  <c r="AE291" i="1" a="1"/>
  <c r="AE291" i="1"/>
  <c r="AK291" i="1" a="1"/>
  <c r="AK291" i="1"/>
  <c r="AK73" i="1" a="1"/>
  <c r="AK73" i="1"/>
  <c r="AE73" i="1" a="1"/>
  <c r="AE73" i="1"/>
  <c r="AK101" i="1" a="1"/>
  <c r="AK101" i="1"/>
  <c r="AE101" i="1" a="1"/>
  <c r="AE101" i="1"/>
  <c r="AK126" i="1" a="1"/>
  <c r="AK126" i="1"/>
  <c r="AE126" i="1" a="1"/>
  <c r="AE126" i="1"/>
  <c r="C175" i="1" a="1"/>
  <c r="C175" i="1"/>
  <c r="AK231" i="1" a="1"/>
  <c r="AK231" i="1"/>
  <c r="AE231" i="1" a="1"/>
  <c r="AE231" i="1"/>
  <c r="AK53" i="1" a="1"/>
  <c r="AK53" i="1"/>
  <c r="AE300" i="1" a="1"/>
  <c r="AE300" i="1"/>
  <c r="AK300" i="1" a="1"/>
  <c r="AK300" i="1"/>
  <c r="P54" i="1" a="1"/>
  <c r="P54" i="1"/>
  <c r="C248" i="1" a="1"/>
  <c r="C248" i="1"/>
  <c r="P248" i="1" a="1"/>
  <c r="P248" i="1"/>
  <c r="AE53" i="1" a="1"/>
  <c r="AE53" i="1"/>
  <c r="C153" i="1" a="1"/>
  <c r="C153" i="1"/>
  <c r="C54" i="1" a="1"/>
  <c r="C54" i="1"/>
  <c r="C199" i="1" a="1"/>
  <c r="C199" i="1"/>
  <c r="P199" i="1" a="1"/>
  <c r="P199" i="1"/>
  <c r="P153" i="1" a="1"/>
  <c r="P153" i="1"/>
  <c r="P536" i="1" a="1"/>
  <c r="P536" i="1"/>
  <c r="C536" i="1" a="1"/>
  <c r="C536" i="1"/>
  <c r="AE87" i="1" a="1"/>
  <c r="AE87" i="1"/>
  <c r="AK87" i="1" a="1"/>
  <c r="AK87" i="1"/>
  <c r="AK296" i="1" a="1"/>
  <c r="AK296" i="1"/>
  <c r="AE296" i="1" a="1"/>
  <c r="AE296" i="1"/>
  <c r="AK545" i="1" a="1"/>
  <c r="AK545" i="1"/>
  <c r="AK74" i="1" a="1"/>
  <c r="AK74" i="1"/>
  <c r="AE246" i="1" a="1"/>
  <c r="AE246" i="1"/>
  <c r="AE74" i="1" a="1"/>
  <c r="AE74" i="1"/>
  <c r="AK246" i="1" a="1"/>
  <c r="AK246" i="1"/>
  <c r="AE120" i="1" a="1"/>
  <c r="AE120" i="1"/>
  <c r="AK120" i="1" a="1"/>
  <c r="AK120" i="1"/>
  <c r="C134" i="1" a="1"/>
  <c r="C134" i="1"/>
  <c r="P134" i="1" a="1"/>
  <c r="P134" i="1"/>
  <c r="AE58" i="1" a="1"/>
  <c r="AE58" i="1"/>
  <c r="AK58" i="1" a="1"/>
  <c r="AK58" i="1"/>
  <c r="P488" i="1" a="1"/>
  <c r="P488" i="1"/>
  <c r="C488" i="1" a="1"/>
  <c r="C488" i="1"/>
  <c r="P104" i="1" a="1"/>
  <c r="P104" i="1"/>
  <c r="C104" i="1" a="1"/>
  <c r="C104" i="1"/>
  <c r="C380" i="1" a="1"/>
  <c r="C380" i="1"/>
  <c r="P380" i="1" a="1"/>
  <c r="P380" i="1"/>
  <c r="AE545" i="1" a="1"/>
  <c r="AE545" i="1"/>
  <c r="AE255" i="1" a="1"/>
  <c r="AE255" i="1"/>
  <c r="AK255" i="1" a="1"/>
  <c r="AK255" i="1"/>
  <c r="AK192" i="1" a="1"/>
  <c r="AK192" i="1"/>
  <c r="AE192" i="1" a="1"/>
  <c r="AE192" i="1"/>
  <c r="AK228" i="1" a="1"/>
  <c r="AK228" i="1"/>
  <c r="AE228" i="1" a="1"/>
  <c r="AE228" i="1"/>
  <c r="AK258" i="1" a="1"/>
  <c r="AK258" i="1"/>
  <c r="AE258" i="1" a="1"/>
  <c r="AE258" i="1"/>
  <c r="AK337" i="1" a="1"/>
  <c r="AK337" i="1"/>
  <c r="AK286" i="1" a="1"/>
  <c r="AK286" i="1"/>
  <c r="AE286" i="1" a="1"/>
  <c r="AE286" i="1"/>
  <c r="C264" i="1" a="1"/>
  <c r="C264" i="1"/>
  <c r="P264" i="1" a="1"/>
  <c r="P264" i="1"/>
  <c r="AE337" i="1" a="1"/>
  <c r="AE337" i="1"/>
  <c r="AK452" i="1" a="1"/>
  <c r="AK452" i="1"/>
  <c r="AE452" i="1" a="1"/>
  <c r="AE452" i="1"/>
  <c r="AE221" i="1" a="1"/>
  <c r="AE221" i="1"/>
  <c r="AK221" i="1" a="1"/>
  <c r="AK221" i="1"/>
  <c r="C70" i="1" a="1"/>
  <c r="C70" i="1"/>
  <c r="P316" i="1" a="1"/>
  <c r="P316" i="1"/>
  <c r="C316" i="1" a="1"/>
  <c r="C316" i="1"/>
  <c r="P556" i="1" a="1"/>
  <c r="P556" i="1"/>
  <c r="C556" i="1" a="1"/>
  <c r="C556" i="1"/>
  <c r="P70" i="1" a="1"/>
  <c r="P70" i="1"/>
  <c r="AM555" i="1" a="1"/>
  <c r="AM555" i="1"/>
  <c r="AG555" i="1" a="1"/>
  <c r="AG555" i="1"/>
  <c r="C314" i="1" a="1"/>
  <c r="C314" i="1"/>
  <c r="AE361" i="1" a="1"/>
  <c r="AE361" i="1"/>
  <c r="AK361" i="1" a="1"/>
  <c r="AK361" i="1"/>
  <c r="P314" i="1" a="1"/>
  <c r="P314" i="1"/>
  <c r="AK83" i="1" a="1"/>
  <c r="AK83" i="1"/>
  <c r="AE83" i="1" a="1"/>
  <c r="AE83" i="1"/>
  <c r="AE515" i="1" a="1"/>
  <c r="AE515" i="1"/>
  <c r="AK515" i="1" a="1"/>
  <c r="AK515" i="1"/>
  <c r="AG480" i="1" a="1"/>
  <c r="AG480" i="1"/>
  <c r="AM480" i="1" a="1"/>
  <c r="AM480" i="1"/>
  <c r="AK146" i="1" a="1"/>
  <c r="AK146" i="1"/>
  <c r="AE146" i="1" a="1"/>
  <c r="AE146" i="1"/>
  <c r="C298" i="1" a="1"/>
  <c r="C298" i="1"/>
  <c r="P298" i="1" a="1"/>
  <c r="P298" i="1"/>
  <c r="AK90" i="1" a="1"/>
  <c r="AK90" i="1"/>
  <c r="AE90" i="1" a="1"/>
  <c r="AE90" i="1"/>
  <c r="P65" i="1" a="1"/>
  <c r="P65" i="1"/>
  <c r="C323" i="1" a="1"/>
  <c r="C323" i="1"/>
  <c r="P323" i="1" a="1"/>
  <c r="P323" i="1"/>
  <c r="C409" i="1" a="1"/>
  <c r="C409" i="1"/>
  <c r="P409" i="1" a="1"/>
  <c r="P409" i="1"/>
  <c r="AK278" i="1" a="1"/>
  <c r="AK278" i="1"/>
  <c r="AE278" i="1" a="1"/>
  <c r="AE278" i="1"/>
  <c r="AK150" i="1" a="1"/>
  <c r="AK150" i="1"/>
  <c r="AE150" i="1" a="1"/>
  <c r="AE150" i="1"/>
  <c r="C65" i="1" a="1"/>
  <c r="C65" i="1"/>
  <c r="AK200" i="1" a="1"/>
  <c r="AK200" i="1"/>
  <c r="AE200" i="1" a="1"/>
  <c r="AE200" i="1"/>
  <c r="AK357" i="1" a="1"/>
  <c r="AK357" i="1"/>
  <c r="AE357" i="1" a="1"/>
  <c r="AE357" i="1"/>
  <c r="AE207" i="1" a="1"/>
  <c r="AE207" i="1"/>
  <c r="AK207" i="1" a="1"/>
  <c r="AK207" i="1"/>
  <c r="P140" i="1" a="1"/>
  <c r="P140" i="1"/>
  <c r="C140" i="1" a="1"/>
  <c r="C140" i="1"/>
  <c r="AE281" i="1" a="1"/>
  <c r="AE281" i="1"/>
  <c r="AK281" i="1" a="1"/>
  <c r="AK281" i="1"/>
  <c r="AK275" i="1" a="1"/>
  <c r="AK275" i="1"/>
  <c r="AE275" i="1" a="1"/>
  <c r="AE275" i="1"/>
  <c r="C265" i="1" a="1"/>
  <c r="C265" i="1"/>
  <c r="P265" i="1" a="1"/>
  <c r="P265" i="1"/>
  <c r="P252" i="1" a="1"/>
  <c r="P252" i="1"/>
  <c r="C252" i="1" a="1"/>
  <c r="C252" i="1"/>
  <c r="C360" i="1" a="1"/>
  <c r="C360" i="1"/>
  <c r="P360" i="1" a="1"/>
  <c r="P360" i="1"/>
  <c r="C25" i="1" a="1"/>
  <c r="C25" i="1"/>
  <c r="P25" i="1" a="1"/>
  <c r="P25" i="1"/>
  <c r="P109" i="1" a="1"/>
  <c r="P109" i="1"/>
  <c r="C109" i="1" a="1"/>
  <c r="C109" i="1"/>
  <c r="AE125" i="1" a="1"/>
  <c r="AE125" i="1"/>
  <c r="AK125" i="1" a="1"/>
  <c r="AK125" i="1"/>
  <c r="AE145" i="1" a="1"/>
  <c r="AE145" i="1"/>
  <c r="AK145" i="1" a="1"/>
  <c r="AK145" i="1"/>
  <c r="C161" i="1" a="1"/>
  <c r="C161" i="1"/>
  <c r="P161" i="1" a="1"/>
  <c r="P161" i="1"/>
  <c r="C272" i="1" a="1"/>
  <c r="C272" i="1"/>
  <c r="P272" i="1" a="1"/>
  <c r="P272" i="1"/>
  <c r="AM463" i="1" a="1"/>
  <c r="AM463" i="1"/>
  <c r="AG463" i="1" a="1"/>
  <c r="AG463" i="1"/>
  <c r="AG535" i="1" a="1"/>
  <c r="AG535" i="1"/>
  <c r="AM535" i="1" a="1"/>
  <c r="AM535" i="1"/>
  <c r="AK133" i="1" a="1"/>
  <c r="AK133" i="1"/>
  <c r="AE133" i="1" a="1"/>
  <c r="AE133" i="1"/>
  <c r="C17" i="1" a="1"/>
  <c r="C17" i="1"/>
  <c r="P192" i="1" a="1"/>
  <c r="P192" i="1"/>
  <c r="AK266" i="1" a="1"/>
  <c r="AK266" i="1"/>
  <c r="AE266" i="1" a="1"/>
  <c r="AE266" i="1"/>
  <c r="C192" i="1" a="1"/>
  <c r="C192" i="1"/>
  <c r="P115" i="1" a="1"/>
  <c r="P115" i="1"/>
  <c r="C115" i="1" a="1"/>
  <c r="C115" i="1"/>
  <c r="C135" i="1" a="1"/>
  <c r="C135" i="1"/>
  <c r="P135" i="1" a="1"/>
  <c r="P135" i="1"/>
  <c r="C295" i="1" a="1"/>
  <c r="C295" i="1"/>
  <c r="P295" i="1" a="1"/>
  <c r="P295" i="1"/>
  <c r="P544" i="1" a="1"/>
  <c r="P544" i="1"/>
  <c r="P183" i="1" a="1"/>
  <c r="P183" i="1"/>
  <c r="C183" i="1" a="1"/>
  <c r="C183" i="1"/>
  <c r="AE384" i="1" a="1"/>
  <c r="AE384" i="1"/>
  <c r="AK384" i="1" a="1"/>
  <c r="AK384" i="1"/>
  <c r="P30" i="1" a="1"/>
  <c r="P30" i="1"/>
  <c r="C30" i="1" a="1"/>
  <c r="C30" i="1"/>
  <c r="C544" i="1" a="1"/>
  <c r="C544" i="1"/>
  <c r="AK444" i="1" a="1"/>
  <c r="AK444" i="1"/>
  <c r="AE444" i="1" a="1"/>
  <c r="AE444" i="1"/>
  <c r="AK149" i="1" a="1"/>
  <c r="AK149" i="1"/>
  <c r="AE149" i="1" a="1"/>
  <c r="AE149" i="1"/>
  <c r="AK521" i="1" a="1"/>
  <c r="AK521" i="1"/>
  <c r="AE521" i="1" a="1"/>
  <c r="AE521" i="1"/>
  <c r="P301" i="1" a="1"/>
  <c r="P301" i="1"/>
  <c r="AK347" i="1" a="1"/>
  <c r="AK347" i="1"/>
  <c r="AE347" i="1" a="1"/>
  <c r="AE347" i="1"/>
  <c r="P355" i="1" a="1"/>
  <c r="P355" i="1"/>
  <c r="C355" i="1" a="1"/>
  <c r="C355" i="1"/>
  <c r="AE523" i="1" a="1"/>
  <c r="AE523" i="1"/>
  <c r="AK523" i="1" a="1"/>
  <c r="AK523" i="1"/>
  <c r="C191" i="1" a="1"/>
  <c r="C191" i="1"/>
  <c r="P191" i="1" a="1"/>
  <c r="P191" i="1"/>
  <c r="AE148" i="1" a="1"/>
  <c r="AE148" i="1"/>
  <c r="AE222" i="1" a="1"/>
  <c r="AE222" i="1"/>
  <c r="AK148" i="1" a="1"/>
  <c r="AK148" i="1"/>
  <c r="AK222" i="1" a="1"/>
  <c r="AK222" i="1"/>
  <c r="C301" i="1" a="1"/>
  <c r="C301" i="1"/>
  <c r="P117" i="1" a="1"/>
  <c r="P117" i="1"/>
  <c r="C117" i="1" a="1"/>
  <c r="C117" i="1"/>
  <c r="C229" i="1" a="1"/>
  <c r="C229" i="1"/>
  <c r="P229" i="1" a="1"/>
  <c r="P229" i="1"/>
  <c r="AK333" i="1" a="1"/>
  <c r="AK333" i="1"/>
  <c r="AK79" i="1" a="1"/>
  <c r="AK79" i="1"/>
  <c r="AE79" i="1" a="1"/>
  <c r="AE79" i="1"/>
  <c r="P155" i="1" a="1"/>
  <c r="P155" i="1"/>
  <c r="C155" i="1" a="1"/>
  <c r="C155" i="1"/>
  <c r="C51" i="1" a="1"/>
  <c r="C51" i="1"/>
  <c r="P51" i="1" a="1"/>
  <c r="P51" i="1"/>
  <c r="P233" i="1" a="1"/>
  <c r="P233" i="1"/>
  <c r="C233" i="1" a="1"/>
  <c r="C233" i="1"/>
  <c r="AG495" i="1" a="1"/>
  <c r="AG495" i="1"/>
  <c r="AM495" i="1" a="1"/>
  <c r="AM495" i="1"/>
  <c r="AE333" i="1" a="1"/>
  <c r="AE333" i="1"/>
  <c r="P118" i="1" a="1"/>
  <c r="P118" i="1"/>
  <c r="C118" i="1" a="1"/>
  <c r="C118" i="1"/>
  <c r="AE63" i="1" a="1"/>
  <c r="AE63" i="1"/>
  <c r="AK63" i="1" a="1"/>
  <c r="AK63" i="1"/>
  <c r="C103" i="1" a="1"/>
  <c r="C103" i="1"/>
  <c r="P103" i="1" a="1"/>
  <c r="P103" i="1"/>
  <c r="AK390" i="1" a="1"/>
  <c r="AK390" i="1"/>
  <c r="AE390" i="1" a="1"/>
  <c r="AE390" i="1"/>
  <c r="C105" i="1" a="1"/>
  <c r="C105" i="1"/>
  <c r="P105" i="1" a="1"/>
  <c r="P105" i="1"/>
  <c r="AK97" i="1" a="1"/>
  <c r="AK97" i="1"/>
  <c r="AE97" i="1" a="1"/>
  <c r="AE97" i="1"/>
  <c r="C81" i="1" a="1"/>
  <c r="C81" i="1"/>
  <c r="P81" i="1" a="1"/>
  <c r="P81" i="1"/>
  <c r="AK40" i="1" a="1"/>
  <c r="AK40" i="1"/>
  <c r="AE40" i="1" a="1"/>
  <c r="AE40" i="1"/>
  <c r="P53" i="1" a="1"/>
  <c r="P53" i="1"/>
  <c r="C53" i="1" a="1"/>
  <c r="C53" i="1"/>
  <c r="P385" i="1" a="1"/>
  <c r="P385" i="1"/>
  <c r="C385" i="1" a="1"/>
  <c r="C385" i="1"/>
  <c r="C337" i="1" a="1"/>
  <c r="C337" i="1"/>
  <c r="P337" i="1" a="1"/>
  <c r="P337" i="1"/>
  <c r="AE92" i="1" a="1"/>
  <c r="AE92" i="1"/>
  <c r="AK92" i="1" a="1"/>
  <c r="AK92" i="1"/>
  <c r="AE194" i="1" a="1"/>
  <c r="AE194" i="1"/>
  <c r="AK194" i="1" a="1"/>
  <c r="AK194" i="1"/>
  <c r="AK267" i="1" a="1"/>
  <c r="AK267" i="1"/>
  <c r="C165" i="1" a="1"/>
  <c r="C165" i="1"/>
  <c r="P165" i="1" a="1"/>
  <c r="P165" i="1"/>
  <c r="P152" i="1" a="1"/>
  <c r="P152" i="1"/>
  <c r="P315" i="1" a="1"/>
  <c r="P315" i="1"/>
  <c r="C315" i="1" a="1"/>
  <c r="C315" i="1"/>
  <c r="P169" i="1" a="1"/>
  <c r="P169" i="1"/>
  <c r="C169" i="1" a="1"/>
  <c r="C169" i="1"/>
  <c r="AE62" i="1" a="1"/>
  <c r="AE62" i="1"/>
  <c r="AE267" i="1" a="1"/>
  <c r="AE267" i="1"/>
  <c r="AK154" i="1" a="1"/>
  <c r="AK154" i="1"/>
  <c r="AE154" i="1" a="1"/>
  <c r="AE154" i="1"/>
  <c r="P170" i="1" a="1"/>
  <c r="P170" i="1"/>
  <c r="C170" i="1" a="1"/>
  <c r="C170" i="1"/>
  <c r="AK183" i="1" a="1"/>
  <c r="AK183" i="1"/>
  <c r="AE183" i="1" a="1"/>
  <c r="AE183" i="1"/>
  <c r="C152" i="1" a="1"/>
  <c r="C152" i="1"/>
  <c r="C122" i="1" a="1"/>
  <c r="C122" i="1"/>
  <c r="P122" i="1" a="1"/>
  <c r="P122" i="1"/>
  <c r="AE114" i="1" a="1"/>
  <c r="AE114" i="1"/>
  <c r="AK114" i="1" a="1"/>
  <c r="AK114" i="1"/>
  <c r="AK111" i="1" a="1"/>
  <c r="AK111" i="1"/>
  <c r="AE111" i="1" a="1"/>
  <c r="AE111" i="1"/>
  <c r="AK298" i="1" a="1"/>
  <c r="AK298" i="1"/>
  <c r="AE298" i="1" a="1"/>
  <c r="AE298" i="1"/>
  <c r="AK62" i="1" a="1"/>
  <c r="AK62" i="1"/>
  <c r="C254" i="1" a="1"/>
  <c r="C254" i="1"/>
  <c r="P254" i="1" a="1"/>
  <c r="P254" i="1"/>
  <c r="AE242" i="1" a="1"/>
  <c r="AE242" i="1"/>
  <c r="AK242" i="1" a="1"/>
  <c r="AK242" i="1"/>
  <c r="C551" i="1" a="1"/>
  <c r="C551" i="1"/>
  <c r="P179" i="1" a="1"/>
  <c r="P179" i="1"/>
  <c r="C179" i="1" a="1"/>
  <c r="C179" i="1"/>
  <c r="AK30" i="1" a="1"/>
  <c r="AK30" i="1"/>
  <c r="AE30" i="1" a="1"/>
  <c r="AE30" i="1"/>
  <c r="P551" i="1" a="1"/>
  <c r="P551" i="1"/>
  <c r="AK50" i="1" a="1"/>
  <c r="AK50" i="1"/>
  <c r="AE50" i="1" a="1"/>
  <c r="AE50" i="1"/>
  <c r="C82" i="1" a="1"/>
  <c r="C82" i="1"/>
  <c r="P82" i="1" a="1"/>
  <c r="P82" i="1"/>
  <c r="P541" i="1" a="1"/>
  <c r="P541" i="1"/>
  <c r="P440" i="1" a="1"/>
  <c r="P440" i="1"/>
  <c r="C440" i="1" a="1"/>
  <c r="C440" i="1"/>
  <c r="C339" i="1" a="1"/>
  <c r="C339" i="1"/>
  <c r="P339" i="1" a="1"/>
  <c r="P339" i="1"/>
  <c r="C541" i="1" a="1"/>
  <c r="C541" i="1"/>
  <c r="C260" i="1" a="1"/>
  <c r="C260" i="1"/>
  <c r="AK220" i="1" a="1"/>
  <c r="AK220" i="1"/>
  <c r="AK237" i="1" a="1"/>
  <c r="AK237" i="1"/>
  <c r="AE237" i="1" a="1"/>
  <c r="AE237" i="1"/>
  <c r="AE220" i="1" a="1"/>
  <c r="AE220" i="1"/>
  <c r="AK169" i="1" a="1"/>
  <c r="AK169" i="1"/>
  <c r="C129" i="1" a="1"/>
  <c r="C129" i="1"/>
  <c r="P366" i="1" a="1"/>
  <c r="P366" i="1"/>
  <c r="C366" i="1" a="1"/>
  <c r="C366" i="1"/>
  <c r="AK196" i="1" a="1"/>
  <c r="AK196" i="1"/>
  <c r="AE196" i="1" a="1"/>
  <c r="AE196" i="1"/>
  <c r="P260" i="1" a="1"/>
  <c r="P260" i="1"/>
  <c r="AK312" i="1" a="1"/>
  <c r="AK312" i="1"/>
  <c r="AE312" i="1" a="1"/>
  <c r="AE312" i="1"/>
  <c r="AE169" i="1" a="1"/>
  <c r="AE169" i="1"/>
  <c r="P129" i="1" a="1"/>
  <c r="P129" i="1"/>
  <c r="P263" i="1" a="1"/>
  <c r="P263" i="1"/>
  <c r="C263" i="1" a="1"/>
  <c r="C263" i="1"/>
  <c r="AK191" i="1" a="1"/>
  <c r="AK191" i="1"/>
  <c r="AE191" i="1" a="1"/>
  <c r="AE191" i="1"/>
  <c r="C156" i="1" a="1"/>
  <c r="C156" i="1"/>
  <c r="P156" i="1" a="1"/>
  <c r="P156" i="1"/>
  <c r="AK157" i="1" a="1"/>
  <c r="AK157" i="1"/>
  <c r="AE157" i="1" a="1"/>
  <c r="AE157" i="1"/>
  <c r="C172" i="1" a="1"/>
  <c r="C172" i="1"/>
  <c r="P172" i="1" a="1"/>
  <c r="P172" i="1"/>
  <c r="C166" i="1" a="1"/>
  <c r="C166" i="1"/>
  <c r="P166" i="1" a="1"/>
  <c r="P166" i="1"/>
  <c r="AE401" i="1" a="1"/>
  <c r="AE401" i="1"/>
  <c r="AK401" i="1" a="1"/>
  <c r="AK401" i="1"/>
  <c r="P188" i="1" a="1"/>
  <c r="P188" i="1"/>
  <c r="P436" i="1" a="1"/>
  <c r="P436" i="1"/>
  <c r="C436" i="1" a="1"/>
  <c r="C436" i="1"/>
  <c r="C44" i="1" a="1"/>
  <c r="C44" i="1"/>
  <c r="P44" i="1" a="1"/>
  <c r="P44" i="1"/>
  <c r="C188" i="1" a="1"/>
  <c r="C188" i="1"/>
  <c r="P509" i="1" a="1"/>
  <c r="P509" i="1"/>
  <c r="C509" i="1" a="1"/>
  <c r="C509" i="1"/>
  <c r="AK388" i="1" a="1"/>
  <c r="AK388" i="1"/>
  <c r="AE388" i="1" a="1"/>
  <c r="AE388" i="1"/>
  <c r="AK370" i="1" a="1"/>
  <c r="AK370" i="1"/>
  <c r="AE370" i="1" a="1"/>
  <c r="AE370" i="1"/>
  <c r="P283" i="1" a="1"/>
  <c r="P283" i="1"/>
  <c r="P95" i="1" a="1"/>
  <c r="P95" i="1"/>
  <c r="C95" i="1" a="1"/>
  <c r="C95" i="1"/>
  <c r="C86" i="1" a="1"/>
  <c r="C86" i="1"/>
  <c r="P86" i="1" a="1"/>
  <c r="P86" i="1"/>
  <c r="C163" i="1" a="1"/>
  <c r="C163" i="1"/>
  <c r="P163" i="1" a="1"/>
  <c r="P163" i="1"/>
  <c r="AE152" i="1" a="1"/>
  <c r="AE152" i="1"/>
  <c r="AK152" i="1" a="1"/>
  <c r="AK152" i="1"/>
  <c r="C283" i="1" a="1"/>
  <c r="C283" i="1"/>
  <c r="AK96" i="1" a="1"/>
  <c r="AK96" i="1"/>
  <c r="AE96" i="1" a="1"/>
  <c r="AE96" i="1"/>
  <c r="C6" i="1" a="1"/>
  <c r="C6" i="1"/>
  <c r="C23" i="1" a="1"/>
  <c r="C23" i="1"/>
  <c r="AM513" i="1" a="1"/>
  <c r="AM513" i="1"/>
  <c r="AG513" i="1" a="1"/>
  <c r="AG513" i="1"/>
  <c r="AK130" i="1" a="1"/>
  <c r="AK130" i="1"/>
  <c r="AE130" i="1" a="1"/>
  <c r="AE130" i="1"/>
  <c r="P230" i="1" a="1"/>
  <c r="P230" i="1"/>
  <c r="C230" i="1" a="1"/>
  <c r="C230" i="1"/>
  <c r="C113" i="1" a="1"/>
  <c r="C113" i="1"/>
  <c r="P113" i="1" a="1"/>
  <c r="P113" i="1"/>
  <c r="P196" i="1" a="1"/>
  <c r="P196" i="1"/>
  <c r="P176" i="1" a="1"/>
  <c r="P176" i="1"/>
  <c r="P85" i="1" a="1"/>
  <c r="P85" i="1"/>
  <c r="C85" i="1" a="1"/>
  <c r="C85" i="1"/>
  <c r="C259" i="1" a="1"/>
  <c r="C259" i="1"/>
  <c r="P259" i="1" a="1"/>
  <c r="P259" i="1"/>
  <c r="AE289" i="1" a="1"/>
  <c r="AE289" i="1"/>
  <c r="AK289" i="1" a="1"/>
  <c r="AK289" i="1"/>
  <c r="C196" i="1" a="1"/>
  <c r="C196" i="1"/>
  <c r="AK229" i="1" a="1"/>
  <c r="AK229" i="1"/>
  <c r="AE229" i="1" a="1"/>
  <c r="AE229" i="1"/>
  <c r="AE243" i="1" a="1"/>
  <c r="AE243" i="1"/>
  <c r="C176" i="1" a="1"/>
  <c r="C176" i="1"/>
  <c r="C127" i="1" a="1"/>
  <c r="C127" i="1"/>
  <c r="AK243" i="1" a="1"/>
  <c r="AK243" i="1"/>
  <c r="AK217" i="1" a="1"/>
  <c r="AK217" i="1"/>
  <c r="AE217" i="1" a="1"/>
  <c r="AE217" i="1"/>
  <c r="P149" i="1" a="1"/>
  <c r="P149" i="1"/>
  <c r="C149" i="1" a="1"/>
  <c r="C149" i="1"/>
  <c r="AE177" i="1" a="1"/>
  <c r="AE177" i="1"/>
  <c r="AK177" i="1" a="1"/>
  <c r="AK177" i="1"/>
  <c r="C89" i="1" a="1"/>
  <c r="C89" i="1"/>
  <c r="P89" i="1" a="1"/>
  <c r="P89" i="1"/>
  <c r="P222" i="1" a="1"/>
  <c r="P222" i="1"/>
  <c r="C222" i="1" a="1"/>
  <c r="C222" i="1"/>
  <c r="P308" i="1" a="1"/>
  <c r="P308" i="1"/>
  <c r="C308" i="1" a="1"/>
  <c r="C308" i="1"/>
  <c r="P127" i="1" a="1"/>
  <c r="P127" i="1"/>
  <c r="AE193" i="1" a="1"/>
  <c r="AE193" i="1"/>
  <c r="AK193" i="1" a="1"/>
  <c r="AK193" i="1"/>
  <c r="AK46" i="1" a="1"/>
  <c r="AK46" i="1"/>
  <c r="AE46" i="1" a="1"/>
  <c r="AE46" i="1"/>
  <c r="AG546" i="1" a="1"/>
  <c r="AG546" i="1"/>
  <c r="AK232" i="1" a="1"/>
  <c r="AK232" i="1"/>
  <c r="AE232" i="1" a="1"/>
  <c r="AE232" i="1"/>
  <c r="P211" i="1" a="1"/>
  <c r="P211" i="1"/>
  <c r="C211" i="1" a="1"/>
  <c r="C211" i="1"/>
  <c r="AE334" i="1" a="1"/>
  <c r="AE334" i="1"/>
  <c r="AK334" i="1" a="1"/>
  <c r="AK334" i="1"/>
  <c r="P216" i="1" a="1"/>
  <c r="P216" i="1"/>
  <c r="C216" i="1" a="1"/>
  <c r="C216" i="1"/>
  <c r="P121" i="1" a="1"/>
  <c r="P121" i="1"/>
  <c r="C121" i="1" a="1"/>
  <c r="C121" i="1"/>
  <c r="AM546" i="1" a="1"/>
  <c r="AM546" i="1"/>
  <c r="AK135" i="1" a="1"/>
  <c r="AK135" i="1"/>
  <c r="AE135" i="1" a="1"/>
  <c r="AE135" i="1"/>
  <c r="P41" i="1" a="1"/>
  <c r="P41" i="1"/>
  <c r="AK78" i="1" a="1"/>
  <c r="AK78" i="1"/>
  <c r="AE78" i="1" a="1"/>
  <c r="AE78" i="1"/>
  <c r="C226" i="1" a="1"/>
  <c r="C226" i="1"/>
  <c r="P226" i="1" a="1"/>
  <c r="P226" i="1"/>
  <c r="AK25" i="1" a="1"/>
  <c r="AK25" i="1"/>
  <c r="AE25" i="1" a="1"/>
  <c r="AE25" i="1"/>
  <c r="C41" i="1" a="1"/>
  <c r="C41" i="1"/>
  <c r="AE136" i="1" a="1"/>
  <c r="AE136" i="1"/>
  <c r="AK136" i="1" a="1"/>
  <c r="AK136" i="1"/>
  <c r="AE88" i="1" a="1"/>
  <c r="AE88" i="1"/>
  <c r="AK88" i="1" a="1"/>
  <c r="AK88" i="1"/>
  <c r="AE203" i="1" a="1"/>
  <c r="AE203" i="1"/>
  <c r="AE156" i="1" a="1"/>
  <c r="AE156" i="1"/>
  <c r="AK203" i="1" a="1"/>
  <c r="AK203" i="1"/>
  <c r="AK202" i="1" a="1"/>
  <c r="AK202" i="1"/>
  <c r="C173" i="1" a="1"/>
  <c r="C173" i="1"/>
  <c r="P80" i="1" a="1"/>
  <c r="P80" i="1"/>
  <c r="P173" i="1" a="1"/>
  <c r="P173" i="1"/>
  <c r="C80" i="1" a="1"/>
  <c r="C80" i="1"/>
  <c r="AK156" i="1" a="1"/>
  <c r="AK156" i="1"/>
  <c r="AE164" i="1" a="1"/>
  <c r="AE164" i="1"/>
  <c r="AK164" i="1" a="1"/>
  <c r="AK164" i="1"/>
  <c r="C92" i="1" a="1"/>
  <c r="C92" i="1"/>
  <c r="P92" i="1" a="1"/>
  <c r="P92" i="1"/>
  <c r="AK138" i="1" a="1"/>
  <c r="AK138" i="1"/>
  <c r="AE138" i="1" a="1"/>
  <c r="AE138" i="1"/>
  <c r="AK251" i="1" a="1"/>
  <c r="AK251" i="1"/>
  <c r="AE251" i="1" a="1"/>
  <c r="AE251" i="1"/>
  <c r="AE134" i="1" a="1"/>
  <c r="AE134" i="1"/>
  <c r="AE202" i="1" a="1"/>
  <c r="AE202" i="1"/>
  <c r="C217" i="1" a="1"/>
  <c r="C217" i="1"/>
  <c r="P217" i="1" a="1"/>
  <c r="P217" i="1"/>
  <c r="AE89" i="1" a="1"/>
  <c r="AE89" i="1"/>
  <c r="AK89" i="1" a="1"/>
  <c r="AK89" i="1"/>
  <c r="AK134" i="1" a="1"/>
  <c r="AK134" i="1"/>
  <c r="AK163" i="1" a="1"/>
  <c r="AK163" i="1"/>
  <c r="AE163" i="1" a="1"/>
  <c r="AE163" i="1"/>
  <c r="AE181" i="1" a="1"/>
  <c r="AE181" i="1"/>
  <c r="AK181" i="1" a="1"/>
  <c r="AK181" i="1"/>
  <c r="AE175" i="1" a="1"/>
  <c r="AE175" i="1"/>
  <c r="AK175" i="1" a="1"/>
  <c r="AK175" i="1"/>
  <c r="AE147" i="1" a="1"/>
  <c r="AE147" i="1"/>
  <c r="AK147" i="1" a="1"/>
  <c r="AK147" i="1"/>
  <c r="AE105" i="1" a="1"/>
  <c r="AE105" i="1"/>
  <c r="C147" i="1" a="1"/>
  <c r="C147" i="1"/>
  <c r="P147" i="1" a="1"/>
  <c r="P147" i="1"/>
  <c r="AK549" i="1" a="1"/>
  <c r="AK549" i="1"/>
  <c r="P237" i="1" a="1"/>
  <c r="P237" i="1"/>
  <c r="C237" i="1" a="1"/>
  <c r="C237" i="1"/>
  <c r="AK105" i="1" a="1"/>
  <c r="AK105" i="1"/>
  <c r="P39" i="1" a="1"/>
  <c r="P39" i="1"/>
  <c r="C39" i="1" a="1"/>
  <c r="C39" i="1"/>
  <c r="AK32" i="1" a="1"/>
  <c r="AK32" i="1"/>
  <c r="AE32" i="1" a="1"/>
  <c r="AE32" i="1"/>
  <c r="AE549" i="1" a="1"/>
  <c r="AE549" i="1"/>
  <c r="AK39" i="1" a="1"/>
  <c r="AK39" i="1"/>
  <c r="AE548" i="1" a="1"/>
  <c r="AE548" i="1"/>
  <c r="AK548" i="1" a="1"/>
  <c r="AK548" i="1"/>
  <c r="P107" i="1" a="1"/>
  <c r="P107" i="1"/>
  <c r="C107" i="1" a="1"/>
  <c r="C107" i="1"/>
  <c r="AK555" i="1" a="1"/>
  <c r="AK555" i="1"/>
  <c r="P212" i="1" a="1"/>
  <c r="P212" i="1"/>
  <c r="AE555" i="1" a="1"/>
  <c r="AE555" i="1"/>
  <c r="C212" i="1" a="1"/>
  <c r="C212" i="1"/>
  <c r="P93" i="1" a="1"/>
  <c r="P93" i="1"/>
  <c r="C93" i="1" a="1"/>
  <c r="C93" i="1"/>
  <c r="AE39" i="1" a="1"/>
  <c r="AE39" i="1"/>
  <c r="AE553" i="1" a="1"/>
  <c r="AE553" i="1"/>
  <c r="AK553" i="1" a="1"/>
  <c r="AK553" i="1"/>
  <c r="P97" i="1" a="1"/>
  <c r="P97" i="1"/>
  <c r="C97" i="1" a="1"/>
  <c r="C97" i="1"/>
  <c r="AG548" i="1" a="1"/>
  <c r="AG548" i="1"/>
  <c r="AM548" i="1" a="1"/>
  <c r="AM548" i="1"/>
  <c r="AK98" i="1" a="1"/>
  <c r="AK98" i="1"/>
  <c r="AE98" i="1" a="1"/>
  <c r="AE98" i="1"/>
  <c r="AM559" i="1" a="1"/>
  <c r="AM559" i="1"/>
  <c r="AG559" i="1" a="1"/>
  <c r="AG559" i="1"/>
  <c r="C66" i="1" a="1"/>
  <c r="C66" i="1"/>
  <c r="AK24" i="1" a="1"/>
  <c r="AK24" i="1"/>
  <c r="AE24" i="1" a="1"/>
  <c r="AE24" i="1"/>
  <c r="P67" i="1" a="1"/>
  <c r="P67" i="1"/>
  <c r="P34" i="1" a="1"/>
  <c r="P34" i="1"/>
  <c r="C67" i="1" a="1"/>
  <c r="C67" i="1"/>
  <c r="C34" i="1" a="1"/>
  <c r="C34" i="1"/>
  <c r="P66" i="1" a="1"/>
  <c r="P66" i="1"/>
  <c r="AM558" i="1" a="1"/>
  <c r="AM558" i="1"/>
  <c r="AG558" i="1" a="1"/>
  <c r="AG558" i="1"/>
  <c r="C9" i="1" a="1"/>
  <c r="C9" i="1"/>
  <c r="P546" i="1" a="1"/>
  <c r="P546" i="1"/>
  <c r="C546" i="1" a="1"/>
  <c r="C546" i="1"/>
  <c r="C550" i="1" a="1"/>
  <c r="C550" i="1"/>
  <c r="P550" i="1" a="1"/>
  <c r="P550" i="1"/>
  <c r="AM551" i="1" a="1"/>
  <c r="AM551" i="1"/>
  <c r="AG551" i="1" a="1"/>
  <c r="AG551" i="1"/>
  <c r="AK560" i="1" a="1"/>
  <c r="AK560" i="1"/>
  <c r="AE560" i="1" a="1"/>
  <c r="AE560" i="1"/>
  <c r="AK70" i="1" a="1"/>
  <c r="AK70" i="1"/>
  <c r="AE52" i="1" a="1"/>
  <c r="AE52" i="1"/>
  <c r="AK52" i="1" a="1"/>
  <c r="AK52" i="1"/>
  <c r="C91" i="1" a="1"/>
  <c r="C91" i="1"/>
  <c r="P91" i="1" a="1"/>
  <c r="P91" i="1"/>
  <c r="C59" i="1" a="1"/>
  <c r="C59" i="1"/>
  <c r="P59" i="1" a="1"/>
  <c r="P59" i="1"/>
  <c r="C562" i="1" a="1"/>
  <c r="C562" i="1"/>
  <c r="P562" i="1" a="1"/>
  <c r="P562" i="1"/>
  <c r="C43" i="1" a="1"/>
  <c r="C43" i="1"/>
  <c r="P43" i="1" a="1"/>
  <c r="P43" i="1"/>
  <c r="AK38" i="1" a="1"/>
  <c r="AK38" i="1"/>
  <c r="AE38" i="1" a="1"/>
  <c r="AE38" i="1"/>
  <c r="AK65" i="1" a="1"/>
  <c r="AK65" i="1"/>
  <c r="AE65" i="1" a="1"/>
  <c r="AE65" i="1"/>
  <c r="AE70" i="1" a="1"/>
  <c r="AE70" i="1"/>
  <c r="AK547" i="1" a="1"/>
  <c r="AK547" i="1"/>
  <c r="AE547" i="1" a="1"/>
  <c r="AE547" i="1"/>
  <c r="C557" i="1" a="1"/>
  <c r="C557" i="1"/>
  <c r="P557" i="1" a="1"/>
  <c r="P557" i="1"/>
  <c r="C15" i="1" a="1"/>
  <c r="C15" i="1"/>
  <c r="C13" i="1" a="1"/>
  <c r="C13" i="1"/>
  <c r="C35" i="1" a="1"/>
  <c r="C35" i="1"/>
  <c r="P35" i="1" a="1"/>
  <c r="P35" i="1"/>
  <c r="C8" i="1" a="1"/>
  <c r="C8" i="1"/>
  <c r="AK117" i="1" a="1"/>
  <c r="AK117" i="1"/>
  <c r="AE117" i="1" a="1"/>
  <c r="AE117" i="1"/>
  <c r="P558" i="1" a="1"/>
  <c r="P558" i="1"/>
  <c r="C558" i="1" a="1"/>
  <c r="C558" i="1"/>
  <c r="P26" i="1" a="1"/>
  <c r="P26" i="1"/>
  <c r="C26" i="1" a="1"/>
  <c r="C26" i="1"/>
  <c r="AG547" i="1" a="1"/>
  <c r="AG547" i="1"/>
  <c r="AM547" i="1" a="1"/>
  <c r="AM547" i="1"/>
  <c r="AM553" i="1" a="1"/>
  <c r="AM553" i="1"/>
  <c r="AG553" i="1" a="1"/>
  <c r="AG553" i="1"/>
  <c r="AE42" i="1" a="1"/>
  <c r="AE42" i="1"/>
  <c r="AK42" i="1" a="1"/>
  <c r="AK42" i="1"/>
  <c r="AE108" i="1" a="1"/>
  <c r="AE108" i="1"/>
  <c r="AK108" i="1" a="1"/>
  <c r="AK108" i="1"/>
  <c r="P29" i="1" a="1"/>
  <c r="P29" i="1"/>
  <c r="C29" i="1" a="1"/>
  <c r="C29" i="1"/>
  <c r="AE48" i="1" a="1"/>
  <c r="AE48" i="1"/>
  <c r="AK48" i="1" a="1"/>
  <c r="AK48" i="1"/>
  <c r="AE37" i="1" a="1"/>
  <c r="AE37" i="1"/>
  <c r="AK37" i="1" a="1"/>
  <c r="AK37" i="1"/>
  <c r="AK550" i="1" a="1"/>
  <c r="AK550" i="1"/>
  <c r="AE550" i="1" a="1"/>
  <c r="AE550" i="1"/>
  <c r="C545" i="1" a="1"/>
  <c r="C545" i="1"/>
  <c r="C27" i="1" a="1"/>
  <c r="C27" i="1"/>
  <c r="C10" i="1" a="1"/>
  <c r="C10" i="1"/>
  <c r="AK558" i="1" a="1"/>
  <c r="AK558" i="1"/>
  <c r="AE558" i="1" a="1"/>
  <c r="AE558" i="1"/>
  <c r="P60" i="1" a="1"/>
  <c r="P60" i="1"/>
  <c r="C60" i="1" a="1"/>
  <c r="C60" i="1"/>
  <c r="AE71" i="1" a="1"/>
  <c r="AE71" i="1"/>
  <c r="AK71" i="1" a="1"/>
  <c r="AK71" i="1"/>
  <c r="AK47" i="1" a="1"/>
  <c r="AK47" i="1"/>
  <c r="C20" i="1" a="1"/>
  <c r="C20" i="1"/>
  <c r="C565" i="1" a="1"/>
  <c r="C565" i="1"/>
  <c r="AG560" i="1" a="1"/>
  <c r="AG560" i="1"/>
  <c r="AM560" i="1" a="1"/>
  <c r="AM560" i="1"/>
  <c r="P545" i="1" a="1"/>
  <c r="P545" i="1"/>
  <c r="P27" i="1" a="1"/>
  <c r="P27" i="1"/>
  <c r="AE47" i="1" a="1"/>
  <c r="AE47" i="1"/>
  <c r="P74" i="1" a="1"/>
  <c r="P74" i="1"/>
  <c r="C74" i="1" a="1"/>
  <c r="C74" i="1"/>
  <c r="P565" i="1" a="1"/>
  <c r="P565" i="1"/>
  <c r="C559" i="1" a="1"/>
  <c r="C559" i="1"/>
  <c r="P559" i="1" a="1"/>
  <c r="P559" i="1"/>
  <c r="AM543" i="1" a="1"/>
  <c r="AM543" i="1"/>
  <c r="AG543" i="1" a="1"/>
  <c r="AG543" i="1"/>
  <c r="AK55" i="1" a="1"/>
  <c r="AK55" i="1"/>
  <c r="AE55" i="1" a="1"/>
  <c r="AE55" i="1"/>
  <c r="AK26" i="1" a="1"/>
  <c r="AK26" i="1"/>
  <c r="AE26" i="1" a="1"/>
  <c r="AE26" i="1"/>
  <c r="P555" i="1" a="1"/>
  <c r="P555" i="1"/>
  <c r="C555" i="1" a="1"/>
  <c r="C555" i="1"/>
  <c r="AG552" i="1" a="1"/>
  <c r="AG552" i="1"/>
  <c r="AG557" i="1" a="1"/>
  <c r="AG557" i="1"/>
  <c r="AM557" i="1" a="1"/>
  <c r="AM557" i="1"/>
  <c r="P72" i="1" a="1"/>
  <c r="P72" i="1"/>
  <c r="C72" i="1" a="1"/>
  <c r="C72" i="1"/>
  <c r="C18" i="1" a="1"/>
  <c r="C18" i="1"/>
  <c r="AM552" i="1" a="1"/>
  <c r="AM552" i="1"/>
  <c r="C33" i="1" a="1"/>
  <c r="C33" i="1"/>
  <c r="AK34" i="1" a="1"/>
  <c r="AK34" i="1"/>
  <c r="AE34" i="1" a="1"/>
  <c r="AE34" i="1"/>
  <c r="P83" i="1" a="1"/>
  <c r="P83" i="1"/>
  <c r="C83" i="1" a="1"/>
  <c r="C83" i="1"/>
  <c r="P33" i="1" a="1"/>
  <c r="P33" i="1"/>
  <c r="AK80" i="1" a="1"/>
  <c r="AK80" i="1"/>
  <c r="AE80" i="1" a="1"/>
  <c r="AE80" i="1"/>
  <c r="AK36" i="1" a="1"/>
  <c r="AK36" i="1"/>
  <c r="C22" i="1" a="1"/>
  <c r="C22" i="1"/>
  <c r="AE36" i="1" a="1"/>
  <c r="AE36" i="1"/>
  <c r="C549" i="1" a="1"/>
  <c r="C549" i="1"/>
  <c r="C4" i="1" a="1"/>
  <c r="C4" i="1"/>
  <c r="AE45" i="1" a="1"/>
  <c r="AE45" i="1"/>
  <c r="AG544" i="1" a="1"/>
  <c r="AG544" i="1"/>
  <c r="AM544" i="1" a="1"/>
  <c r="AM544" i="1"/>
  <c r="P549" i="1" a="1"/>
  <c r="P549" i="1"/>
  <c r="AK45" i="1" a="1"/>
  <c r="AK45" i="1"/>
  <c r="P36" i="1" a="1"/>
  <c r="P36" i="1"/>
  <c r="C36" i="1" a="1"/>
  <c r="C36" i="1"/>
  <c r="C12" i="1" a="1"/>
  <c r="C12" i="1"/>
  <c r="AK546" i="1" a="1"/>
  <c r="AK546" i="1"/>
  <c r="AE546" i="1" a="1"/>
  <c r="AE546" i="1"/>
  <c r="C40" i="1" a="1"/>
  <c r="C40" i="1"/>
  <c r="P40" i="1" a="1"/>
  <c r="P40" i="1"/>
  <c r="AE110" i="1" a="1"/>
  <c r="AE110" i="1"/>
  <c r="AK110" i="1" a="1"/>
  <c r="AK110" i="1"/>
  <c r="C542" i="1" a="1"/>
  <c r="C542" i="1"/>
  <c r="P542" i="1" a="1"/>
  <c r="P542" i="1"/>
  <c r="AE33" i="1" a="1"/>
  <c r="AE33" i="1"/>
  <c r="AK33" i="1" a="1"/>
  <c r="AK33" i="1"/>
  <c r="C49" i="1" a="1"/>
  <c r="C49" i="1"/>
  <c r="P49" i="1" a="1"/>
  <c r="P49" i="1"/>
  <c r="AE28" i="1" a="1"/>
  <c r="AE28" i="1"/>
  <c r="AM549" i="1" a="1"/>
  <c r="AM549" i="1"/>
  <c r="AG549" i="1" a="1"/>
  <c r="AG549" i="1"/>
  <c r="C24" i="1" a="1"/>
  <c r="C24" i="1"/>
  <c r="P24" i="1" a="1"/>
  <c r="P24" i="1"/>
  <c r="AK554" i="1" a="1"/>
  <c r="AK554" i="1"/>
  <c r="AK28" i="1" a="1"/>
  <c r="AK28" i="1"/>
  <c r="AE57" i="1" a="1"/>
  <c r="AE57" i="1"/>
  <c r="AK57" i="1" a="1"/>
  <c r="AK57" i="1"/>
  <c r="C14" i="1" a="1"/>
  <c r="C14" i="1"/>
  <c r="AK112" i="1" a="1"/>
  <c r="AK112" i="1"/>
  <c r="AE112" i="1" a="1"/>
  <c r="AE112" i="1"/>
  <c r="P560" i="1" a="1"/>
  <c r="P560" i="1"/>
  <c r="C560" i="1" a="1"/>
  <c r="C560" i="1"/>
  <c r="AK31" i="1" a="1"/>
  <c r="AK31" i="1"/>
  <c r="AE31" i="1" a="1"/>
  <c r="AE31" i="1"/>
  <c r="AK103" i="1" a="1"/>
  <c r="AK103" i="1"/>
  <c r="AE103" i="1" a="1"/>
  <c r="AE103" i="1"/>
  <c r="AE554" i="1" a="1"/>
  <c r="AE554" i="1"/>
  <c r="AG556" i="1" a="1"/>
  <c r="AG556" i="1"/>
  <c r="AM556" i="1" a="1"/>
  <c r="AM556" i="1"/>
  <c r="C548" i="1" a="1"/>
  <c r="C548" i="1"/>
  <c r="P548" i="1" a="1"/>
  <c r="P548" i="1"/>
  <c r="C554" i="1" a="1"/>
  <c r="C554" i="1"/>
  <c r="P554" i="1" a="1"/>
  <c r="P554" i="1"/>
  <c r="C46" i="1" a="1"/>
  <c r="C46" i="1"/>
  <c r="P46" i="1" a="1"/>
  <c r="P46" i="1"/>
  <c r="C16" i="1" a="1"/>
  <c r="C16" i="1"/>
  <c r="AE41" i="1" a="1"/>
  <c r="AE41" i="1"/>
  <c r="AK41" i="1" a="1"/>
  <c r="AK41" i="1"/>
  <c r="C566" i="1" a="1"/>
  <c r="C566" i="1"/>
  <c r="P566" i="1" a="1"/>
  <c r="P566" i="1"/>
  <c r="P547" i="1" a="1"/>
  <c r="P547" i="1"/>
  <c r="C547" i="1" a="1"/>
  <c r="C547" i="1"/>
  <c r="C45" i="1" a="1"/>
  <c r="C45" i="1"/>
  <c r="P45" i="1" a="1"/>
  <c r="P45" i="1"/>
  <c r="P102" i="1" a="1"/>
  <c r="P102" i="1"/>
  <c r="P605" i="1" a="1"/>
  <c r="P605" i="1"/>
  <c r="C102" i="1" a="1"/>
  <c r="C102" i="1"/>
  <c r="C605" i="1" a="1"/>
  <c r="C605" i="1"/>
  <c r="AK544" i="1" a="1"/>
  <c r="AK544" i="1"/>
  <c r="AE544" i="1" a="1"/>
  <c r="AE544" i="1"/>
  <c r="C598" i="1" a="1"/>
  <c r="C598" i="1"/>
  <c r="P598" i="1" a="1"/>
  <c r="P598" i="1"/>
  <c r="C563" i="1" a="1"/>
  <c r="C563" i="1"/>
  <c r="P563" i="1" a="1"/>
  <c r="P563" i="1"/>
  <c r="C603" i="1" a="1"/>
  <c r="C603" i="1"/>
  <c r="P603" i="1" a="1"/>
  <c r="P603" i="1"/>
  <c r="C630" i="1" a="1"/>
  <c r="C630" i="1"/>
  <c r="P630" i="1" a="1"/>
  <c r="P630" i="1"/>
  <c r="C641" i="1" a="1"/>
  <c r="C641" i="1"/>
  <c r="P641" i="1" a="1"/>
  <c r="P641" i="1"/>
  <c r="P606" i="1" a="1"/>
  <c r="P606" i="1"/>
  <c r="C606" i="1" a="1"/>
  <c r="C606" i="1"/>
  <c r="P644" i="1" a="1"/>
  <c r="P644" i="1"/>
  <c r="C644" i="1" a="1"/>
  <c r="C644" i="1"/>
  <c r="P629" i="1" a="1"/>
  <c r="P629" i="1"/>
  <c r="C629" i="1" a="1"/>
  <c r="C629" i="1"/>
  <c r="P612" i="1" a="1"/>
  <c r="P612" i="1"/>
  <c r="C612" i="1" a="1"/>
  <c r="C612" i="1"/>
  <c r="P626" i="1" a="1"/>
  <c r="P626" i="1"/>
  <c r="C626" i="1" a="1"/>
  <c r="C626" i="1"/>
  <c r="C631" i="1" a="1"/>
  <c r="C631" i="1"/>
  <c r="P631" i="1" a="1"/>
  <c r="P631" i="1"/>
  <c r="C611" i="1" a="1"/>
  <c r="C611" i="1"/>
  <c r="C604" i="1" a="1"/>
  <c r="C604" i="1"/>
  <c r="P604" i="1" a="1"/>
  <c r="P604" i="1"/>
  <c r="C640" i="1" a="1"/>
  <c r="C640" i="1"/>
  <c r="P640" i="1" a="1"/>
  <c r="P640" i="1"/>
  <c r="C643" i="1" a="1"/>
  <c r="C643" i="1"/>
  <c r="P643" i="1" a="1"/>
  <c r="P643" i="1"/>
  <c r="C635" i="1" a="1"/>
  <c r="C635" i="1"/>
  <c r="P635" i="1" a="1"/>
  <c r="P635" i="1"/>
  <c r="P611" i="1" a="1"/>
  <c r="P611" i="1"/>
  <c r="C638" i="1" a="1"/>
  <c r="C638" i="1"/>
  <c r="C602" i="1" a="1"/>
  <c r="C602" i="1"/>
  <c r="P602" i="1" a="1"/>
  <c r="P602" i="1"/>
  <c r="C614" i="1" a="1"/>
  <c r="C614" i="1"/>
  <c r="P633" i="1" a="1"/>
  <c r="P633" i="1"/>
  <c r="C633" i="1" a="1"/>
  <c r="C633" i="1"/>
  <c r="C597" i="1" a="1"/>
  <c r="C597" i="1"/>
  <c r="P597" i="1" a="1"/>
  <c r="P597" i="1"/>
  <c r="P638" i="1" a="1"/>
  <c r="P638" i="1"/>
  <c r="C639" i="1" a="1"/>
  <c r="C639" i="1"/>
  <c r="P639" i="1" a="1"/>
  <c r="P639" i="1"/>
  <c r="P614" i="1" a="1"/>
  <c r="P614" i="1"/>
  <c r="C624" i="1" a="1"/>
  <c r="C624" i="1"/>
  <c r="P619" i="1" a="1"/>
  <c r="P619" i="1"/>
  <c r="C599" i="1" a="1"/>
  <c r="C599" i="1"/>
  <c r="P599" i="1" a="1"/>
  <c r="P599" i="1"/>
  <c r="C618" i="1" a="1"/>
  <c r="C618" i="1"/>
  <c r="P618" i="1" a="1"/>
  <c r="P618" i="1"/>
  <c r="P648" i="1" a="1"/>
  <c r="P648" i="1"/>
  <c r="C648" i="1" a="1"/>
  <c r="C648" i="1"/>
  <c r="C619" i="1" a="1"/>
  <c r="C619" i="1"/>
  <c r="P624" i="1" a="1"/>
  <c r="P624" i="1"/>
  <c r="C607" i="1" a="1"/>
  <c r="C607" i="1"/>
  <c r="P607" i="1" a="1"/>
  <c r="P607" i="1"/>
  <c r="C634" i="1" a="1"/>
  <c r="C634" i="1"/>
  <c r="P634" i="1" a="1"/>
  <c r="P634" i="1"/>
  <c r="C616" i="1" a="1"/>
  <c r="C616" i="1"/>
  <c r="C620" i="1" a="1"/>
  <c r="C620" i="1"/>
  <c r="P620" i="1" a="1"/>
  <c r="P620" i="1"/>
  <c r="P616" i="1" a="1"/>
  <c r="P616" i="1"/>
  <c r="C625" i="1" a="1"/>
  <c r="C625" i="1"/>
  <c r="C646" i="1" a="1"/>
  <c r="C646" i="1"/>
  <c r="P646" i="1" a="1"/>
  <c r="P646" i="1"/>
  <c r="C636" i="1" a="1"/>
  <c r="C636" i="1"/>
  <c r="P636" i="1" a="1"/>
  <c r="P636" i="1"/>
  <c r="P625" i="1" a="1"/>
  <c r="P625" i="1"/>
  <c r="C637" i="1" a="1"/>
  <c r="C637" i="1"/>
  <c r="P637" i="1" a="1"/>
  <c r="P637" i="1"/>
  <c r="P621" i="1" a="1"/>
  <c r="P621" i="1"/>
  <c r="C621" i="1" a="1"/>
  <c r="C621" i="1"/>
  <c r="P645" i="1" a="1"/>
  <c r="P645" i="1"/>
  <c r="C622" i="1" a="1"/>
  <c r="C622" i="1"/>
  <c r="P601" i="1" a="1"/>
  <c r="P601" i="1"/>
  <c r="C601" i="1" a="1"/>
  <c r="C601" i="1"/>
  <c r="P613" i="1" a="1"/>
  <c r="P613" i="1"/>
  <c r="C613" i="1" a="1"/>
  <c r="C613" i="1"/>
  <c r="C645" i="1" a="1"/>
  <c r="C645" i="1"/>
  <c r="P627" i="1" a="1"/>
  <c r="P627" i="1"/>
  <c r="C627" i="1" a="1"/>
  <c r="C627" i="1"/>
  <c r="C608" i="1" a="1"/>
  <c r="C608" i="1"/>
  <c r="P608" i="1" a="1"/>
  <c r="P608" i="1"/>
  <c r="P622" i="1" a="1"/>
  <c r="P622" i="1"/>
  <c r="P600" i="1" a="1"/>
  <c r="P600" i="1"/>
  <c r="P609" i="1" a="1"/>
  <c r="P609" i="1"/>
  <c r="C609" i="1" a="1"/>
  <c r="C609" i="1"/>
  <c r="P623" i="1" a="1"/>
  <c r="P623" i="1"/>
  <c r="P615" i="1" a="1"/>
  <c r="P615" i="1"/>
  <c r="C615" i="1" a="1"/>
  <c r="C615" i="1"/>
  <c r="P610" i="1" a="1"/>
  <c r="P610" i="1"/>
  <c r="C610" i="1" a="1"/>
  <c r="C610" i="1"/>
  <c r="C617" i="1" a="1"/>
  <c r="C617" i="1"/>
  <c r="P617" i="1" a="1"/>
  <c r="P617" i="1"/>
  <c r="C642" i="1" a="1"/>
  <c r="C642" i="1"/>
  <c r="P642" i="1" a="1"/>
  <c r="P642" i="1"/>
  <c r="C632" i="1" a="1"/>
  <c r="C632" i="1"/>
  <c r="P632" i="1" a="1"/>
  <c r="P632" i="1"/>
  <c r="C600" i="1" a="1"/>
  <c r="C600" i="1"/>
  <c r="AK598" i="1" a="1"/>
  <c r="AK598" i="1"/>
  <c r="C647" i="1" a="1"/>
  <c r="C647" i="1"/>
  <c r="P647" i="1" a="1"/>
  <c r="P647" i="1"/>
  <c r="C623" i="1" a="1"/>
  <c r="C623" i="1"/>
  <c r="AE628" i="1" a="1"/>
  <c r="AE628" i="1"/>
  <c r="AK628" i="1" a="1"/>
  <c r="AK628" i="1"/>
  <c r="AE598" i="1" a="1"/>
  <c r="AE598" i="1"/>
  <c r="P628" i="1" a="1"/>
  <c r="P628" i="1"/>
  <c r="C628" i="1" a="1"/>
  <c r="C628" i="1"/>
  <c r="AG421" i="1" a="1"/>
  <c r="AG421" i="1"/>
  <c r="AE622" i="1" a="1"/>
  <c r="AE622" i="1"/>
  <c r="AK622" i="1" a="1"/>
  <c r="AK622" i="1"/>
  <c r="AG435" i="1" a="1"/>
  <c r="AG435" i="1"/>
  <c r="AM435" i="1" a="1"/>
  <c r="AM435" i="1"/>
  <c r="AM430" i="1" a="1"/>
  <c r="AM430" i="1"/>
  <c r="AG430" i="1" a="1"/>
  <c r="AG430" i="1"/>
  <c r="AM607" i="1" a="1"/>
  <c r="AM607" i="1"/>
  <c r="AM421" i="1" a="1"/>
  <c r="AM421" i="1"/>
  <c r="AG607" i="1" a="1"/>
  <c r="AG607" i="1"/>
  <c r="AM591" i="1" a="1"/>
  <c r="AM591" i="1"/>
  <c r="AG591" i="1" a="1"/>
  <c r="AG591" i="1"/>
  <c r="AG638" i="1" a="1"/>
  <c r="AG638" i="1"/>
  <c r="AG422" i="1" a="1"/>
  <c r="AG422" i="1"/>
  <c r="AM422" i="1" a="1"/>
  <c r="AM422" i="1"/>
  <c r="AM442" i="1" a="1"/>
  <c r="AM442" i="1"/>
  <c r="AG442" i="1" a="1"/>
  <c r="AG442" i="1"/>
  <c r="AM638" i="1" a="1"/>
  <c r="AM638" i="1"/>
  <c r="AM415" i="1" a="1"/>
  <c r="AM415" i="1"/>
  <c r="AM594" i="1" a="1"/>
  <c r="AM594" i="1"/>
  <c r="AG592" i="1" a="1"/>
  <c r="AG592" i="1"/>
  <c r="AM592" i="1" a="1"/>
  <c r="AM592" i="1"/>
  <c r="AM413" i="1" a="1"/>
  <c r="AM413" i="1"/>
  <c r="AG429" i="1" a="1"/>
  <c r="AG429" i="1"/>
  <c r="AM429" i="1" a="1"/>
  <c r="AM429" i="1"/>
  <c r="AG594" i="1" a="1"/>
  <c r="AG594" i="1"/>
  <c r="AM428" i="1" a="1"/>
  <c r="AM428" i="1"/>
  <c r="AG428" i="1" a="1"/>
  <c r="AG428" i="1"/>
  <c r="AK613" i="1" a="1"/>
  <c r="AK613" i="1"/>
  <c r="AE613" i="1" a="1"/>
  <c r="AE613" i="1"/>
  <c r="AG441" i="1" a="1"/>
  <c r="AG441" i="1"/>
  <c r="AM441" i="1" a="1"/>
  <c r="AM441" i="1"/>
  <c r="AK617" i="1" a="1"/>
  <c r="AK617" i="1"/>
  <c r="AE617" i="1" a="1"/>
  <c r="AE617" i="1"/>
  <c r="AM593" i="1" a="1"/>
  <c r="AM593" i="1"/>
  <c r="AG593" i="1" a="1"/>
  <c r="AG593" i="1"/>
  <c r="AM406" i="1" a="1"/>
  <c r="AM406" i="1"/>
  <c r="AG640" i="1" a="1"/>
  <c r="AG640" i="1"/>
  <c r="AM640" i="1" a="1"/>
  <c r="AM640" i="1"/>
  <c r="AE602" i="1" a="1"/>
  <c r="AE602" i="1"/>
  <c r="AK602" i="1" a="1"/>
  <c r="AK602" i="1"/>
  <c r="AG434" i="1" a="1"/>
  <c r="AG434" i="1"/>
  <c r="AM402" i="1" a="1"/>
  <c r="AM402" i="1"/>
  <c r="AG639" i="1" a="1"/>
  <c r="AG639" i="1"/>
  <c r="AM639" i="1" a="1"/>
  <c r="AM639" i="1"/>
  <c r="AK644" i="1" a="1"/>
  <c r="AK644" i="1"/>
  <c r="AE644" i="1" a="1"/>
  <c r="AE644" i="1"/>
  <c r="AM420" i="1" a="1"/>
  <c r="AM420" i="1"/>
  <c r="AG420" i="1" a="1"/>
  <c r="AG420" i="1"/>
  <c r="AG395" i="1" a="1"/>
  <c r="AG395" i="1"/>
  <c r="AM395" i="1" a="1"/>
  <c r="AM395" i="1"/>
  <c r="AM434" i="1" a="1"/>
  <c r="AM434" i="1"/>
  <c r="AE608" i="1" a="1"/>
  <c r="AE608" i="1"/>
  <c r="AK608" i="1" a="1"/>
  <c r="AK608" i="1"/>
  <c r="AK634" i="1" a="1"/>
  <c r="AK634" i="1"/>
  <c r="AE634" i="1" a="1"/>
  <c r="AE634" i="1"/>
  <c r="AM617" i="1" a="1"/>
  <c r="AM617" i="1"/>
  <c r="AG621" i="1" a="1"/>
  <c r="AG621" i="1"/>
  <c r="AM621" i="1" a="1"/>
  <c r="AM621" i="1"/>
  <c r="AM410" i="1" a="1"/>
  <c r="AM410" i="1"/>
  <c r="AM437" i="1" a="1"/>
  <c r="AM437" i="1"/>
  <c r="AG644" i="1" a="1"/>
  <c r="AG644" i="1"/>
  <c r="AG617" i="1" a="1"/>
  <c r="AG617" i="1"/>
  <c r="AG437" i="1" a="1"/>
  <c r="AG437" i="1"/>
  <c r="AM630" i="1" a="1"/>
  <c r="AM630" i="1"/>
  <c r="AM644" i="1" a="1"/>
  <c r="AM644" i="1"/>
  <c r="AM635" i="1" a="1"/>
  <c r="AM635" i="1"/>
  <c r="AG635" i="1" a="1"/>
  <c r="AG635" i="1"/>
  <c r="AG630" i="1" a="1"/>
  <c r="AG630" i="1"/>
  <c r="AG615" i="1" a="1"/>
  <c r="AG615" i="1"/>
  <c r="AE607" i="1" a="1"/>
  <c r="AE607" i="1"/>
  <c r="AE626" i="1" a="1"/>
  <c r="AE626" i="1"/>
  <c r="AK626" i="1" a="1"/>
  <c r="AK626" i="1"/>
  <c r="AK607" i="1" a="1"/>
  <c r="AK607" i="1"/>
  <c r="AM407" i="1" a="1"/>
  <c r="AM407" i="1"/>
  <c r="AM643" i="1" a="1"/>
  <c r="AM643" i="1"/>
  <c r="AK645" i="1" a="1"/>
  <c r="AK645" i="1"/>
  <c r="AE645" i="1" a="1"/>
  <c r="AE645" i="1"/>
  <c r="AM615" i="1" a="1"/>
  <c r="AM615" i="1"/>
  <c r="AM433" i="1" a="1"/>
  <c r="AM433" i="1"/>
  <c r="AG433" i="1" a="1"/>
  <c r="AG433" i="1"/>
  <c r="AG643" i="1" a="1"/>
  <c r="AG643" i="1"/>
  <c r="AK637" i="1" a="1"/>
  <c r="AK637" i="1"/>
  <c r="AE637" i="1" a="1"/>
  <c r="AE637" i="1"/>
  <c r="AE605" i="1" a="1"/>
  <c r="AE605" i="1"/>
  <c r="AK605" i="1" a="1"/>
  <c r="AK605" i="1"/>
  <c r="AM409" i="1" a="1"/>
  <c r="AM409" i="1"/>
  <c r="AM627" i="1" a="1"/>
  <c r="AM627" i="1"/>
  <c r="AM419" i="1" a="1"/>
  <c r="AM419" i="1"/>
  <c r="AM601" i="1" a="1"/>
  <c r="AM601" i="1"/>
  <c r="AG601" i="1" a="1"/>
  <c r="AG601" i="1"/>
  <c r="AM606" i="1" a="1"/>
  <c r="AM606" i="1"/>
  <c r="AG627" i="1" a="1"/>
  <c r="AG627" i="1"/>
  <c r="AE635" i="1" a="1"/>
  <c r="AE635" i="1"/>
  <c r="AK635" i="1" a="1"/>
  <c r="AK635" i="1"/>
  <c r="AG606" i="1" a="1"/>
  <c r="AG606" i="1"/>
  <c r="AM417" i="1" a="1"/>
  <c r="AM417" i="1"/>
  <c r="AM426" i="1" a="1"/>
  <c r="AM426" i="1"/>
  <c r="AG426" i="1" a="1"/>
  <c r="AG426" i="1"/>
  <c r="AG618" i="1" a="1"/>
  <c r="AG618" i="1"/>
  <c r="AE619" i="1" a="1"/>
  <c r="AE619" i="1"/>
  <c r="AK619" i="1" a="1"/>
  <c r="AK619" i="1"/>
  <c r="AM427" i="1" a="1"/>
  <c r="AM427" i="1"/>
  <c r="AE625" i="1" a="1"/>
  <c r="AE625" i="1"/>
  <c r="AK625" i="1" a="1"/>
  <c r="AK625" i="1"/>
  <c r="AK620" i="1" a="1"/>
  <c r="AK620" i="1"/>
  <c r="AM618" i="1" a="1"/>
  <c r="AM618" i="1"/>
  <c r="AE620" i="1" a="1"/>
  <c r="AE620" i="1"/>
  <c r="AG427" i="1" a="1"/>
  <c r="AG427" i="1"/>
  <c r="AE631" i="1" a="1"/>
  <c r="AE631" i="1"/>
  <c r="AK631" i="1" a="1"/>
  <c r="AK631" i="1"/>
  <c r="AG634" i="1" a="1"/>
  <c r="AG634" i="1"/>
  <c r="AM634" i="1" a="1"/>
  <c r="AM634" i="1"/>
  <c r="AG628" i="1" a="1"/>
  <c r="AG628" i="1"/>
  <c r="AM628" i="1" a="1"/>
  <c r="AM628" i="1"/>
  <c r="AG625" i="1" a="1"/>
  <c r="AG625" i="1"/>
  <c r="AM625" i="1" a="1"/>
  <c r="AM625" i="1"/>
  <c r="AM603" i="1" a="1"/>
  <c r="AM603" i="1"/>
  <c r="AG603" i="1" a="1"/>
  <c r="AG603" i="1"/>
  <c r="AM411" i="1" a="1"/>
  <c r="AM411" i="1"/>
  <c r="AG398" i="1" a="1"/>
  <c r="AG398" i="1"/>
  <c r="AM398" i="1" a="1"/>
  <c r="AM398" i="1"/>
  <c r="AG605" i="1" a="1"/>
  <c r="AG605" i="1"/>
  <c r="AE629" i="1" a="1"/>
  <c r="AE629" i="1"/>
  <c r="AK629" i="1" a="1"/>
  <c r="AK629" i="1"/>
  <c r="AM418" i="1" a="1"/>
  <c r="AM418" i="1"/>
  <c r="AM605" i="1" a="1"/>
  <c r="AM605" i="1"/>
  <c r="AK623" i="1" a="1"/>
  <c r="AK623" i="1"/>
  <c r="AK609" i="1" a="1"/>
  <c r="AK609" i="1"/>
  <c r="AK627" i="1" a="1"/>
  <c r="AK627" i="1"/>
  <c r="AE627" i="1" a="1"/>
  <c r="AE627" i="1"/>
  <c r="AG602" i="1" a="1"/>
  <c r="AG602" i="1"/>
  <c r="AM619" i="1" a="1"/>
  <c r="AM619" i="1"/>
  <c r="AM624" i="1" a="1"/>
  <c r="AM624" i="1"/>
  <c r="AG624" i="1" a="1"/>
  <c r="AG624" i="1"/>
  <c r="AE609" i="1" a="1"/>
  <c r="AE609" i="1"/>
  <c r="AE623" i="1" a="1"/>
  <c r="AE623" i="1"/>
  <c r="AM602" i="1" a="1"/>
  <c r="AM602" i="1"/>
  <c r="AG619" i="1" a="1"/>
  <c r="AG619" i="1"/>
  <c r="AG646" i="1" a="1"/>
  <c r="AG646" i="1"/>
  <c r="AM646" i="1" a="1"/>
  <c r="AM646" i="1"/>
  <c r="AE639" i="1" a="1"/>
  <c r="AE639" i="1"/>
  <c r="AK639" i="1" a="1"/>
  <c r="AK639" i="1"/>
  <c r="AG642" i="1" a="1"/>
  <c r="AG642" i="1"/>
  <c r="AM642" i="1" a="1"/>
  <c r="AM642" i="1"/>
  <c r="AG443" i="1" a="1"/>
  <c r="AG443" i="1"/>
  <c r="AM443" i="1" a="1"/>
  <c r="AM443" i="1"/>
  <c r="AK615" i="1" a="1"/>
  <c r="AK615" i="1"/>
  <c r="AE615" i="1" a="1"/>
  <c r="AE615" i="1"/>
  <c r="AK606" i="1" a="1"/>
  <c r="AK606" i="1"/>
  <c r="AE606" i="1" a="1"/>
  <c r="AE606" i="1"/>
  <c r="AK638" i="1" a="1"/>
  <c r="AK638" i="1"/>
  <c r="AE638" i="1" a="1"/>
  <c r="AE638" i="1"/>
  <c r="AM408" i="1" a="1"/>
  <c r="AM408" i="1"/>
  <c r="AG609" i="1" a="1"/>
  <c r="AG609" i="1"/>
  <c r="AE610" i="1" a="1"/>
  <c r="AE610" i="1"/>
  <c r="AK610" i="1" a="1"/>
  <c r="AK610" i="1"/>
  <c r="AM609" i="1" a="1"/>
  <c r="AM609" i="1"/>
  <c r="AM636" i="1" a="1"/>
  <c r="AM636" i="1"/>
  <c r="AM401" i="1" a="1"/>
  <c r="AM401" i="1"/>
  <c r="AG424" i="1" a="1"/>
  <c r="AG424" i="1"/>
  <c r="AG645" i="1" a="1"/>
  <c r="AG645" i="1"/>
  <c r="AK624" i="1" a="1"/>
  <c r="AK624" i="1"/>
  <c r="AE624" i="1" a="1"/>
  <c r="AE624" i="1"/>
  <c r="AG616" i="1" a="1"/>
  <c r="AG616" i="1"/>
  <c r="AM616" i="1" a="1"/>
  <c r="AM616" i="1"/>
  <c r="AK643" i="1" a="1"/>
  <c r="AK643" i="1"/>
  <c r="AE643" i="1" a="1"/>
  <c r="AE643" i="1"/>
  <c r="AG636" i="1" a="1"/>
  <c r="AG636" i="1"/>
  <c r="AG400" i="1" a="1"/>
  <c r="AG400" i="1"/>
  <c r="AM400" i="1" a="1"/>
  <c r="AM400" i="1"/>
  <c r="AM596" i="1" a="1"/>
  <c r="AM596" i="1"/>
  <c r="AG596" i="1" a="1"/>
  <c r="AG596" i="1"/>
  <c r="AM424" i="1" a="1"/>
  <c r="AM424" i="1"/>
  <c r="AM645" i="1" a="1"/>
  <c r="AM645" i="1"/>
  <c r="AK611" i="1" a="1"/>
  <c r="AK611" i="1"/>
  <c r="AM403" i="1" a="1"/>
  <c r="AM403" i="1"/>
  <c r="AE611" i="1" a="1"/>
  <c r="AE611" i="1"/>
  <c r="AM405" i="1" a="1"/>
  <c r="AM405" i="1"/>
  <c r="AM416" i="1" a="1"/>
  <c r="AM416" i="1"/>
  <c r="AE633" i="1" a="1"/>
  <c r="AE633" i="1"/>
  <c r="AE647" i="1" a="1"/>
  <c r="AE647" i="1"/>
  <c r="AK647" i="1" a="1"/>
  <c r="AK647" i="1"/>
  <c r="AG632" i="1" a="1"/>
  <c r="AG632" i="1"/>
  <c r="AM632" i="1" a="1"/>
  <c r="AM632" i="1"/>
  <c r="AG623" i="1" a="1"/>
  <c r="AG623" i="1"/>
  <c r="AM623" i="1" a="1"/>
  <c r="AM623" i="1"/>
  <c r="AK633" i="1" a="1"/>
  <c r="AK633" i="1"/>
  <c r="AE601" i="1" a="1"/>
  <c r="AE601" i="1"/>
  <c r="AM622" i="1" a="1"/>
  <c r="AM622" i="1"/>
  <c r="AK601" i="1" a="1"/>
  <c r="AK601" i="1"/>
  <c r="AK618" i="1" a="1"/>
  <c r="AK618" i="1"/>
  <c r="AE618" i="1" a="1"/>
  <c r="AE618" i="1"/>
  <c r="AM612" i="1" a="1"/>
  <c r="AM612" i="1"/>
  <c r="AG612" i="1" a="1"/>
  <c r="AG612" i="1"/>
  <c r="AG622" i="1" a="1"/>
  <c r="AG622" i="1"/>
  <c r="AG599" i="1" a="1"/>
  <c r="AG599" i="1"/>
  <c r="AM599" i="1" a="1"/>
  <c r="AM599" i="1"/>
  <c r="AK614" i="1" a="1"/>
  <c r="AK614" i="1"/>
  <c r="AE614" i="1" a="1"/>
  <c r="AE614" i="1"/>
  <c r="AE604" i="1" a="1"/>
  <c r="AE604" i="1"/>
  <c r="AK604" i="1" a="1"/>
  <c r="AK604" i="1"/>
  <c r="AG604" i="1" a="1"/>
  <c r="AG604" i="1"/>
  <c r="AM604" i="1" a="1"/>
  <c r="AM604" i="1"/>
  <c r="AE642" i="1" a="1"/>
  <c r="AE642" i="1"/>
  <c r="AK642" i="1" a="1"/>
  <c r="AK642" i="1"/>
  <c r="AM633" i="1" a="1"/>
  <c r="AM633" i="1"/>
  <c r="AK651" i="1" a="1"/>
  <c r="AK651" i="1"/>
  <c r="AM396" i="1" a="1"/>
  <c r="AM396" i="1"/>
  <c r="AK612" i="1" a="1"/>
  <c r="AK612" i="1"/>
  <c r="AG620" i="1" a="1"/>
  <c r="AG620" i="1"/>
  <c r="AM620" i="1" a="1"/>
  <c r="AM620" i="1"/>
  <c r="AG633" i="1" a="1"/>
  <c r="AG633" i="1"/>
  <c r="AE651" i="1" a="1"/>
  <c r="AE651" i="1"/>
  <c r="AG637" i="1" a="1"/>
  <c r="AG637" i="1"/>
  <c r="AM637" i="1" a="1"/>
  <c r="AM637" i="1"/>
  <c r="AG396" i="1" a="1"/>
  <c r="AG396" i="1"/>
  <c r="AE612" i="1" a="1"/>
  <c r="AE612" i="1"/>
  <c r="AG614" i="1" a="1"/>
  <c r="AG614" i="1"/>
  <c r="AM614" i="1" a="1"/>
  <c r="AM614" i="1"/>
  <c r="AM440" i="1" a="1"/>
  <c r="AM440" i="1"/>
  <c r="AG440" i="1" a="1"/>
  <c r="AG440" i="1"/>
  <c r="AM397" i="1" a="1"/>
  <c r="AM397" i="1"/>
  <c r="AG397" i="1" a="1"/>
  <c r="AG397" i="1"/>
  <c r="AE621" i="1" a="1"/>
  <c r="AE621" i="1"/>
  <c r="AK621" i="1" a="1"/>
  <c r="AK621" i="1"/>
  <c r="AG641" i="1" a="1"/>
  <c r="AG641" i="1"/>
  <c r="AM423" i="1" a="1"/>
  <c r="AM423" i="1"/>
  <c r="AG423" i="1" a="1"/>
  <c r="AG423" i="1"/>
  <c r="AM613" i="1" a="1"/>
  <c r="AM613" i="1"/>
  <c r="AG613" i="1" a="1"/>
  <c r="AG613" i="1"/>
  <c r="AM608" i="1" a="1"/>
  <c r="AM608" i="1"/>
  <c r="AG608" i="1" a="1"/>
  <c r="AG608" i="1"/>
  <c r="AG600" i="1" a="1"/>
  <c r="AG600" i="1"/>
  <c r="AM600" i="1" a="1"/>
  <c r="AM600" i="1"/>
  <c r="AM414" i="1" a="1"/>
  <c r="AM414" i="1"/>
  <c r="AM641" i="1" a="1"/>
  <c r="AM641" i="1"/>
  <c r="AK646" i="1" a="1"/>
  <c r="AK646" i="1"/>
  <c r="AE646" i="1" a="1"/>
  <c r="AE646" i="1"/>
  <c r="AM610" i="1" a="1"/>
  <c r="AM610" i="1"/>
  <c r="AG610" i="1" a="1"/>
  <c r="AG610" i="1"/>
  <c r="AG438" i="1" a="1"/>
  <c r="AG438" i="1"/>
  <c r="AE600" i="1" a="1"/>
  <c r="AE600" i="1"/>
  <c r="AM438" i="1" a="1"/>
  <c r="AM438" i="1"/>
  <c r="AK600" i="1" a="1"/>
  <c r="AK600" i="1"/>
  <c r="AK632" i="1" a="1"/>
  <c r="AK632" i="1"/>
  <c r="AK636" i="1" a="1"/>
  <c r="AK636" i="1"/>
  <c r="AE636" i="1" a="1"/>
  <c r="AE636" i="1"/>
  <c r="AK599" i="1" a="1"/>
  <c r="AK599" i="1"/>
  <c r="AE599" i="1" a="1"/>
  <c r="AE599" i="1"/>
  <c r="AE630" i="1" a="1"/>
  <c r="AE630" i="1"/>
  <c r="AK630" i="1" a="1"/>
  <c r="AK630" i="1"/>
  <c r="AE632" i="1" a="1"/>
  <c r="AE632" i="1"/>
  <c r="AE597" i="1" a="1"/>
  <c r="AE597" i="1"/>
  <c r="AK597" i="1" a="1"/>
  <c r="AK597" i="1"/>
  <c r="AM626" i="1" a="1"/>
  <c r="AM626" i="1"/>
  <c r="AG626" i="1" a="1"/>
  <c r="AG626" i="1"/>
  <c r="AK641" i="1" a="1"/>
  <c r="AK641" i="1"/>
  <c r="AE641" i="1" a="1"/>
  <c r="AE641" i="1"/>
  <c r="AG436" i="1" a="1"/>
  <c r="AG436" i="1"/>
  <c r="AK640" i="1" a="1"/>
  <c r="AK640" i="1"/>
  <c r="AE640" i="1" a="1"/>
  <c r="AE640" i="1"/>
  <c r="AG439" i="1" a="1"/>
  <c r="AG439" i="1"/>
  <c r="AM439" i="1" a="1"/>
  <c r="AM439" i="1"/>
  <c r="AM647" i="1" a="1"/>
  <c r="AM647" i="1"/>
  <c r="AG611" i="1" a="1"/>
  <c r="AG611" i="1"/>
  <c r="AG647" i="1" a="1"/>
  <c r="AG647" i="1"/>
  <c r="AM611" i="1" a="1"/>
  <c r="AM611" i="1"/>
  <c r="AK616" i="1" a="1"/>
  <c r="AK616" i="1"/>
  <c r="AE616" i="1" a="1"/>
  <c r="AE616" i="1"/>
  <c r="AE603" i="1" a="1"/>
  <c r="AE603" i="1"/>
  <c r="AK603" i="1" a="1"/>
  <c r="AK603" i="1"/>
  <c r="AG431" i="1" a="1"/>
  <c r="AG431" i="1"/>
  <c r="AM597" i="1" a="1"/>
  <c r="AM597" i="1"/>
  <c r="AG597" i="1" a="1"/>
  <c r="AG597" i="1"/>
  <c r="AM399" i="1" a="1"/>
  <c r="AM399" i="1"/>
  <c r="AG399" i="1" a="1"/>
  <c r="AG399" i="1"/>
  <c r="AM436" i="1" a="1"/>
  <c r="AM436" i="1"/>
  <c r="AM432" i="1" a="1"/>
  <c r="AM432" i="1"/>
  <c r="AG432" i="1" a="1"/>
  <c r="AG432" i="1"/>
  <c r="AM431" i="1" a="1"/>
  <c r="AM431" i="1"/>
  <c r="AM629" i="1" a="1"/>
  <c r="AM629" i="1"/>
  <c r="AG629" i="1" a="1"/>
  <c r="AG629" i="1"/>
  <c r="AG425" i="1" a="1"/>
  <c r="AG425" i="1"/>
  <c r="AM425" i="1" a="1"/>
  <c r="AM425" i="1"/>
  <c r="AM598" i="1" a="1"/>
  <c r="AM598" i="1"/>
  <c r="AG598" i="1" a="1"/>
  <c r="AG598" i="1"/>
  <c r="AM412" i="1" a="1"/>
  <c r="AM412" i="1"/>
  <c r="AM631" i="1" a="1"/>
  <c r="AM631" i="1"/>
  <c r="P651" i="1" a="1"/>
  <c r="P651" i="1"/>
  <c r="C651" i="1" a="1"/>
  <c r="C651" i="1"/>
  <c r="C652" i="1" a="1"/>
  <c r="C652" i="1"/>
  <c r="C658" i="1" a="1"/>
  <c r="C658" i="1"/>
  <c r="P658" i="1" a="1"/>
  <c r="P658" i="1"/>
  <c r="P649" i="1" a="1"/>
  <c r="P649" i="1"/>
  <c r="C649" i="1" a="1"/>
  <c r="C649" i="1"/>
  <c r="P652" i="1" a="1"/>
  <c r="P652" i="1"/>
  <c r="AG631" i="1" a="1"/>
  <c r="AG631" i="1"/>
  <c r="P650" i="1" a="1"/>
  <c r="P650" i="1"/>
  <c r="C650" i="1" a="1"/>
  <c r="C650" i="1"/>
  <c r="AG595" i="1" a="1"/>
  <c r="AG595" i="1"/>
  <c r="AM595" i="1" a="1"/>
  <c r="AM595" i="1"/>
  <c r="P657" i="1" a="1"/>
  <c r="P657" i="1"/>
  <c r="C657" i="1" a="1"/>
  <c r="C657" i="1"/>
  <c r="P664" i="1" a="1"/>
  <c r="P664" i="1"/>
  <c r="AE656" i="1" a="1"/>
  <c r="AE656" i="1"/>
  <c r="C661" i="1" a="1"/>
  <c r="C661" i="1"/>
  <c r="P662" i="1" a="1"/>
  <c r="P662" i="1"/>
  <c r="P653" i="1" a="1"/>
  <c r="P653" i="1"/>
  <c r="C653" i="1" a="1"/>
  <c r="C653" i="1"/>
  <c r="C656" i="1" a="1"/>
  <c r="C656" i="1"/>
  <c r="P656" i="1" a="1"/>
  <c r="P656" i="1"/>
  <c r="P665" i="1" a="1"/>
  <c r="P665" i="1"/>
  <c r="AK656" i="1" a="1"/>
  <c r="AK656" i="1"/>
  <c r="C662" i="1" a="1"/>
  <c r="C662" i="1"/>
  <c r="AE655" i="1" a="1"/>
  <c r="AE655" i="1"/>
  <c r="P659" i="1" a="1"/>
  <c r="P659" i="1"/>
  <c r="C659" i="1" a="1"/>
  <c r="C659" i="1"/>
  <c r="AK655" i="1" a="1"/>
  <c r="AK655" i="1"/>
  <c r="AE658" i="1" a="1"/>
  <c r="AE658" i="1"/>
  <c r="P661" i="1" a="1"/>
  <c r="P661" i="1"/>
  <c r="C667" i="1" a="1"/>
  <c r="C667" i="1"/>
  <c r="P667" i="1" a="1"/>
  <c r="P667" i="1"/>
  <c r="AK657" i="1" a="1"/>
  <c r="AK657" i="1"/>
  <c r="AE657" i="1" a="1"/>
  <c r="AE657" i="1"/>
  <c r="C655" i="1" a="1"/>
  <c r="C655" i="1"/>
  <c r="P655" i="1" a="1"/>
  <c r="P655" i="1"/>
  <c r="C660" i="1" a="1"/>
  <c r="C660" i="1"/>
  <c r="P660" i="1" a="1"/>
  <c r="P660" i="1"/>
  <c r="C654" i="1" a="1"/>
  <c r="C654" i="1"/>
  <c r="P654" i="1" a="1"/>
  <c r="P654" i="1"/>
  <c r="P663" i="1" a="1"/>
  <c r="P663" i="1"/>
  <c r="AE648" i="1" a="1"/>
  <c r="AE648" i="1"/>
  <c r="AK648" i="1" a="1"/>
  <c r="AK648" i="1"/>
  <c r="AK658" i="1" a="1"/>
  <c r="AK658" i="1"/>
  <c r="AK666" i="1" a="1"/>
  <c r="AK666" i="1"/>
  <c r="AE666" i="1" a="1"/>
  <c r="AE666" i="1"/>
  <c r="P666" i="1" a="1"/>
  <c r="P666" i="1"/>
  <c r="AE664" i="1" a="1"/>
  <c r="AE664" i="1"/>
  <c r="AK664" i="1" a="1"/>
  <c r="AK664" i="1"/>
  <c r="AE661" i="1" a="1"/>
  <c r="AE661" i="1"/>
  <c r="C666" i="1" a="1"/>
  <c r="C666" i="1"/>
  <c r="AK653" i="1" a="1"/>
  <c r="AK653" i="1"/>
  <c r="AE653" i="1" a="1"/>
  <c r="AE653" i="1"/>
  <c r="AE650" i="1" a="1"/>
  <c r="AE650" i="1"/>
  <c r="AK650" i="1" a="1"/>
  <c r="AK650" i="1"/>
  <c r="AK661" i="1" a="1"/>
  <c r="AK661" i="1"/>
  <c r="AE663" i="1" a="1"/>
  <c r="AE663" i="1"/>
  <c r="AK663" i="1" a="1"/>
  <c r="AK663" i="1"/>
  <c r="AK654" i="1" a="1"/>
  <c r="AK654" i="1"/>
  <c r="AE654" i="1" a="1"/>
  <c r="AE654" i="1"/>
  <c r="AE659" i="1" a="1"/>
  <c r="AE659" i="1"/>
  <c r="AK659" i="1" a="1"/>
  <c r="AK659" i="1"/>
  <c r="AE649" i="1" a="1"/>
  <c r="AE649" i="1"/>
  <c r="AK649" i="1" a="1"/>
  <c r="AK649" i="1"/>
  <c r="AE667" i="1" a="1"/>
  <c r="AE667" i="1"/>
  <c r="AE662" i="1" a="1"/>
  <c r="AE662" i="1"/>
  <c r="AK662" i="1" a="1"/>
  <c r="AK662" i="1"/>
  <c r="AK652" i="1" a="1"/>
  <c r="AK652" i="1"/>
  <c r="AE652" i="1" a="1"/>
  <c r="AE652" i="1"/>
  <c r="AE665" i="1" a="1"/>
  <c r="AE665" i="1"/>
  <c r="AK665" i="1" a="1"/>
  <c r="AK665" i="1"/>
  <c r="AE660" i="1" a="1"/>
  <c r="AE660" i="1"/>
  <c r="AK660" i="1" a="1"/>
  <c r="AK660" i="1"/>
  <c r="AM649" i="1" a="1"/>
  <c r="AM649" i="1"/>
  <c r="AG649" i="1" a="1"/>
  <c r="AG649" i="1"/>
  <c r="AM651" i="1" a="1"/>
  <c r="AM651" i="1"/>
  <c r="AG651" i="1" a="1"/>
  <c r="AG651" i="1"/>
  <c r="AM665" i="1" a="1"/>
  <c r="AM665" i="1"/>
  <c r="AG661" i="1" a="1"/>
  <c r="AG661" i="1"/>
  <c r="AM661" i="1" a="1"/>
  <c r="AM661" i="1"/>
  <c r="AM650" i="1" a="1"/>
  <c r="AM650" i="1"/>
  <c r="AG650" i="1" a="1"/>
  <c r="AG650" i="1"/>
  <c r="AG652" i="1" a="1"/>
  <c r="AG652" i="1"/>
  <c r="AM652" i="1" a="1"/>
  <c r="AM652" i="1"/>
  <c r="AG653" i="1" a="1"/>
  <c r="AG653" i="1"/>
  <c r="AM653" i="1" a="1"/>
  <c r="AM653" i="1"/>
  <c r="AM657" i="1" a="1"/>
  <c r="AM657" i="1"/>
  <c r="AG657" i="1" a="1"/>
  <c r="AG657" i="1"/>
  <c r="AG654" i="1" a="1"/>
  <c r="AG654" i="1"/>
  <c r="AM654" i="1" a="1"/>
  <c r="AM654" i="1"/>
  <c r="AM658" i="1" a="1"/>
  <c r="AM658" i="1"/>
  <c r="AG658" i="1" a="1"/>
  <c r="AG658" i="1"/>
  <c r="AG665" i="1" a="1"/>
  <c r="AG665" i="1"/>
  <c r="AM660" i="1" a="1"/>
  <c r="AM660" i="1"/>
  <c r="AG660" i="1" a="1"/>
  <c r="AG660" i="1"/>
  <c r="AM659" i="1" a="1"/>
  <c r="AM659" i="1"/>
  <c r="AG666" i="1" a="1"/>
  <c r="AG666" i="1"/>
  <c r="AM666" i="1" a="1"/>
  <c r="AM666" i="1"/>
  <c r="AM648" i="1" a="1"/>
  <c r="AM648" i="1"/>
  <c r="AG648" i="1" a="1"/>
  <c r="AG648" i="1"/>
  <c r="AM656" i="1" a="1"/>
  <c r="AM656" i="1"/>
  <c r="AG656" i="1" a="1"/>
  <c r="AG656" i="1"/>
  <c r="AM664" i="1" a="1"/>
  <c r="AM664" i="1"/>
  <c r="AG664" i="1" a="1"/>
  <c r="AG664" i="1"/>
  <c r="AG659" i="1" a="1"/>
  <c r="AG659" i="1"/>
  <c r="AF79" i="1" a="1"/>
  <c r="AF79" i="1"/>
  <c r="AG79" i="1" a="1"/>
  <c r="AG655" i="1" a="1"/>
  <c r="AG79" i="1"/>
  <c r="AG655" i="1"/>
  <c r="AM655" i="1" a="1"/>
  <c r="AM655" i="1"/>
  <c r="P668" i="1" a="1"/>
  <c r="P668" i="1"/>
  <c r="C668" i="1" a="1"/>
  <c r="C668" i="1"/>
  <c r="AG663" i="1" a="1"/>
  <c r="AG663" i="1"/>
  <c r="AM663" i="1" a="1"/>
  <c r="AM663" i="1"/>
  <c r="AG662" i="1" a="1"/>
  <c r="AG662" i="1"/>
  <c r="AM662" i="1" a="1"/>
  <c r="AM662" i="1"/>
  <c r="AF244" i="1" a="1"/>
  <c r="AF244" i="1"/>
  <c r="AG244" i="1" a="1"/>
  <c r="AL349" i="1" a="1"/>
  <c r="AG244" i="1"/>
  <c r="AL349" i="1"/>
  <c r="AM349" i="1" a="1"/>
  <c r="AF331" i="1" a="1"/>
  <c r="AM349" i="1"/>
  <c r="AF331" i="1"/>
  <c r="AG331" i="1" a="1"/>
  <c r="AL197" i="1" a="1"/>
  <c r="AG331" i="1"/>
  <c r="AL197" i="1"/>
  <c r="AM197" i="1" a="1"/>
  <c r="AF166" i="1" a="1"/>
  <c r="AM197" i="1"/>
  <c r="AF166" i="1"/>
  <c r="AG166" i="1" a="1"/>
  <c r="AL232" i="1" a="1"/>
  <c r="AG166" i="1"/>
  <c r="AL232" i="1"/>
  <c r="AM232" i="1" a="1"/>
  <c r="AF273" i="1" a="1"/>
  <c r="AM232" i="1"/>
  <c r="AF273" i="1"/>
  <c r="AG273" i="1" a="1"/>
  <c r="AF297" i="1" a="1"/>
  <c r="AG273" i="1"/>
  <c r="AF297" i="1"/>
  <c r="AG297" i="1" a="1"/>
  <c r="AF354" i="1" a="1"/>
  <c r="AG297" i="1"/>
  <c r="AF354" i="1"/>
  <c r="AG354" i="1" a="1"/>
  <c r="AL212" i="1" a="1"/>
  <c r="AG354" i="1"/>
  <c r="AL212" i="1"/>
  <c r="AM212" i="1" a="1"/>
  <c r="AF253" i="1" a="1"/>
  <c r="AM212" i="1"/>
  <c r="AF253" i="1"/>
  <c r="AG253" i="1" a="1"/>
  <c r="AF365" i="1" a="1"/>
  <c r="AG253" i="1"/>
  <c r="AF365" i="1"/>
  <c r="AG365" i="1" a="1"/>
  <c r="AF340" i="1" a="1"/>
  <c r="AG365" i="1"/>
  <c r="AF340" i="1"/>
  <c r="AG340" i="1" a="1"/>
  <c r="AF264" i="1" a="1"/>
  <c r="AG340" i="1"/>
  <c r="AF264" i="1"/>
  <c r="AG264" i="1" a="1"/>
  <c r="AF152" i="1" a="1"/>
  <c r="AG264" i="1"/>
  <c r="AF152" i="1"/>
  <c r="AG152" i="1" a="1"/>
  <c r="AL224" i="1" a="1"/>
  <c r="AG152" i="1"/>
  <c r="AL224" i="1"/>
  <c r="AM224" i="1" a="1"/>
  <c r="AF225" i="1" a="1"/>
  <c r="AM224" i="1"/>
  <c r="AF225" i="1"/>
  <c r="AG225" i="1" a="1"/>
  <c r="AF52" i="1" a="1"/>
  <c r="AG225" i="1"/>
  <c r="AF52" i="1"/>
  <c r="AG52" i="1" a="1"/>
  <c r="AF188" i="1" a="1"/>
  <c r="AG52" i="1"/>
  <c r="AF188" i="1"/>
  <c r="AG188" i="1" a="1"/>
  <c r="AF148" i="1" a="1"/>
  <c r="AG188" i="1"/>
  <c r="AF148" i="1"/>
  <c r="AG148" i="1" a="1"/>
  <c r="AF201" i="1" a="1"/>
  <c r="AG148" i="1"/>
  <c r="AF201" i="1"/>
  <c r="AG201" i="1" a="1"/>
  <c r="AL179" i="1" a="1"/>
  <c r="AG201" i="1"/>
  <c r="AL179" i="1"/>
  <c r="AM179" i="1" a="1"/>
  <c r="AL293" i="1" a="1"/>
  <c r="AM179" i="1"/>
  <c r="AL293" i="1"/>
  <c r="AM293" i="1" a="1"/>
  <c r="AF375" i="1" a="1"/>
  <c r="AM293" i="1"/>
  <c r="AF375" i="1"/>
  <c r="AG375" i="1" a="1"/>
  <c r="AF320" i="1" a="1"/>
  <c r="AG375" i="1"/>
  <c r="AF320" i="1"/>
  <c r="AG320" i="1" a="1"/>
  <c r="AF329" i="1" a="1"/>
  <c r="AG320" i="1"/>
  <c r="AF329" i="1"/>
  <c r="AG329" i="1" a="1"/>
  <c r="AL311" i="1" a="1"/>
  <c r="AG329" i="1"/>
  <c r="AL311" i="1"/>
  <c r="AM311" i="1" a="1"/>
  <c r="AL280" i="1" a="1"/>
  <c r="AM311" i="1"/>
  <c r="AL280" i="1"/>
  <c r="AM280" i="1" a="1"/>
  <c r="AL256" i="1" a="1"/>
  <c r="AM280" i="1"/>
  <c r="AL256" i="1"/>
  <c r="AM256" i="1" a="1"/>
  <c r="AF382" i="1" a="1"/>
  <c r="AM256" i="1"/>
  <c r="AF382" i="1"/>
  <c r="AG382" i="1" a="1"/>
  <c r="AL174" i="1" a="1"/>
  <c r="AG382" i="1"/>
  <c r="AL174" i="1"/>
  <c r="AM174" i="1" a="1"/>
  <c r="AF139" i="1" a="1"/>
  <c r="AM174" i="1"/>
  <c r="AF139" i="1"/>
  <c r="AG139" i="1" a="1"/>
  <c r="AF126" i="1" a="1"/>
  <c r="AG139" i="1"/>
  <c r="AF126" i="1"/>
  <c r="AG126" i="1" a="1"/>
  <c r="AF57" i="1" a="1"/>
  <c r="AG126" i="1"/>
  <c r="AF57" i="1"/>
  <c r="AG57" i="1" a="1"/>
  <c r="AF112" i="1" a="1"/>
  <c r="AG57" i="1"/>
  <c r="AF112" i="1"/>
  <c r="AG112" i="1" a="1"/>
  <c r="AF33" i="1" a="1"/>
  <c r="AG112" i="1"/>
  <c r="AF33" i="1"/>
  <c r="AG33" i="1" a="1"/>
  <c r="AF62" i="1" a="1"/>
  <c r="AG33" i="1"/>
  <c r="AF62" i="1"/>
  <c r="AG62" i="1" a="1"/>
  <c r="AF118" i="1" a="1"/>
  <c r="AG62" i="1"/>
  <c r="AF118" i="1"/>
  <c r="AG118" i="1" a="1"/>
  <c r="AF98" i="1" a="1"/>
  <c r="AG118" i="1"/>
  <c r="AF98" i="1"/>
  <c r="AG98" i="1" a="1"/>
  <c r="AF251" i="1" a="1"/>
  <c r="AG98" i="1"/>
  <c r="AF251" i="1"/>
  <c r="AG251" i="1" a="1"/>
  <c r="AL132" i="1" a="1"/>
  <c r="AG251" i="1"/>
  <c r="AL132" i="1"/>
  <c r="AM132" i="1" a="1"/>
  <c r="AL346" i="1" a="1"/>
  <c r="AM132" i="1"/>
  <c r="AL346" i="1"/>
  <c r="AM346" i="1" a="1"/>
  <c r="AF312" i="1" a="1"/>
  <c r="AM346" i="1"/>
  <c r="AF312" i="1"/>
  <c r="AG312" i="1" a="1"/>
  <c r="AF357" i="1" a="1"/>
  <c r="AG312" i="1"/>
  <c r="AF357" i="1"/>
  <c r="AG357" i="1" a="1"/>
  <c r="AF85" i="1" a="1"/>
  <c r="AG357" i="1"/>
  <c r="AF85" i="1"/>
  <c r="AG85" i="1" a="1"/>
  <c r="AF119" i="1" a="1"/>
  <c r="AG85" i="1"/>
  <c r="AF119" i="1"/>
  <c r="AG119" i="1" a="1"/>
  <c r="AF47" i="1" a="1"/>
  <c r="AG119" i="1"/>
  <c r="AF47" i="1"/>
  <c r="AG47" i="1" a="1"/>
  <c r="AF58" i="1" a="1"/>
  <c r="AG47" i="1"/>
  <c r="AF58" i="1"/>
  <c r="AG58" i="1" a="1"/>
  <c r="AL30" i="1" a="1"/>
  <c r="AG58" i="1"/>
  <c r="AL30" i="1"/>
  <c r="AM30" i="1" a="1"/>
  <c r="AL295" i="1" a="1"/>
  <c r="AM30" i="1"/>
  <c r="AL295" i="1"/>
  <c r="AM295" i="1" a="1"/>
  <c r="AF301" i="1" a="1"/>
  <c r="AM295" i="1"/>
  <c r="AF301" i="1"/>
  <c r="AG301" i="1" a="1"/>
  <c r="AL175" i="1" a="1"/>
  <c r="AG301" i="1"/>
  <c r="AL175" i="1"/>
  <c r="AM175" i="1" a="1"/>
  <c r="AF131" i="1" a="1"/>
  <c r="AM175" i="1"/>
  <c r="AF131" i="1"/>
  <c r="AG131" i="1" a="1"/>
  <c r="AL273" i="1" a="1"/>
  <c r="AG131" i="1"/>
  <c r="AL273" i="1"/>
  <c r="AM273" i="1" a="1"/>
  <c r="AL45" i="1" a="1"/>
  <c r="AM273" i="1"/>
  <c r="AL45" i="1"/>
  <c r="AM45" i="1" a="1"/>
  <c r="AF140" i="1" a="1"/>
  <c r="AM45" i="1"/>
  <c r="AF140" i="1"/>
  <c r="AG140" i="1" a="1"/>
  <c r="AL94" i="1" a="1"/>
  <c r="AG140" i="1"/>
  <c r="AL94" i="1"/>
  <c r="AM94" i="1" a="1"/>
  <c r="AL322" i="1" a="1"/>
  <c r="AM94" i="1"/>
  <c r="AL322" i="1"/>
  <c r="AM322" i="1" a="1"/>
  <c r="AF40" i="1" a="1"/>
  <c r="AM322" i="1"/>
  <c r="AF40" i="1"/>
  <c r="AG40" i="1" a="1"/>
  <c r="AL127" i="1" a="1"/>
  <c r="AG40" i="1"/>
  <c r="AL127" i="1"/>
  <c r="AM127" i="1" a="1"/>
  <c r="AL151" i="1" a="1"/>
  <c r="AM127" i="1"/>
  <c r="AL151" i="1"/>
  <c r="AM151" i="1" a="1"/>
  <c r="AL29" i="1" a="1"/>
  <c r="AM151" i="1"/>
  <c r="AL29" i="1"/>
  <c r="AM29" i="1" a="1"/>
  <c r="AL148" i="1" a="1"/>
  <c r="AM29" i="1"/>
  <c r="AL148" i="1"/>
  <c r="AM148" i="1" a="1"/>
  <c r="AL242" i="1" a="1"/>
  <c r="AM148" i="1"/>
  <c r="AL242" i="1"/>
  <c r="AM242" i="1" a="1"/>
  <c r="AF121" i="1" a="1"/>
  <c r="AM242" i="1"/>
  <c r="AF121" i="1"/>
  <c r="AG121" i="1" a="1"/>
  <c r="AF367" i="1" a="1"/>
  <c r="AG121" i="1"/>
  <c r="AF367" i="1"/>
  <c r="AG367" i="1" a="1"/>
  <c r="AL266" i="1" a="1"/>
  <c r="AG367" i="1"/>
  <c r="AL266" i="1"/>
  <c r="AM266" i="1" a="1"/>
  <c r="AF333" i="1" a="1"/>
  <c r="AM266" i="1"/>
  <c r="AF333" i="1"/>
  <c r="AG333" i="1" a="1"/>
  <c r="AL276" i="1" a="1"/>
  <c r="AG333" i="1"/>
  <c r="AL276" i="1"/>
  <c r="AM276" i="1" a="1"/>
  <c r="AF24" i="1" a="1"/>
  <c r="AM276" i="1"/>
  <c r="AF24" i="1"/>
  <c r="AG24" i="1" a="1"/>
  <c r="AL222" i="1" a="1"/>
  <c r="AG24" i="1"/>
  <c r="AL222" i="1"/>
  <c r="AM222" i="1" a="1"/>
  <c r="AF314" i="1" a="1"/>
  <c r="AM222" i="1"/>
  <c r="AF314" i="1"/>
  <c r="AG314" i="1" a="1"/>
  <c r="AL277" i="1" a="1"/>
  <c r="AG314" i="1"/>
  <c r="AL277" i="1"/>
  <c r="AM277" i="1" a="1"/>
  <c r="AL386" i="1" a="1"/>
  <c r="AM277" i="1"/>
  <c r="AL386" i="1"/>
  <c r="AM386" i="1" a="1"/>
  <c r="AF246" i="1" a="1"/>
  <c r="AM386" i="1"/>
  <c r="AF246" i="1"/>
  <c r="AG246" i="1" a="1"/>
  <c r="AL107" i="1" a="1"/>
  <c r="AG246" i="1"/>
  <c r="AL107" i="1"/>
  <c r="AM107" i="1" a="1"/>
  <c r="AF231" i="1" a="1"/>
  <c r="AM107" i="1"/>
  <c r="AF231" i="1"/>
  <c r="AG231" i="1" a="1"/>
  <c r="AL267" i="1" a="1"/>
  <c r="AG231" i="1"/>
  <c r="AL267" i="1"/>
  <c r="AM267" i="1" a="1"/>
  <c r="AL213" i="1" a="1"/>
  <c r="AM267" i="1"/>
  <c r="AL213" i="1"/>
  <c r="AM213" i="1" a="1"/>
  <c r="AL339" i="1" a="1"/>
  <c r="AM213" i="1"/>
  <c r="AL339" i="1"/>
  <c r="AM339" i="1" a="1"/>
  <c r="AL188" i="1" a="1"/>
  <c r="AM339" i="1"/>
  <c r="AL188" i="1"/>
  <c r="AM188" i="1" a="1"/>
  <c r="AL375" i="1" a="1"/>
  <c r="AM188" i="1"/>
  <c r="AL375" i="1"/>
  <c r="AM375" i="1" a="1"/>
  <c r="AL135" i="1" a="1"/>
  <c r="AM375" i="1"/>
  <c r="AL135" i="1"/>
  <c r="AM135" i="1" a="1"/>
  <c r="AL32" i="1" a="1"/>
  <c r="AM135" i="1"/>
  <c r="AL32" i="1"/>
  <c r="AM32" i="1" a="1"/>
  <c r="AL47" i="1" a="1"/>
  <c r="AM32" i="1"/>
  <c r="AL47" i="1"/>
  <c r="AM47" i="1" a="1"/>
  <c r="AF206" i="1" a="1"/>
  <c r="AM47" i="1"/>
  <c r="AF206" i="1"/>
  <c r="AG206" i="1" a="1"/>
  <c r="AF165" i="1" a="1"/>
  <c r="AG206" i="1"/>
  <c r="AF165" i="1"/>
  <c r="AG165" i="1" a="1"/>
  <c r="AF153" i="1" a="1"/>
  <c r="AG165" i="1"/>
  <c r="AF153" i="1"/>
  <c r="AG153" i="1" a="1"/>
  <c r="AL166" i="1" a="1"/>
  <c r="AG153" i="1"/>
  <c r="AL166" i="1"/>
  <c r="AM166" i="1" a="1"/>
  <c r="AF208" i="1" a="1"/>
  <c r="AM166" i="1"/>
  <c r="AF208" i="1"/>
  <c r="AG208" i="1" a="1"/>
  <c r="AF176" i="1" a="1"/>
  <c r="AG208" i="1"/>
  <c r="AF176" i="1"/>
  <c r="AG176" i="1" a="1"/>
  <c r="AF89" i="1" a="1"/>
  <c r="AG176" i="1"/>
  <c r="AF89" i="1"/>
  <c r="AG89" i="1" a="1"/>
  <c r="AL152" i="1" a="1"/>
  <c r="AG89" i="1"/>
  <c r="AL152" i="1"/>
  <c r="AM152" i="1" a="1"/>
  <c r="AF109" i="1" a="1"/>
  <c r="AM152" i="1"/>
  <c r="AF109" i="1"/>
  <c r="AG109" i="1" a="1"/>
  <c r="AF178" i="1" a="1"/>
  <c r="AG109" i="1"/>
  <c r="AF178" i="1"/>
  <c r="AG178" i="1" a="1"/>
  <c r="AF80" i="1" a="1"/>
  <c r="AG178" i="1"/>
  <c r="AF80" i="1"/>
  <c r="AG80" i="1" a="1"/>
  <c r="AF104" i="1" a="1"/>
  <c r="AG80" i="1"/>
  <c r="AF104" i="1"/>
  <c r="AG104" i="1" a="1"/>
  <c r="AF94" i="1" a="1"/>
  <c r="AG104" i="1"/>
  <c r="AF94" i="1"/>
  <c r="AG94" i="1" a="1"/>
  <c r="AL78" i="1" a="1"/>
  <c r="AG94" i="1"/>
  <c r="AL78" i="1"/>
  <c r="AM78" i="1" a="1"/>
  <c r="AL83" i="1" a="1"/>
  <c r="AM78" i="1"/>
  <c r="AL83" i="1"/>
  <c r="AM83" i="1" a="1"/>
  <c r="AF154" i="1" a="1"/>
  <c r="AM83" i="1"/>
  <c r="AF154" i="1"/>
  <c r="AG154" i="1" a="1"/>
  <c r="AF49" i="1" a="1"/>
  <c r="AG154" i="1"/>
  <c r="AF49" i="1"/>
  <c r="AG49" i="1" a="1"/>
  <c r="AF69" i="1" a="1"/>
  <c r="AG49" i="1"/>
  <c r="AF69" i="1"/>
  <c r="AG69" i="1" a="1"/>
  <c r="AL91" i="1" a="1"/>
  <c r="AG69" i="1"/>
  <c r="AL91" i="1"/>
  <c r="AM91" i="1" a="1"/>
  <c r="AF381" i="1" a="1"/>
  <c r="AM91" i="1"/>
  <c r="AF381" i="1"/>
  <c r="AG381" i="1" a="1"/>
  <c r="AL139" i="1" a="1"/>
  <c r="AG381" i="1"/>
  <c r="AL139" i="1"/>
  <c r="AM139" i="1" a="1"/>
  <c r="AF66" i="1" a="1"/>
  <c r="AM139" i="1"/>
  <c r="AF66" i="1"/>
  <c r="AG66" i="1" a="1"/>
  <c r="AF51" i="1" a="1"/>
  <c r="AG66" i="1"/>
  <c r="AF51" i="1"/>
  <c r="AG51" i="1" a="1"/>
  <c r="AF159" i="1" a="1"/>
  <c r="AG51" i="1"/>
  <c r="AF159" i="1"/>
  <c r="AG159" i="1" a="1"/>
  <c r="AF56" i="1" a="1"/>
  <c r="AG159" i="1"/>
  <c r="AF56" i="1"/>
  <c r="AG56" i="1" a="1"/>
  <c r="AF353" i="1" a="1"/>
  <c r="AG56" i="1"/>
  <c r="AF353" i="1"/>
  <c r="AG353" i="1" a="1"/>
  <c r="AL362" i="1" a="1"/>
  <c r="AG353" i="1"/>
  <c r="AL362" i="1"/>
  <c r="AM362" i="1" a="1"/>
  <c r="AL304" i="1" a="1"/>
  <c r="AM362" i="1"/>
  <c r="AL304" i="1"/>
  <c r="AM304" i="1" a="1"/>
  <c r="AL388" i="1" a="1"/>
  <c r="AM304" i="1"/>
  <c r="AL388" i="1"/>
  <c r="AM388" i="1" a="1"/>
  <c r="AL302" i="1" a="1"/>
  <c r="AM388" i="1"/>
  <c r="AL302" i="1"/>
  <c r="AM302" i="1" a="1"/>
  <c r="AF370" i="1" a="1"/>
  <c r="AM302" i="1"/>
  <c r="AF370" i="1"/>
  <c r="AG370" i="1" a="1"/>
  <c r="AL274" i="1" a="1"/>
  <c r="AG370" i="1"/>
  <c r="AL274" i="1"/>
  <c r="AM274" i="1" a="1"/>
  <c r="AL79" i="1" a="1"/>
  <c r="AM274" i="1"/>
  <c r="AL79" i="1"/>
  <c r="AM79" i="1" a="1"/>
  <c r="AL291" i="1" a="1"/>
  <c r="AM79" i="1"/>
  <c r="AL291" i="1"/>
  <c r="AM291" i="1" a="1"/>
  <c r="AF239" i="1" a="1"/>
  <c r="AM291" i="1"/>
  <c r="AF239" i="1"/>
  <c r="AG239" i="1" a="1"/>
  <c r="AF108" i="1" a="1"/>
  <c r="AG239" i="1"/>
  <c r="AF108" i="1"/>
  <c r="AG108" i="1" a="1"/>
  <c r="AF262" i="1" a="1"/>
  <c r="AG108" i="1"/>
  <c r="AF262" i="1"/>
  <c r="AG262" i="1" a="1"/>
  <c r="AF90" i="1" a="1"/>
  <c r="AG262" i="1"/>
  <c r="AF90" i="1"/>
  <c r="AG90" i="1" a="1"/>
  <c r="AL338" i="1" a="1"/>
  <c r="AG90" i="1"/>
  <c r="AL338" i="1"/>
  <c r="AM338" i="1" a="1"/>
  <c r="AL140" i="1" a="1"/>
  <c r="AM338" i="1"/>
  <c r="AL140" i="1"/>
  <c r="AM140" i="1" a="1"/>
  <c r="AL57" i="1" a="1"/>
  <c r="AM140" i="1"/>
  <c r="AL57" i="1"/>
  <c r="AM57" i="1" a="1"/>
  <c r="AF76" i="1" a="1"/>
  <c r="AM57" i="1"/>
  <c r="AF76" i="1"/>
  <c r="AG76" i="1" a="1"/>
  <c r="AF75" i="1" a="1"/>
  <c r="AG76" i="1"/>
  <c r="AF75" i="1"/>
  <c r="AG75" i="1" a="1"/>
  <c r="AF55" i="1" a="1"/>
  <c r="AG75" i="1"/>
  <c r="AF55" i="1"/>
  <c r="AG55" i="1" a="1"/>
  <c r="AL168" i="1" a="1"/>
  <c r="AG55" i="1"/>
  <c r="AL168" i="1"/>
  <c r="AM168" i="1" a="1"/>
  <c r="AL35" i="1" a="1"/>
  <c r="AM168" i="1"/>
  <c r="AL35" i="1"/>
  <c r="AM35" i="1" a="1"/>
  <c r="AF113" i="1" a="1"/>
  <c r="AM35" i="1"/>
  <c r="AF113" i="1"/>
  <c r="AG113" i="1" a="1"/>
  <c r="AF175" i="1" a="1"/>
  <c r="AG113" i="1"/>
  <c r="AF175" i="1"/>
  <c r="AG175" i="1" a="1"/>
  <c r="AF43" i="1" a="1"/>
  <c r="AG175" i="1"/>
  <c r="AF43" i="1"/>
  <c r="AG43" i="1" a="1"/>
  <c r="AL101" i="1" a="1"/>
  <c r="AG43" i="1"/>
  <c r="AL101" i="1"/>
  <c r="AM101" i="1" a="1"/>
  <c r="AF31" i="1" a="1"/>
  <c r="AM101" i="1"/>
  <c r="AF31" i="1"/>
  <c r="AG31" i="1" a="1"/>
  <c r="AF247" i="1" a="1"/>
  <c r="AG31" i="1"/>
  <c r="AF247" i="1"/>
  <c r="AG247" i="1" a="1"/>
  <c r="AF328" i="1" a="1"/>
  <c r="AG247" i="1"/>
  <c r="AF328" i="1"/>
  <c r="AG328" i="1" a="1"/>
  <c r="AL70" i="1" a="1"/>
  <c r="AG328" i="1"/>
  <c r="AL70" i="1"/>
  <c r="AM70" i="1" a="1"/>
  <c r="AF48" i="1" a="1"/>
  <c r="AM70" i="1"/>
  <c r="AF48" i="1"/>
  <c r="AG48" i="1" a="1"/>
  <c r="AL233" i="1" a="1"/>
  <c r="AG48" i="1"/>
  <c r="AL233" i="1"/>
  <c r="AM233" i="1" a="1"/>
  <c r="AF282" i="1" a="1"/>
  <c r="AM233" i="1"/>
  <c r="AF282" i="1"/>
  <c r="AG282" i="1" a="1"/>
  <c r="AF241" i="1" a="1"/>
  <c r="AG282" i="1"/>
  <c r="AF241" i="1"/>
  <c r="AG241" i="1" a="1"/>
  <c r="AF179" i="1" a="1"/>
  <c r="AG241" i="1"/>
  <c r="AF179" i="1"/>
  <c r="AG179" i="1" a="1"/>
  <c r="AL214" i="1" a="1"/>
  <c r="AG179" i="1"/>
  <c r="AL214" i="1"/>
  <c r="AM214" i="1" a="1"/>
  <c r="AL223" i="1" a="1"/>
  <c r="AM214" i="1"/>
  <c r="AL223" i="1"/>
  <c r="AM223" i="1" a="1"/>
  <c r="AF203" i="1" a="1"/>
  <c r="AM223" i="1"/>
  <c r="AF203" i="1"/>
  <c r="AG203" i="1" a="1"/>
  <c r="AL193" i="1" a="1"/>
  <c r="AG203" i="1"/>
  <c r="AL193" i="1"/>
  <c r="AM193" i="1" a="1"/>
  <c r="AF157" i="1" a="1"/>
  <c r="AM193" i="1"/>
  <c r="AF157" i="1"/>
  <c r="AG157" i="1" a="1"/>
  <c r="AF144" i="1" a="1"/>
  <c r="AG157" i="1"/>
  <c r="AF144" i="1"/>
  <c r="AG144" i="1" a="1"/>
  <c r="AL134" i="1" a="1"/>
  <c r="AG144" i="1"/>
  <c r="AL134" i="1"/>
  <c r="AM134" i="1" a="1"/>
  <c r="AF160" i="1" a="1"/>
  <c r="AM134" i="1"/>
  <c r="AF160" i="1"/>
  <c r="AG160" i="1" a="1"/>
  <c r="AF191" i="1" a="1"/>
  <c r="AG160" i="1"/>
  <c r="AF191" i="1"/>
  <c r="AG191" i="1" a="1"/>
  <c r="AL337" i="1" a="1"/>
  <c r="AG191" i="1"/>
  <c r="AL337" i="1"/>
  <c r="AM337" i="1" a="1"/>
  <c r="AL306" i="1" a="1"/>
  <c r="AM337" i="1"/>
  <c r="AL306" i="1"/>
  <c r="AM306" i="1" a="1"/>
  <c r="AL190" i="1" a="1"/>
  <c r="AM306" i="1"/>
  <c r="AL190" i="1"/>
  <c r="AM190" i="1" a="1"/>
  <c r="AF125" i="1" a="1"/>
  <c r="AM190" i="1"/>
  <c r="AF125" i="1"/>
  <c r="AG125" i="1" a="1"/>
  <c r="AL163" i="1" a="1"/>
  <c r="AG125" i="1"/>
  <c r="AL163" i="1"/>
  <c r="AM163" i="1" a="1"/>
  <c r="AL28" i="1" a="1"/>
  <c r="AM163" i="1"/>
  <c r="AL28" i="1"/>
  <c r="AM28" i="1" a="1"/>
  <c r="AF101" i="1" a="1"/>
  <c r="AM28" i="1"/>
  <c r="AF101" i="1"/>
  <c r="AG101" i="1" a="1"/>
  <c r="AF238" i="1" a="1"/>
  <c r="AG101" i="1"/>
  <c r="AF238" i="1"/>
  <c r="AG238" i="1" a="1"/>
  <c r="AF82" i="1" a="1"/>
  <c r="AG238" i="1"/>
  <c r="AF82" i="1"/>
  <c r="AG82" i="1" a="1"/>
  <c r="AL111" i="1" a="1"/>
  <c r="AG82" i="1"/>
  <c r="AL111" i="1"/>
  <c r="AM111" i="1" a="1"/>
  <c r="AL373" i="1" a="1"/>
  <c r="AM111" i="1"/>
  <c r="AL373" i="1"/>
  <c r="AM373" i="1" a="1"/>
  <c r="AF232" i="1" a="1"/>
  <c r="AM373" i="1"/>
  <c r="AF232" i="1"/>
  <c r="AG232" i="1" a="1"/>
  <c r="AF27" i="1" a="1"/>
  <c r="AG232" i="1"/>
  <c r="AF27" i="1"/>
  <c r="AG27" i="1" a="1"/>
  <c r="AF32" i="1" a="1"/>
  <c r="AG27" i="1"/>
  <c r="AF32" i="1"/>
  <c r="AG32" i="1" a="1"/>
  <c r="AL99" i="1" a="1"/>
  <c r="AG32" i="1"/>
  <c r="AL99" i="1"/>
  <c r="AM99" i="1" a="1"/>
  <c r="AL165" i="1" a="1"/>
  <c r="AM99" i="1"/>
  <c r="AL165" i="1"/>
  <c r="AM165" i="1" a="1"/>
  <c r="AL191" i="1" a="1"/>
  <c r="AM165" i="1"/>
  <c r="AL191" i="1"/>
  <c r="AM191" i="1" a="1"/>
  <c r="AL25" i="1" a="1"/>
  <c r="AM191" i="1"/>
  <c r="AL25" i="1"/>
  <c r="AM25" i="1" a="1"/>
  <c r="AF190" i="1" a="1"/>
  <c r="AM25" i="1"/>
  <c r="AF190" i="1"/>
  <c r="AG190" i="1" a="1"/>
  <c r="AL67" i="1" a="1"/>
  <c r="AG190" i="1"/>
  <c r="AL67" i="1"/>
  <c r="AM67" i="1" a="1"/>
  <c r="AL37" i="1" a="1"/>
  <c r="AM67" i="1"/>
  <c r="AL37" i="1"/>
  <c r="AM37" i="1" a="1"/>
  <c r="AL119" i="1" a="1"/>
  <c r="AM37" i="1"/>
  <c r="AL119" i="1"/>
  <c r="AM119" i="1" a="1"/>
  <c r="AL357" i="1" a="1"/>
  <c r="AM119" i="1"/>
  <c r="AL357" i="1"/>
  <c r="AM357" i="1" a="1"/>
  <c r="AL365" i="1" a="1"/>
  <c r="AM357" i="1"/>
  <c r="AL365" i="1"/>
  <c r="AM365" i="1" a="1"/>
  <c r="AL382" i="1" a="1"/>
  <c r="AM365" i="1"/>
  <c r="AL382" i="1"/>
  <c r="AM382" i="1" a="1"/>
  <c r="AF316" i="1" a="1"/>
  <c r="AM382" i="1"/>
  <c r="AF316" i="1"/>
  <c r="AG316" i="1" a="1"/>
  <c r="AF291" i="1" a="1"/>
  <c r="AG316" i="1"/>
  <c r="AF291" i="1"/>
  <c r="AG291" i="1" a="1"/>
  <c r="AF344" i="1" a="1"/>
  <c r="AG291" i="1"/>
  <c r="AF344" i="1"/>
  <c r="AG344" i="1" a="1"/>
  <c r="AF325" i="1" a="1"/>
  <c r="AG344" i="1"/>
  <c r="AF325" i="1"/>
  <c r="AG325" i="1" a="1"/>
  <c r="AF337" i="1" a="1"/>
  <c r="AG325" i="1"/>
  <c r="AF337" i="1"/>
  <c r="AG337" i="1" a="1"/>
  <c r="AL264" i="1" a="1"/>
  <c r="AG337" i="1"/>
  <c r="AL264" i="1"/>
  <c r="AM264" i="1" a="1"/>
  <c r="AF296" i="1" a="1"/>
  <c r="AM264" i="1"/>
  <c r="AF296" i="1"/>
  <c r="AG296" i="1" a="1"/>
  <c r="AL272" i="1" a="1"/>
  <c r="AG296" i="1"/>
  <c r="AL272" i="1"/>
  <c r="AM272" i="1" a="1"/>
  <c r="AF124" i="1" a="1"/>
  <c r="AM272" i="1"/>
  <c r="AF124" i="1"/>
  <c r="AG124" i="1" a="1"/>
  <c r="AF46" i="1" a="1"/>
  <c r="AG124" i="1"/>
  <c r="AF46" i="1"/>
  <c r="AG46" i="1" a="1"/>
  <c r="AF255" i="1" a="1"/>
  <c r="AG46" i="1"/>
  <c r="AF255" i="1"/>
  <c r="AG255" i="1" a="1"/>
  <c r="AL299" i="1" a="1"/>
  <c r="AG255" i="1"/>
  <c r="AL299" i="1"/>
  <c r="AM299" i="1" a="1"/>
  <c r="AF29" i="1" a="1"/>
  <c r="AM299" i="1"/>
  <c r="AF29" i="1"/>
  <c r="AG29" i="1" a="1"/>
  <c r="AF290" i="1" a="1"/>
  <c r="AG29" i="1"/>
  <c r="AF290" i="1"/>
  <c r="AG290" i="1" a="1"/>
  <c r="AF212" i="1" a="1"/>
  <c r="AG290" i="1"/>
  <c r="AF212" i="1"/>
  <c r="AG212" i="1" a="1"/>
  <c r="AF271" i="1" a="1"/>
  <c r="AG212" i="1"/>
  <c r="AF271" i="1"/>
  <c r="AG271" i="1" a="1"/>
  <c r="AF360" i="1" a="1"/>
  <c r="AG271" i="1"/>
  <c r="AF360" i="1"/>
  <c r="AG360" i="1" a="1"/>
  <c r="AF235" i="1" a="1"/>
  <c r="AG360" i="1"/>
  <c r="AF235" i="1"/>
  <c r="AG235" i="1" a="1"/>
  <c r="AF250" i="1" a="1"/>
  <c r="AG235" i="1"/>
  <c r="AF250" i="1"/>
  <c r="AG250" i="1" a="1"/>
  <c r="AL61" i="1" a="1"/>
  <c r="AG250" i="1"/>
  <c r="AL61" i="1"/>
  <c r="AM61" i="1" a="1"/>
  <c r="AF173" i="1" a="1"/>
  <c r="AM61" i="1"/>
  <c r="AF173" i="1"/>
  <c r="AG173" i="1" a="1"/>
  <c r="AF45" i="1" a="1"/>
  <c r="AG173" i="1"/>
  <c r="AF45" i="1"/>
  <c r="AG45" i="1" a="1"/>
  <c r="AL221" i="1" a="1"/>
  <c r="AG45" i="1"/>
  <c r="AL221" i="1"/>
  <c r="AM221" i="1" a="1"/>
  <c r="AF138" i="1" a="1"/>
  <c r="AM221" i="1"/>
  <c r="AF138" i="1"/>
  <c r="AG138" i="1" a="1"/>
  <c r="AF83" i="1" a="1"/>
  <c r="AG138" i="1"/>
  <c r="AF83" i="1"/>
  <c r="AG83" i="1" a="1"/>
  <c r="AL69" i="1" a="1"/>
  <c r="AG83" i="1"/>
  <c r="AL69" i="1"/>
  <c r="AM69" i="1" a="1"/>
  <c r="AL208" i="1" a="1"/>
  <c r="AM69" i="1"/>
  <c r="AL208" i="1"/>
  <c r="AM208" i="1" a="1"/>
  <c r="AL317" i="1" a="1"/>
  <c r="AM208" i="1"/>
  <c r="AL317" i="1"/>
  <c r="AM317" i="1" a="1"/>
  <c r="AL92" i="1" a="1"/>
  <c r="AM317" i="1"/>
  <c r="AL92" i="1"/>
  <c r="AM92" i="1" a="1"/>
  <c r="AF372" i="1" a="1"/>
  <c r="AM92" i="1"/>
  <c r="AF372" i="1"/>
  <c r="AG372" i="1" a="1"/>
  <c r="AF289" i="1" a="1"/>
  <c r="AG372" i="1"/>
  <c r="AF289" i="1"/>
  <c r="AG289" i="1" a="1"/>
  <c r="AL329" i="1" a="1"/>
  <c r="AG289" i="1"/>
  <c r="AL329" i="1"/>
  <c r="AM329" i="1" a="1"/>
  <c r="AL97" i="1" a="1"/>
  <c r="AM329" i="1"/>
  <c r="AL97" i="1"/>
  <c r="AM97" i="1" a="1"/>
  <c r="AL283" i="1" a="1"/>
  <c r="AM97" i="1"/>
  <c r="AL283" i="1"/>
  <c r="AM283" i="1" a="1"/>
  <c r="AF345" i="1" a="1"/>
  <c r="AM283" i="1"/>
  <c r="AF345" i="1"/>
  <c r="AG345" i="1" a="1"/>
  <c r="AL336" i="1" a="1"/>
  <c r="AG345" i="1"/>
  <c r="AL336" i="1"/>
  <c r="AM336" i="1" a="1"/>
  <c r="AF385" i="1" a="1"/>
  <c r="AM336" i="1"/>
  <c r="AF385" i="1"/>
  <c r="AG385" i="1" a="1"/>
  <c r="AF77" i="1" a="1"/>
  <c r="AG385" i="1"/>
  <c r="AF77" i="1"/>
  <c r="AG77" i="1" a="1"/>
  <c r="AL259" i="1" a="1"/>
  <c r="AG77" i="1"/>
  <c r="AL259" i="1"/>
  <c r="AM259" i="1" a="1"/>
  <c r="AL353" i="1" a="1"/>
  <c r="AM259" i="1"/>
  <c r="AL353" i="1"/>
  <c r="AM353" i="1" a="1"/>
  <c r="AL301" i="1" a="1"/>
  <c r="AM353" i="1"/>
  <c r="AL301" i="1"/>
  <c r="AM301" i="1" a="1"/>
  <c r="AF384" i="1" a="1"/>
  <c r="AM301" i="1"/>
  <c r="AF384" i="1"/>
  <c r="AG384" i="1" a="1"/>
  <c r="AF234" i="1" a="1"/>
  <c r="AG384" i="1"/>
  <c r="AF234" i="1"/>
  <c r="AG234" i="1" a="1"/>
  <c r="AL309" i="1" a="1"/>
  <c r="AG234" i="1"/>
  <c r="AL309" i="1"/>
  <c r="AM309" i="1" a="1"/>
  <c r="AF243" i="1" a="1"/>
  <c r="AM309" i="1"/>
  <c r="AF243" i="1"/>
  <c r="AG243" i="1" a="1"/>
  <c r="AF317" i="1" a="1"/>
  <c r="AG243" i="1"/>
  <c r="AF317" i="1"/>
  <c r="AG317" i="1" a="1"/>
  <c r="AF276" i="1" a="1"/>
  <c r="AG317" i="1"/>
  <c r="AF276" i="1"/>
  <c r="AG276" i="1" a="1"/>
  <c r="AF248" i="1" a="1"/>
  <c r="AG276" i="1"/>
  <c r="AF248" i="1"/>
  <c r="AG248" i="1" a="1"/>
  <c r="AF263" i="1" a="1"/>
  <c r="AG248" i="1"/>
  <c r="AF263" i="1"/>
  <c r="AG263" i="1" a="1"/>
  <c r="AL263" i="1" a="1"/>
  <c r="AG263" i="1"/>
  <c r="AL263" i="1"/>
  <c r="AM263" i="1" a="1"/>
  <c r="AF72" i="1" a="1"/>
  <c r="AM263" i="1"/>
  <c r="AF72" i="1"/>
  <c r="AG72" i="1" a="1"/>
  <c r="AF198" i="1" a="1"/>
  <c r="AG72" i="1"/>
  <c r="AF198" i="1"/>
  <c r="AG198" i="1" a="1"/>
  <c r="AL199" i="1" a="1"/>
  <c r="AG198" i="1"/>
  <c r="AL199" i="1"/>
  <c r="AM199" i="1" a="1"/>
  <c r="AF389" i="1" a="1"/>
  <c r="AM199" i="1"/>
  <c r="AF389" i="1"/>
  <c r="AG389" i="1" a="1"/>
  <c r="AF373" i="1" a="1"/>
  <c r="AG389" i="1"/>
  <c r="AF373" i="1"/>
  <c r="AG373" i="1" a="1"/>
  <c r="AL31" i="1" a="1"/>
  <c r="AG373" i="1"/>
  <c r="AL31" i="1"/>
  <c r="AM31" i="1" a="1"/>
  <c r="AL239" i="1" a="1"/>
  <c r="AM31" i="1"/>
  <c r="AL239" i="1"/>
  <c r="AM239" i="1" a="1"/>
  <c r="AL34" i="1" a="1"/>
  <c r="AM239" i="1"/>
  <c r="AL34" i="1"/>
  <c r="AM34" i="1" a="1"/>
  <c r="AF366" i="1" a="1"/>
  <c r="AM34" i="1"/>
  <c r="AF366" i="1"/>
  <c r="AG366" i="1" a="1"/>
  <c r="AL50" i="1" a="1"/>
  <c r="AG366" i="1"/>
  <c r="AL50" i="1"/>
  <c r="AM50" i="1" a="1"/>
  <c r="AF352" i="1" a="1"/>
  <c r="AM50" i="1"/>
  <c r="AF352" i="1"/>
  <c r="AG352" i="1" a="1"/>
  <c r="AL85" i="1" a="1"/>
  <c r="AG352" i="1"/>
  <c r="AL85" i="1"/>
  <c r="AM85" i="1" a="1"/>
  <c r="AL106" i="1" a="1"/>
  <c r="AM85" i="1"/>
  <c r="AL106" i="1"/>
  <c r="AM106" i="1" a="1"/>
  <c r="AL62" i="1" a="1"/>
  <c r="AM106" i="1"/>
  <c r="AL62" i="1"/>
  <c r="AM62" i="1" a="1"/>
  <c r="AL130" i="1" a="1"/>
  <c r="AM62" i="1"/>
  <c r="AL130" i="1"/>
  <c r="AM130" i="1" a="1"/>
  <c r="AL59" i="1" a="1"/>
  <c r="AM130" i="1"/>
  <c r="AL59" i="1"/>
  <c r="AM59" i="1" a="1"/>
  <c r="AL68" i="1" a="1"/>
  <c r="AM59" i="1"/>
  <c r="AL68" i="1"/>
  <c r="AM68" i="1" a="1"/>
  <c r="AF116" i="1" a="1"/>
  <c r="AM68" i="1"/>
  <c r="AF116" i="1"/>
  <c r="AG116" i="1" a="1"/>
  <c r="AF214" i="1" a="1"/>
  <c r="AG116" i="1"/>
  <c r="AF214" i="1"/>
  <c r="AG214" i="1" a="1"/>
  <c r="AF336" i="1" a="1"/>
  <c r="AG214" i="1"/>
  <c r="AF336" i="1"/>
  <c r="AG336" i="1" a="1"/>
  <c r="AL52" i="1" a="1"/>
  <c r="AG336" i="1"/>
  <c r="AL52" i="1"/>
  <c r="AM52" i="1" a="1"/>
  <c r="AF196" i="1" a="1"/>
  <c r="AM52" i="1"/>
  <c r="AF196" i="1"/>
  <c r="AG196" i="1" a="1"/>
  <c r="AF50" i="1" a="1"/>
  <c r="AG196" i="1"/>
  <c r="AF50" i="1"/>
  <c r="AG50" i="1" a="1"/>
  <c r="AF318" i="1" a="1"/>
  <c r="AG50" i="1"/>
  <c r="AF318" i="1"/>
  <c r="AG318" i="1" a="1"/>
  <c r="AL231" i="1" a="1"/>
  <c r="AG318" i="1"/>
  <c r="AL231" i="1"/>
  <c r="AM231" i="1" a="1"/>
  <c r="AF350" i="1" a="1"/>
  <c r="AM231" i="1"/>
  <c r="AF350" i="1"/>
  <c r="AG350" i="1" a="1"/>
  <c r="AF280" i="1" a="1"/>
  <c r="AG350" i="1"/>
  <c r="AF280" i="1"/>
  <c r="AG280" i="1" a="1"/>
  <c r="AL313" i="1" a="1"/>
  <c r="AG280" i="1"/>
  <c r="AL313" i="1"/>
  <c r="AM313" i="1" a="1"/>
  <c r="AF327" i="1" a="1"/>
  <c r="AM313" i="1"/>
  <c r="AF327" i="1"/>
  <c r="AG327" i="1" a="1"/>
  <c r="AL287" i="1" a="1"/>
  <c r="AG327" i="1"/>
  <c r="AL287" i="1"/>
  <c r="AM287" i="1" a="1"/>
  <c r="AL297" i="1" a="1"/>
  <c r="AM287" i="1"/>
  <c r="AL297" i="1"/>
  <c r="AM297" i="1" a="1"/>
  <c r="AL345" i="1" a="1"/>
  <c r="AM297" i="1"/>
  <c r="AL345" i="1"/>
  <c r="AM345" i="1" a="1"/>
  <c r="AF326" i="1" a="1"/>
  <c r="AM345" i="1"/>
  <c r="AF326" i="1"/>
  <c r="AG326" i="1" a="1"/>
  <c r="AL250" i="1" a="1"/>
  <c r="AG326" i="1"/>
  <c r="AL250" i="1"/>
  <c r="AM250" i="1" a="1"/>
  <c r="AL180" i="1" a="1"/>
  <c r="AM250" i="1"/>
  <c r="AL180" i="1"/>
  <c r="AM180" i="1" a="1"/>
  <c r="AF265" i="1" a="1"/>
  <c r="AM180" i="1"/>
  <c r="AF265" i="1"/>
  <c r="AG265" i="1" a="1"/>
  <c r="AL236" i="1" a="1"/>
  <c r="AG265" i="1"/>
  <c r="AL236" i="1"/>
  <c r="AM236" i="1" a="1"/>
  <c r="AF122" i="1" a="1"/>
  <c r="AM236" i="1"/>
  <c r="AF122" i="1"/>
  <c r="AG122" i="1" a="1"/>
  <c r="AL162" i="1" a="1"/>
  <c r="AG122" i="1"/>
  <c r="AL162" i="1"/>
  <c r="AM162" i="1" a="1"/>
  <c r="AL136" i="1" a="1"/>
  <c r="AM162" i="1"/>
  <c r="AL136" i="1"/>
  <c r="AM136" i="1" a="1"/>
  <c r="AF81" i="1" a="1"/>
  <c r="AM136" i="1"/>
  <c r="AF81" i="1"/>
  <c r="AG81" i="1" a="1"/>
  <c r="AL381" i="1" a="1"/>
  <c r="AG81" i="1"/>
  <c r="AL381" i="1"/>
  <c r="AM381" i="1" a="1"/>
  <c r="AF100" i="1" a="1"/>
  <c r="AM381" i="1"/>
  <c r="AF100" i="1"/>
  <c r="AG100" i="1" a="1"/>
  <c r="AF147" i="1" a="1"/>
  <c r="AG100" i="1"/>
  <c r="AF147" i="1"/>
  <c r="AG147" i="1" a="1"/>
  <c r="AL117" i="1" a="1"/>
  <c r="AG147" i="1"/>
  <c r="AL117" i="1"/>
  <c r="AM117" i="1" a="1"/>
  <c r="AF391" i="1" a="1"/>
  <c r="AM117" i="1"/>
  <c r="AF391" i="1"/>
  <c r="AG391" i="1" a="1"/>
  <c r="AL58" i="1" a="1"/>
  <c r="AG391" i="1"/>
  <c r="AL58" i="1"/>
  <c r="AM58" i="1" a="1"/>
  <c r="AL109" i="1" a="1"/>
  <c r="AM58" i="1"/>
  <c r="AL109" i="1"/>
  <c r="AM109" i="1" a="1"/>
  <c r="AL335" i="1" a="1"/>
  <c r="AM109" i="1"/>
  <c r="AL335" i="1"/>
  <c r="AM335" i="1" a="1"/>
  <c r="AL374" i="1" a="1"/>
  <c r="AM335" i="1"/>
  <c r="AL374" i="1"/>
  <c r="AM374" i="1" a="1"/>
  <c r="AL364" i="1" a="1"/>
  <c r="AM374" i="1"/>
  <c r="AL364" i="1"/>
  <c r="AM364" i="1" a="1"/>
  <c r="AL123" i="1" a="1"/>
  <c r="AM364" i="1"/>
  <c r="AL123" i="1"/>
  <c r="AM123" i="1" a="1"/>
  <c r="AL43" i="1" a="1"/>
  <c r="AM123" i="1"/>
  <c r="AL43" i="1"/>
  <c r="AM43" i="1" a="1"/>
  <c r="AL87" i="1" a="1"/>
  <c r="AM43" i="1"/>
  <c r="AL87" i="1"/>
  <c r="AM87" i="1" a="1"/>
  <c r="AF261" i="1" a="1"/>
  <c r="AM87" i="1"/>
  <c r="AF261" i="1"/>
  <c r="AG261" i="1" a="1"/>
  <c r="AL245" i="1" a="1"/>
  <c r="AG261" i="1"/>
  <c r="AL245" i="1"/>
  <c r="AM245" i="1" a="1"/>
  <c r="AF221" i="1" a="1"/>
  <c r="AM245" i="1"/>
  <c r="AF221" i="1"/>
  <c r="AG221" i="1" a="1"/>
  <c r="AL355" i="1" a="1"/>
  <c r="AG221" i="1"/>
  <c r="AL355" i="1"/>
  <c r="AM355" i="1" a="1"/>
  <c r="AL230" i="1" a="1"/>
  <c r="AM355" i="1"/>
  <c r="AL230" i="1"/>
  <c r="AM230" i="1" a="1"/>
  <c r="AF207" i="1" a="1"/>
  <c r="AM230" i="1"/>
  <c r="AF207" i="1"/>
  <c r="AG207" i="1" a="1"/>
  <c r="AL207" i="1" a="1"/>
  <c r="AG207" i="1"/>
  <c r="AL207" i="1"/>
  <c r="AM207" i="1" a="1"/>
  <c r="AL194" i="1" a="1"/>
  <c r="AM207" i="1"/>
  <c r="AL194" i="1"/>
  <c r="AM194" i="1" a="1"/>
  <c r="AF158" i="1" a="1"/>
  <c r="AM194" i="1"/>
  <c r="AF158" i="1"/>
  <c r="AG158" i="1" a="1"/>
  <c r="AF97" i="1" a="1"/>
  <c r="AG158" i="1"/>
  <c r="AF97" i="1"/>
  <c r="AG97" i="1" a="1"/>
  <c r="AL187" i="1" a="1"/>
  <c r="AG97" i="1"/>
  <c r="AL187" i="1"/>
  <c r="AM187" i="1" a="1"/>
  <c r="AL26" i="1" a="1"/>
  <c r="AM187" i="1"/>
  <c r="AL26" i="1"/>
  <c r="AM26" i="1" a="1"/>
  <c r="AF364" i="1" a="1"/>
  <c r="AM26" i="1"/>
  <c r="AF364" i="1"/>
  <c r="AG364" i="1" a="1"/>
  <c r="AF63" i="1" a="1"/>
  <c r="AG364" i="1"/>
  <c r="AF63" i="1"/>
  <c r="AG63" i="1" a="1"/>
  <c r="AF310" i="1" a="1"/>
  <c r="AG63" i="1"/>
  <c r="AF310" i="1"/>
  <c r="AG310" i="1" a="1"/>
  <c r="AF169" i="1" a="1"/>
  <c r="AG310" i="1"/>
  <c r="AF169" i="1"/>
  <c r="AG169" i="1" a="1"/>
  <c r="AL371" i="1" a="1"/>
  <c r="AG169" i="1"/>
  <c r="AL371" i="1"/>
  <c r="AM371" i="1" a="1"/>
  <c r="AF315" i="1" a="1"/>
  <c r="AM371" i="1"/>
  <c r="AF315" i="1"/>
  <c r="AG315" i="1" a="1"/>
  <c r="AL125" i="1" a="1"/>
  <c r="AG315" i="1"/>
  <c r="AL125" i="1"/>
  <c r="AM125" i="1" a="1"/>
  <c r="AL289" i="1" a="1"/>
  <c r="AM125" i="1"/>
  <c r="AL289" i="1"/>
  <c r="AM289" i="1" a="1"/>
  <c r="AL77" i="1" a="1"/>
  <c r="AM289" i="1"/>
  <c r="AL77" i="1"/>
  <c r="AM77" i="1" a="1"/>
  <c r="AL172" i="1" a="1"/>
  <c r="AM77" i="1"/>
  <c r="AL172" i="1"/>
  <c r="AM172" i="1" a="1"/>
  <c r="AL281" i="1" a="1"/>
  <c r="AM172" i="1"/>
  <c r="AL281" i="1"/>
  <c r="AM281" i="1" a="1"/>
  <c r="AL298" i="1" a="1"/>
  <c r="AM281" i="1"/>
  <c r="AL298" i="1"/>
  <c r="AM298" i="1" a="1"/>
  <c r="AL246" i="1" a="1"/>
  <c r="AM298" i="1"/>
  <c r="AL246" i="1"/>
  <c r="AM246" i="1" a="1"/>
  <c r="AL118" i="1" a="1"/>
  <c r="AM246" i="1"/>
  <c r="AL118" i="1"/>
  <c r="AM118" i="1" a="1"/>
  <c r="AL157" i="1" a="1"/>
  <c r="AM118" i="1"/>
  <c r="AL157" i="1"/>
  <c r="AM157" i="1" a="1"/>
  <c r="AL271" i="1" a="1"/>
  <c r="AM157" i="1"/>
  <c r="AL271" i="1"/>
  <c r="AM271" i="1" a="1"/>
  <c r="AF164" i="1" a="1"/>
  <c r="AM271" i="1"/>
  <c r="AF164" i="1"/>
  <c r="AG164" i="1" a="1"/>
  <c r="AF133" i="1" a="1"/>
  <c r="AG164" i="1"/>
  <c r="AF133" i="1"/>
  <c r="AG133" i="1" a="1"/>
  <c r="AL255" i="1" a="1"/>
  <c r="AG133" i="1"/>
  <c r="AL255" i="1"/>
  <c r="AM255" i="1" a="1"/>
  <c r="AL147" i="1" a="1"/>
  <c r="AM255" i="1"/>
  <c r="AL147" i="1"/>
  <c r="AM147" i="1" a="1"/>
  <c r="AF259" i="1" a="1"/>
  <c r="AM147" i="1"/>
  <c r="AF259" i="1"/>
  <c r="AG259" i="1" a="1"/>
  <c r="AF92" i="1" a="1"/>
  <c r="AG259" i="1"/>
  <c r="AF92" i="1"/>
  <c r="AG92" i="1" a="1"/>
  <c r="AF394" i="1" a="1"/>
  <c r="AG92" i="1"/>
  <c r="AF394" i="1"/>
  <c r="AG394" i="1" a="1"/>
  <c r="AL86" i="1" a="1"/>
  <c r="AG394" i="1"/>
  <c r="AL86" i="1"/>
  <c r="AM86" i="1" a="1"/>
  <c r="AF36" i="1" a="1"/>
  <c r="AM86" i="1"/>
  <c r="AF36" i="1"/>
  <c r="AG36" i="1" a="1"/>
  <c r="AL385" i="1" a="1"/>
  <c r="AG36" i="1"/>
  <c r="AL385" i="1"/>
  <c r="AM385" i="1" a="1"/>
  <c r="AL350" i="1" a="1"/>
  <c r="AM385" i="1"/>
  <c r="AL350" i="1"/>
  <c r="AM350" i="1" a="1"/>
  <c r="AF339" i="1" a="1"/>
  <c r="AM350" i="1"/>
  <c r="AF339" i="1"/>
  <c r="AG339" i="1" a="1"/>
  <c r="AF335" i="1" a="1"/>
  <c r="AG339" i="1"/>
  <c r="AF335" i="1"/>
  <c r="AG335" i="1" a="1"/>
  <c r="AF227" i="1" a="1"/>
  <c r="AG335" i="1"/>
  <c r="AF227" i="1"/>
  <c r="AG227" i="1" a="1"/>
  <c r="AF211" i="1" a="1"/>
  <c r="AG227" i="1"/>
  <c r="AF211" i="1"/>
  <c r="AG211" i="1" a="1"/>
  <c r="AL90" i="1" a="1"/>
  <c r="AG211" i="1"/>
  <c r="AL90" i="1"/>
  <c r="AM90" i="1" a="1"/>
  <c r="AF115" i="1" a="1"/>
  <c r="AM90" i="1"/>
  <c r="AF115" i="1"/>
  <c r="AG115" i="1" a="1"/>
  <c r="AF197" i="1" a="1"/>
  <c r="AG115" i="1"/>
  <c r="AF197" i="1"/>
  <c r="AG197" i="1" a="1"/>
  <c r="AF224" i="1" a="1"/>
  <c r="AG197" i="1"/>
  <c r="AF224" i="1"/>
  <c r="AG224" i="1" a="1"/>
  <c r="AF213" i="1" a="1"/>
  <c r="AG224" i="1"/>
  <c r="AF213" i="1"/>
  <c r="AG213" i="1" a="1"/>
  <c r="AL282" i="1" a="1"/>
  <c r="AG213" i="1"/>
  <c r="AL282" i="1"/>
  <c r="AM282" i="1" a="1"/>
  <c r="AL133" i="1" a="1"/>
  <c r="AM282" i="1"/>
  <c r="AL133" i="1"/>
  <c r="AM133" i="1" a="1"/>
  <c r="AL178" i="1" a="1"/>
  <c r="AM133" i="1"/>
  <c r="AL178" i="1"/>
  <c r="AM178" i="1" a="1"/>
  <c r="AF200" i="1" a="1"/>
  <c r="AM178" i="1"/>
  <c r="AF200" i="1"/>
  <c r="AG200" i="1" a="1"/>
  <c r="AF37" i="1" a="1"/>
  <c r="AG200" i="1"/>
  <c r="AF37" i="1"/>
  <c r="AG37" i="1" a="1"/>
  <c r="AL327" i="1" a="1"/>
  <c r="AG37" i="1"/>
  <c r="AL327" i="1"/>
  <c r="AM327" i="1" a="1"/>
  <c r="AF84" i="1" a="1"/>
  <c r="AM327" i="1"/>
  <c r="AF84" i="1"/>
  <c r="AG84" i="1" a="1"/>
  <c r="AF102" i="1" a="1"/>
  <c r="AG84" i="1"/>
  <c r="AF102" i="1"/>
  <c r="AG102" i="1" a="1"/>
  <c r="AF71" i="1" a="1"/>
  <c r="AG102" i="1"/>
  <c r="AF71" i="1"/>
  <c r="AG71" i="1" a="1"/>
  <c r="AF181" i="1" a="1"/>
  <c r="AG71" i="1"/>
  <c r="AF181" i="1"/>
  <c r="AG181" i="1" a="1"/>
  <c r="AF107" i="1" a="1"/>
  <c r="AG181" i="1"/>
  <c r="AF107" i="1"/>
  <c r="AG107" i="1" a="1"/>
  <c r="AL42" i="1" a="1"/>
  <c r="AG107" i="1"/>
  <c r="AL42" i="1"/>
  <c r="AM42" i="1" a="1"/>
  <c r="AF362" i="1" a="1"/>
  <c r="AM42" i="1"/>
  <c r="AF362" i="1"/>
  <c r="AG362" i="1" a="1"/>
  <c r="AF257" i="1" a="1"/>
  <c r="AG362" i="1"/>
  <c r="AF257" i="1"/>
  <c r="AG257" i="1" a="1"/>
  <c r="AL44" i="1" a="1"/>
  <c r="AG257" i="1"/>
  <c r="AL44" i="1"/>
  <c r="AM44" i="1" a="1"/>
  <c r="AL370" i="1" a="1"/>
  <c r="AM44" i="1"/>
  <c r="AL370" i="1"/>
  <c r="AM370" i="1" a="1"/>
  <c r="AF392" i="1" a="1"/>
  <c r="AM370" i="1"/>
  <c r="AF392" i="1"/>
  <c r="AG392" i="1" a="1"/>
  <c r="AF269" i="1" a="1"/>
  <c r="AG392" i="1"/>
  <c r="AF269" i="1"/>
  <c r="AG269" i="1" a="1"/>
  <c r="AF254" i="1" a="1"/>
  <c r="AG269" i="1"/>
  <c r="AF254" i="1"/>
  <c r="AG254" i="1" a="1"/>
  <c r="AL321" i="1" a="1"/>
  <c r="AG254" i="1"/>
  <c r="AL321" i="1"/>
  <c r="AM321" i="1" a="1"/>
  <c r="AL310" i="1" a="1"/>
  <c r="AM321" i="1"/>
  <c r="AL310" i="1"/>
  <c r="AM310" i="1" a="1"/>
  <c r="AF298" i="1" a="1"/>
  <c r="AM310" i="1"/>
  <c r="AF298" i="1"/>
  <c r="AG298" i="1" a="1"/>
  <c r="AF281" i="1" a="1"/>
  <c r="AG298" i="1"/>
  <c r="AF281" i="1"/>
  <c r="AG281" i="1" a="1"/>
  <c r="AF256" i="1" a="1"/>
  <c r="AG281" i="1"/>
  <c r="AF256" i="1"/>
  <c r="AG256" i="1" a="1"/>
  <c r="AF61" i="1" a="1"/>
  <c r="AG256" i="1"/>
  <c r="AF61" i="1"/>
  <c r="AG61" i="1" a="1"/>
  <c r="AL383" i="1" a="1"/>
  <c r="AG61" i="1"/>
  <c r="AL383" i="1"/>
  <c r="AM383" i="1" a="1"/>
  <c r="AL65" i="1" a="1"/>
  <c r="AM383" i="1"/>
  <c r="AL65" i="1"/>
  <c r="AM65" i="1" a="1"/>
  <c r="AF242" i="1" a="1"/>
  <c r="AM65" i="1"/>
  <c r="AF242" i="1"/>
  <c r="AG242" i="1" a="1"/>
  <c r="AF156" i="1" a="1"/>
  <c r="AG242" i="1"/>
  <c r="AF156" i="1"/>
  <c r="AG156" i="1" a="1"/>
  <c r="AF309" i="1" a="1"/>
  <c r="AG156" i="1"/>
  <c r="AF309" i="1"/>
  <c r="AG309" i="1" a="1"/>
  <c r="AF347" i="1" a="1"/>
  <c r="AG309" i="1"/>
  <c r="AF347" i="1"/>
  <c r="AG347" i="1" a="1"/>
  <c r="AF220" i="1" a="1"/>
  <c r="AG347" i="1"/>
  <c r="AF220" i="1"/>
  <c r="AG220" i="1" a="1"/>
  <c r="AL102" i="1" a="1"/>
  <c r="AG220" i="1"/>
  <c r="AL102" i="1"/>
  <c r="AM102" i="1" a="1"/>
  <c r="AF54" i="1" a="1"/>
  <c r="AM102" i="1"/>
  <c r="AF54" i="1"/>
  <c r="AG54" i="1" a="1"/>
  <c r="AF93" i="1" a="1"/>
  <c r="AG54" i="1"/>
  <c r="AF93" i="1"/>
  <c r="AG93" i="1" a="1"/>
  <c r="AL82" i="1" a="1"/>
  <c r="AG93" i="1"/>
  <c r="AL82" i="1"/>
  <c r="AM82" i="1" a="1"/>
  <c r="AL66" i="1" a="1"/>
  <c r="AM82" i="1"/>
  <c r="AL66" i="1"/>
  <c r="AM66" i="1" a="1"/>
  <c r="AL202" i="1" a="1"/>
  <c r="AM66" i="1"/>
  <c r="AL202" i="1"/>
  <c r="AM202" i="1" a="1"/>
  <c r="AL108" i="1" a="1"/>
  <c r="AM202" i="1"/>
  <c r="AL108" i="1"/>
  <c r="AM108" i="1" a="1"/>
  <c r="AF146" i="1" a="1"/>
  <c r="AM108" i="1"/>
  <c r="AF146" i="1"/>
  <c r="AG146" i="1" a="1"/>
  <c r="AF53" i="1" a="1"/>
  <c r="AG146" i="1"/>
  <c r="AF53" i="1"/>
  <c r="AG53" i="1" a="1"/>
  <c r="AF74" i="1" a="1"/>
  <c r="AG53" i="1"/>
  <c r="AF74" i="1"/>
  <c r="AG74" i="1" a="1"/>
  <c r="AL95" i="1" a="1"/>
  <c r="AG74" i="1"/>
  <c r="AL95" i="1"/>
  <c r="AM95" i="1" a="1"/>
  <c r="AF35" i="1" a="1"/>
  <c r="AM95" i="1"/>
  <c r="AF35" i="1"/>
  <c r="AG35" i="1" a="1"/>
  <c r="AF142" i="1" a="1"/>
  <c r="AG35" i="1"/>
  <c r="AF142" i="1"/>
  <c r="AG142" i="1" a="1"/>
  <c r="AF87" i="1" a="1"/>
  <c r="AG142" i="1"/>
  <c r="AF87" i="1"/>
  <c r="AG87" i="1" a="1"/>
  <c r="AF67" i="1" a="1"/>
  <c r="AG87" i="1"/>
  <c r="AF67" i="1"/>
  <c r="AG67" i="1" a="1"/>
  <c r="AL84" i="1" a="1"/>
  <c r="AG67" i="1"/>
  <c r="AL84" i="1"/>
  <c r="AM84" i="1" a="1"/>
  <c r="AL36" i="1" a="1"/>
  <c r="AM84" i="1"/>
  <c r="AL36" i="1"/>
  <c r="AM36" i="1" a="1"/>
  <c r="AF99" i="1" a="1"/>
  <c r="AM36" i="1"/>
  <c r="AF99" i="1"/>
  <c r="AG99" i="1" a="1"/>
  <c r="AL253" i="1" a="1"/>
  <c r="AG99" i="1"/>
  <c r="AL253" i="1"/>
  <c r="AM253" i="1" a="1"/>
  <c r="AF236" i="1" a="1"/>
  <c r="AM253" i="1"/>
  <c r="AF236" i="1"/>
  <c r="AG236" i="1" a="1"/>
  <c r="AL33" i="1" a="1"/>
  <c r="AG236" i="1"/>
  <c r="AL33" i="1"/>
  <c r="AM33" i="1" a="1"/>
  <c r="AL206" i="1" a="1"/>
  <c r="AM33" i="1"/>
  <c r="AL206" i="1"/>
  <c r="AM206" i="1" a="1"/>
  <c r="AL332" i="1" a="1"/>
  <c r="AM206" i="1"/>
  <c r="AL332" i="1"/>
  <c r="AM332" i="1" a="1"/>
  <c r="AL286" i="1" a="1"/>
  <c r="AM332" i="1"/>
  <c r="AL286" i="1"/>
  <c r="AM286" i="1" a="1"/>
  <c r="AL40" i="1" a="1"/>
  <c r="AM286" i="1"/>
  <c r="AL40" i="1"/>
  <c r="AM40" i="1" a="1"/>
  <c r="AL284" i="1" a="1"/>
  <c r="AM40" i="1"/>
  <c r="AL284" i="1"/>
  <c r="AL220" i="1" a="1"/>
  <c r="AL220" i="1"/>
  <c r="AM220" i="1" a="1"/>
  <c r="AF186" i="1" a="1"/>
  <c r="AM220" i="1"/>
  <c r="AF186" i="1"/>
  <c r="AG186" i="1" a="1"/>
  <c r="AF137" i="1" a="1"/>
  <c r="AG186" i="1"/>
  <c r="AF137" i="1"/>
  <c r="AG137" i="1" a="1"/>
  <c r="AL352" i="1" a="1"/>
  <c r="AG137" i="1"/>
  <c r="AL352" i="1"/>
  <c r="AM352" i="1" a="1"/>
  <c r="AL131" i="1" a="1"/>
  <c r="AM352" i="1"/>
  <c r="AL131" i="1"/>
  <c r="AM131" i="1" a="1"/>
  <c r="AL122" i="1" a="1"/>
  <c r="AM131" i="1"/>
  <c r="AL122" i="1"/>
  <c r="AM122" i="1" a="1"/>
  <c r="AL184" i="1" a="1"/>
  <c r="AM122" i="1"/>
  <c r="AL184" i="1"/>
  <c r="AM184" i="1" a="1"/>
  <c r="AL74" i="1" a="1"/>
  <c r="AM184" i="1"/>
  <c r="AL74" i="1"/>
  <c r="AM74" i="1" a="1"/>
  <c r="AL158" i="1" a="1"/>
  <c r="AM74" i="1"/>
  <c r="AL158" i="1"/>
  <c r="AM158" i="1" a="1"/>
  <c r="AL173" i="1" a="1"/>
  <c r="AM158" i="1"/>
  <c r="AL173" i="1"/>
  <c r="AM173" i="1" a="1"/>
  <c r="AL177" i="1" a="1"/>
  <c r="AM173" i="1"/>
  <c r="AL177" i="1"/>
  <c r="AM177" i="1" a="1"/>
  <c r="AL41" i="1" a="1"/>
  <c r="AM177" i="1"/>
  <c r="AL41" i="1"/>
  <c r="AM41" i="1" a="1"/>
  <c r="AF110" i="1" a="1"/>
  <c r="AM41" i="1"/>
  <c r="AF110" i="1"/>
  <c r="AG110" i="1" a="1"/>
  <c r="AF95" i="1" a="1"/>
  <c r="AG110" i="1"/>
  <c r="AF95" i="1"/>
  <c r="AG95" i="1" a="1"/>
  <c r="AF28" i="1" a="1"/>
  <c r="AG95" i="1"/>
  <c r="AF28" i="1"/>
  <c r="AG28" i="1" a="1"/>
  <c r="AL146" i="1" a="1"/>
  <c r="AG28" i="1"/>
  <c r="AL146" i="1"/>
  <c r="AM146" i="1" a="1"/>
  <c r="AL54" i="1" a="1"/>
  <c r="AM146" i="1"/>
  <c r="AL54" i="1"/>
  <c r="AM54" i="1" a="1"/>
  <c r="AF68" i="1" a="1"/>
  <c r="AM54" i="1"/>
  <c r="AF68" i="1"/>
  <c r="AG68" i="1" a="1"/>
  <c r="AF143" i="1" a="1"/>
  <c r="AG68" i="1"/>
  <c r="AF143" i="1"/>
  <c r="AG143" i="1" a="1"/>
  <c r="AL145" i="1" a="1"/>
  <c r="AG143" i="1"/>
  <c r="AL145" i="1"/>
  <c r="AM145" i="1" a="1"/>
  <c r="AF73" i="1" a="1"/>
  <c r="AM145" i="1"/>
  <c r="AF73" i="1"/>
  <c r="AG73" i="1" a="1"/>
  <c r="AF283" i="1" a="1"/>
  <c r="AG73" i="1"/>
  <c r="AF283" i="1"/>
  <c r="AG283" i="1" a="1"/>
  <c r="AL171" i="1" a="1"/>
  <c r="AG283" i="1"/>
  <c r="AL171" i="1"/>
  <c r="AM171" i="1" a="1"/>
  <c r="AL38" i="1" a="1"/>
  <c r="AM171" i="1"/>
  <c r="AL38" i="1"/>
  <c r="AM38" i="1" a="1"/>
  <c r="AL80" i="1" a="1"/>
  <c r="AM38" i="1"/>
  <c r="AL80" i="1"/>
  <c r="AM80" i="1" a="1"/>
  <c r="AL176" i="1" a="1"/>
  <c r="AM80" i="1"/>
  <c r="AL176" i="1"/>
  <c r="AM176" i="1" a="1"/>
  <c r="AL39" i="1" a="1"/>
  <c r="AM176" i="1"/>
  <c r="AL39" i="1"/>
  <c r="AM39" i="1" a="1"/>
  <c r="AF356" i="1" a="1"/>
  <c r="AM39" i="1"/>
  <c r="AF356" i="1"/>
  <c r="AG356" i="1" a="1"/>
  <c r="AF311" i="1" a="1"/>
  <c r="AG356" i="1"/>
  <c r="AF311" i="1"/>
  <c r="AG311" i="1" a="1"/>
  <c r="AL344" i="1" a="1"/>
  <c r="AG311" i="1"/>
  <c r="AL344" i="1"/>
  <c r="AM344" i="1" a="1"/>
  <c r="AL372" i="1" a="1"/>
  <c r="AM344" i="1"/>
  <c r="AL372" i="1"/>
  <c r="AM372" i="1" a="1"/>
  <c r="AF383" i="1" a="1"/>
  <c r="AM372" i="1"/>
  <c r="AF383" i="1"/>
  <c r="AG383" i="1" a="1"/>
  <c r="AL288" i="1" a="1"/>
  <c r="AG383" i="1"/>
  <c r="AL288" i="1"/>
  <c r="AM288" i="1" a="1"/>
  <c r="AL394" i="1" a="1"/>
  <c r="AM288" i="1"/>
  <c r="AL394" i="1"/>
  <c r="AM394" i="1" a="1"/>
  <c r="AF374" i="1" a="1"/>
  <c r="AM394" i="1"/>
  <c r="AF374" i="1"/>
  <c r="AG374" i="1" a="1"/>
  <c r="AL334" i="1" a="1"/>
  <c r="AG374" i="1"/>
  <c r="AL334" i="1"/>
  <c r="AM334" i="1" a="1"/>
  <c r="AF361" i="1" a="1"/>
  <c r="AM334" i="1"/>
  <c r="AF361" i="1"/>
  <c r="AG361" i="1" a="1"/>
  <c r="AF266" i="1" a="1"/>
  <c r="AG361" i="1"/>
  <c r="AF266" i="1"/>
  <c r="AG266" i="1" a="1"/>
  <c r="AL211" i="1" a="1"/>
  <c r="AG266" i="1"/>
  <c r="AL211" i="1"/>
  <c r="AM211" i="1" a="1"/>
  <c r="AF222" i="1" a="1"/>
  <c r="AM211" i="1"/>
  <c r="AF222" i="1"/>
  <c r="AG222" i="1" a="1"/>
  <c r="AL261" i="1" a="1"/>
  <c r="AG222" i="1"/>
  <c r="AL261" i="1"/>
  <c r="AM261" i="1" a="1"/>
  <c r="AL285" i="1" a="1"/>
  <c r="AM261" i="1"/>
  <c r="AL285" i="1"/>
  <c r="AM285" i="1" a="1"/>
  <c r="AL292" i="1" a="1"/>
  <c r="AM285" i="1"/>
  <c r="AL292" i="1"/>
  <c r="AM292" i="1" a="1"/>
  <c r="AF226" i="1" a="1"/>
  <c r="AM292" i="1"/>
  <c r="AF226" i="1"/>
  <c r="AG226" i="1" a="1"/>
  <c r="AL243" i="1" a="1"/>
  <c r="AG226" i="1"/>
  <c r="AL243" i="1"/>
  <c r="AM243" i="1" a="1"/>
  <c r="AF275" i="1" a="1"/>
  <c r="AM243" i="1"/>
  <c r="AF275" i="1"/>
  <c r="AG275" i="1" a="1"/>
  <c r="AF185" i="1" a="1"/>
  <c r="AG275" i="1"/>
  <c r="AF185" i="1"/>
  <c r="AG185" i="1" a="1"/>
  <c r="AF136" i="1" a="1"/>
  <c r="AG185" i="1"/>
  <c r="AF136" i="1"/>
  <c r="AG136" i="1" a="1"/>
  <c r="AF106" i="1" a="1"/>
  <c r="AG136" i="1"/>
  <c r="AF106" i="1"/>
  <c r="AG106" i="1" a="1"/>
  <c r="AL305" i="1" a="1"/>
  <c r="AG106" i="1"/>
  <c r="AL305" i="1"/>
  <c r="AM305" i="1" a="1"/>
  <c r="AF161" i="1" a="1"/>
  <c r="AM305" i="1"/>
  <c r="AF161" i="1"/>
  <c r="AG161" i="1" a="1"/>
  <c r="AL247" i="1" a="1"/>
  <c r="AG161" i="1"/>
  <c r="AL247" i="1"/>
  <c r="AM247" i="1" a="1"/>
  <c r="AF65" i="1" a="1"/>
  <c r="AM247" i="1"/>
  <c r="AF65" i="1"/>
  <c r="AG65" i="1" a="1"/>
  <c r="AL384" i="1" a="1"/>
  <c r="AG65" i="1"/>
  <c r="AL384" i="1"/>
  <c r="AM384" i="1" a="1"/>
  <c r="AF183" i="1" a="1"/>
  <c r="AM384" i="1"/>
  <c r="AF183" i="1"/>
  <c r="AG183" i="1" a="1"/>
  <c r="AL218" i="1" a="1"/>
  <c r="AG183" i="1"/>
  <c r="AL218" i="1"/>
  <c r="AM218" i="1" a="1"/>
  <c r="AL324" i="1" a="1"/>
  <c r="AM218" i="1"/>
  <c r="AL324" i="1"/>
  <c r="AM324" i="1" a="1"/>
  <c r="AL195" i="1" a="1"/>
  <c r="AM324" i="1"/>
  <c r="AL195" i="1"/>
  <c r="AM195" i="1" a="1"/>
  <c r="AL167" i="1" a="1"/>
  <c r="AM195" i="1"/>
  <c r="AL167" i="1"/>
  <c r="AM167" i="1" a="1"/>
  <c r="AF41" i="1" a="1"/>
  <c r="AM167" i="1"/>
  <c r="AF41" i="1"/>
  <c r="AG41" i="1" a="1"/>
  <c r="AF177" i="1" a="1"/>
  <c r="AG41" i="1"/>
  <c r="AF177" i="1"/>
  <c r="AG177" i="1" a="1"/>
  <c r="AF150" i="1" a="1"/>
  <c r="AG177" i="1"/>
  <c r="AF150" i="1"/>
  <c r="AG150" i="1" a="1"/>
  <c r="AL24" i="1" a="1"/>
  <c r="AG150" i="1"/>
  <c r="AL24" i="1"/>
  <c r="AM24" i="1" a="1"/>
  <c r="AL205" i="1" a="1"/>
  <c r="AM24" i="1"/>
  <c r="AL205" i="1"/>
  <c r="AM205" i="1" a="1"/>
  <c r="AF26" i="1" a="1"/>
  <c r="AM205" i="1"/>
  <c r="AF26" i="1"/>
  <c r="AG26" i="1" a="1"/>
  <c r="AL121" i="1" a="1"/>
  <c r="AG26" i="1"/>
  <c r="AL121" i="1"/>
  <c r="AM121" i="1" a="1"/>
  <c r="AL390" i="1" a="1"/>
  <c r="AM121" i="1"/>
  <c r="AL390" i="1"/>
  <c r="AM390" i="1" a="1"/>
  <c r="AL60" i="1" a="1"/>
  <c r="AM390" i="1"/>
  <c r="AL60" i="1"/>
  <c r="AM60" i="1" a="1"/>
  <c r="AF346" i="1" a="1"/>
  <c r="AM60" i="1"/>
  <c r="AF346" i="1"/>
  <c r="AG346" i="1" a="1"/>
  <c r="AL112" i="1" a="1"/>
  <c r="AG346" i="1"/>
  <c r="AL112" i="1"/>
  <c r="AM112" i="1" a="1"/>
  <c r="AL333" i="1" a="1"/>
  <c r="AM112" i="1"/>
  <c r="AL333" i="1"/>
  <c r="AM333" i="1" a="1"/>
  <c r="AL343" i="1" a="1"/>
  <c r="AM333" i="1"/>
  <c r="AL343" i="1"/>
  <c r="AM343" i="1" a="1"/>
  <c r="AL128" i="1" a="1"/>
  <c r="AM343" i="1"/>
  <c r="AL128" i="1"/>
  <c r="AM128" i="1" a="1"/>
  <c r="AL319" i="1" a="1"/>
  <c r="AM128" i="1"/>
  <c r="AL319" i="1"/>
  <c r="AM319" i="1" a="1"/>
  <c r="AL244" i="1" a="1"/>
  <c r="AM319" i="1"/>
  <c r="AL244" i="1"/>
  <c r="AM244" i="1" a="1"/>
  <c r="AF286" i="1" a="1"/>
  <c r="AM244" i="1"/>
  <c r="AF286" i="1"/>
  <c r="AG286" i="1" a="1"/>
  <c r="AF210" i="1" a="1"/>
  <c r="AG286" i="1"/>
  <c r="AF210" i="1"/>
  <c r="AG210" i="1" a="1"/>
  <c r="AF304" i="1" a="1"/>
  <c r="AG210" i="1"/>
  <c r="AF304" i="1"/>
  <c r="AG304" i="1" a="1"/>
  <c r="AF218" i="1" a="1"/>
  <c r="AG304" i="1"/>
  <c r="AF218" i="1"/>
  <c r="AG218" i="1" a="1"/>
  <c r="AL315" i="1" a="1"/>
  <c r="AG218" i="1"/>
  <c r="AL315" i="1"/>
  <c r="AM315" i="1" a="1"/>
  <c r="AL363" i="1" a="1"/>
  <c r="AM315" i="1"/>
  <c r="AL363" i="1"/>
  <c r="AM363" i="1" a="1"/>
  <c r="AF223" i="1" a="1"/>
  <c r="AM363" i="1"/>
  <c r="AF223" i="1"/>
  <c r="AG223" i="1" a="1"/>
  <c r="AF270" i="1" a="1"/>
  <c r="AG223" i="1"/>
  <c r="AF270" i="1"/>
  <c r="AG270" i="1" a="1"/>
  <c r="AL260" i="1" a="1"/>
  <c r="AG270" i="1"/>
  <c r="AL260" i="1"/>
  <c r="AM260" i="1" a="1"/>
  <c r="AL100" i="1" a="1"/>
  <c r="AM260" i="1"/>
  <c r="AL100" i="1"/>
  <c r="AM100" i="1" a="1"/>
  <c r="AF195" i="1" a="1"/>
  <c r="AM100" i="1"/>
  <c r="AF195" i="1"/>
  <c r="AG195" i="1" a="1"/>
  <c r="AL154" i="1" a="1"/>
  <c r="AG195" i="1"/>
  <c r="AL154" i="1"/>
  <c r="AM154" i="1" a="1"/>
  <c r="AF171" i="1" a="1"/>
  <c r="AM154" i="1"/>
  <c r="AF171" i="1"/>
  <c r="AG171" i="1" a="1"/>
  <c r="AL186" i="1" a="1"/>
  <c r="AG171" i="1"/>
  <c r="AL186" i="1"/>
  <c r="AM186" i="1" a="1"/>
  <c r="AL203" i="1" a="1"/>
  <c r="AM186" i="1"/>
  <c r="AL203" i="1"/>
  <c r="AM203" i="1" a="1"/>
  <c r="AF145" i="1" a="1"/>
  <c r="AM203" i="1"/>
  <c r="AF145" i="1"/>
  <c r="AG145" i="1" a="1"/>
  <c r="AF91" i="1" a="1"/>
  <c r="AG145" i="1"/>
  <c r="AF91" i="1"/>
  <c r="AG91" i="1" a="1"/>
  <c r="AL156" i="1" a="1"/>
  <c r="AG91" i="1"/>
  <c r="AL156" i="1"/>
  <c r="AM156" i="1" a="1"/>
  <c r="AL81" i="1" a="1"/>
  <c r="AM156" i="1"/>
  <c r="AL81" i="1"/>
  <c r="AM81" i="1" a="1"/>
  <c r="AF96" i="1" a="1"/>
  <c r="AM81" i="1"/>
  <c r="AF96" i="1"/>
  <c r="AG96" i="1" a="1"/>
  <c r="AF117" i="1" a="1"/>
  <c r="AG96" i="1"/>
  <c r="AF117" i="1"/>
  <c r="AG117" i="1" a="1"/>
  <c r="AF380" i="1" a="1"/>
  <c r="AG117" i="1"/>
  <c r="AF380" i="1"/>
  <c r="AG380" i="1" a="1"/>
  <c r="AF334" i="1" a="1"/>
  <c r="AG380" i="1"/>
  <c r="AF334" i="1"/>
  <c r="AG334" i="1" a="1"/>
  <c r="AL391" i="1" a="1"/>
  <c r="AG334" i="1"/>
  <c r="AL391" i="1"/>
  <c r="AM391" i="1" a="1"/>
  <c r="AL252" i="1" a="1"/>
  <c r="AM391" i="1"/>
  <c r="AL252" i="1"/>
  <c r="AM252" i="1" a="1"/>
  <c r="AF111" i="1" a="1"/>
  <c r="AM252" i="1"/>
  <c r="AF111" i="1"/>
  <c r="AG111" i="1" a="1"/>
  <c r="AF295" i="1" a="1"/>
  <c r="AG111" i="1"/>
  <c r="AF295" i="1"/>
  <c r="AG295" i="1" a="1"/>
  <c r="AL181" i="1" a="1"/>
  <c r="AG295" i="1"/>
  <c r="AL181" i="1"/>
  <c r="AM181" i="1" a="1"/>
  <c r="AL228" i="1" a="1"/>
  <c r="AM181" i="1"/>
  <c r="AL228" i="1"/>
  <c r="AM228" i="1" a="1"/>
  <c r="AF64" i="1" a="1"/>
  <c r="AM228" i="1"/>
  <c r="AF64" i="1"/>
  <c r="AG64" i="1" a="1"/>
  <c r="AF42" i="1" a="1"/>
  <c r="AG64" i="1"/>
  <c r="AF42" i="1"/>
  <c r="AG42" i="1" a="1"/>
  <c r="AL104" i="1" a="1"/>
  <c r="AG42" i="1"/>
  <c r="AL104" i="1"/>
  <c r="AM104" i="1" a="1"/>
  <c r="AF272" i="1" a="1"/>
  <c r="AM104" i="1"/>
  <c r="AF272" i="1"/>
  <c r="AG272" i="1" a="1"/>
  <c r="AL369" i="1" a="1"/>
  <c r="AG272" i="1"/>
  <c r="AL369" i="1"/>
  <c r="AM369" i="1" a="1"/>
  <c r="AL137" i="1" a="1"/>
  <c r="AM369" i="1"/>
  <c r="AL137" i="1"/>
  <c r="AM137" i="1" a="1"/>
  <c r="AL56" i="1" a="1"/>
  <c r="AM137" i="1"/>
  <c r="AL56" i="1"/>
  <c r="AM56" i="1" a="1"/>
  <c r="AF123" i="1" a="1"/>
  <c r="AM56" i="1"/>
  <c r="AF123" i="1"/>
  <c r="AG123" i="1" a="1"/>
  <c r="AF287" i="1" a="1"/>
  <c r="AG123" i="1"/>
  <c r="AF287" i="1"/>
  <c r="AG287" i="1" a="1"/>
  <c r="AL93" i="1" a="1"/>
  <c r="AG287" i="1"/>
  <c r="AL93" i="1"/>
  <c r="AM93" i="1" a="1"/>
  <c r="AL359" i="1" a="1"/>
  <c r="AM93" i="1"/>
  <c r="AL359" i="1"/>
  <c r="AM359" i="1" a="1"/>
  <c r="AL342" i="1" a="1"/>
  <c r="AM359" i="1"/>
  <c r="AL342" i="1"/>
  <c r="AM342" i="1" a="1"/>
  <c r="AL129" i="1" a="1"/>
  <c r="AM342" i="1"/>
  <c r="AL129" i="1"/>
  <c r="AM129" i="1" a="1"/>
  <c r="AL46" i="1" a="1"/>
  <c r="AM129" i="1"/>
  <c r="AL46" i="1"/>
  <c r="AM46" i="1" a="1"/>
  <c r="AF355" i="1" a="1"/>
  <c r="AM46" i="1"/>
  <c r="AF355" i="1"/>
  <c r="AG355" i="1" a="1"/>
  <c r="AF322" i="1" a="1"/>
  <c r="AG355" i="1"/>
  <c r="AF322" i="1"/>
  <c r="AG322" i="1" a="1"/>
  <c r="AF307" i="1" a="1"/>
  <c r="AG322" i="1"/>
  <c r="AF307" i="1"/>
  <c r="AG307" i="1" a="1"/>
  <c r="AF305" i="1" a="1"/>
  <c r="AG307" i="1"/>
  <c r="AF305" i="1"/>
  <c r="AG305" i="1" a="1"/>
  <c r="AL219" i="1" a="1"/>
  <c r="AG305" i="1"/>
  <c r="AL219" i="1"/>
  <c r="AM219" i="1" a="1"/>
  <c r="AL254" i="1" a="1"/>
  <c r="AM219" i="1"/>
  <c r="AL254" i="1"/>
  <c r="AM254" i="1" a="1"/>
  <c r="AL269" i="1" a="1"/>
  <c r="AM254" i="1"/>
  <c r="AL269" i="1"/>
  <c r="AM269" i="1" a="1"/>
  <c r="AF209" i="1" a="1"/>
  <c r="AM269" i="1"/>
  <c r="AF209" i="1"/>
  <c r="AG209" i="1" a="1"/>
  <c r="AL227" i="1" a="1"/>
  <c r="AG209" i="1"/>
  <c r="AL227" i="1"/>
  <c r="AM227" i="1" a="1"/>
  <c r="AF371" i="1" a="1"/>
  <c r="AM227" i="1"/>
  <c r="AF371" i="1"/>
  <c r="AG371" i="1" a="1"/>
  <c r="AL392" i="1" a="1"/>
  <c r="AG371" i="1"/>
  <c r="AL392" i="1"/>
  <c r="AM392" i="1" a="1"/>
  <c r="AL238" i="1" a="1"/>
  <c r="AM392" i="1"/>
  <c r="AL238" i="1"/>
  <c r="AM238" i="1" a="1"/>
  <c r="AL341" i="1" a="1"/>
  <c r="AM238" i="1"/>
  <c r="AL341" i="1"/>
  <c r="AM341" i="1" a="1"/>
  <c r="AL296" i="1" a="1"/>
  <c r="AM341" i="1"/>
  <c r="AL296" i="1"/>
  <c r="AM296" i="1" a="1"/>
  <c r="AL351" i="1" a="1"/>
  <c r="AM296" i="1"/>
  <c r="AL351" i="1"/>
  <c r="AM351" i="1" a="1"/>
  <c r="AF260" i="1" a="1"/>
  <c r="AM351" i="1"/>
  <c r="AF260" i="1"/>
  <c r="AG260" i="1" a="1"/>
  <c r="AL126" i="1" a="1"/>
  <c r="AG260" i="1"/>
  <c r="AL126" i="1"/>
  <c r="AM126" i="1" a="1"/>
  <c r="AF245" i="1" a="1"/>
  <c r="AM126" i="1"/>
  <c r="AF245" i="1"/>
  <c r="AG245" i="1" a="1"/>
  <c r="AF300" i="1" a="1"/>
  <c r="AG245" i="1"/>
  <c r="AF300" i="1"/>
  <c r="AG300" i="1" a="1"/>
  <c r="AL361" i="1" a="1"/>
  <c r="AG300" i="1"/>
  <c r="AL361" i="1"/>
  <c r="AM361" i="1" a="1"/>
  <c r="AF184" i="1" a="1"/>
  <c r="AM361" i="1"/>
  <c r="AF184" i="1"/>
  <c r="AG184" i="1" a="1"/>
  <c r="AF105" i="1" a="1"/>
  <c r="AG184" i="1"/>
  <c r="AF105" i="1"/>
  <c r="AG105" i="1" a="1"/>
  <c r="AL379" i="1" a="1"/>
  <c r="AG105" i="1"/>
  <c r="AL379" i="1"/>
  <c r="AM379" i="1" a="1"/>
  <c r="AL201" i="1" a="1"/>
  <c r="AM379" i="1"/>
  <c r="AL201" i="1"/>
  <c r="AM201" i="1" a="1"/>
  <c r="AL114" i="1" a="1"/>
  <c r="AM201" i="1"/>
  <c r="AL114" i="1"/>
  <c r="AM114" i="1" a="1"/>
  <c r="AF390" i="1" a="1"/>
  <c r="AM114" i="1"/>
  <c r="AF390" i="1"/>
  <c r="AG390" i="1" a="1"/>
  <c r="AL325" i="1" a="1"/>
  <c r="AG390" i="1"/>
  <c r="AL325" i="1"/>
  <c r="AM325" i="1" a="1"/>
  <c r="AF233" i="1" a="1"/>
  <c r="AM325" i="1"/>
  <c r="AF233" i="1"/>
  <c r="AG233" i="1" a="1"/>
  <c r="AL380" i="1" a="1"/>
  <c r="AG233" i="1"/>
  <c r="AL380" i="1"/>
  <c r="AM380" i="1" a="1"/>
  <c r="AL27" i="1" a="1"/>
  <c r="AM380" i="1"/>
  <c r="AL27" i="1"/>
  <c r="AM27" i="1" a="1"/>
  <c r="AF170" i="1" a="1"/>
  <c r="AM27" i="1"/>
  <c r="AF170" i="1"/>
  <c r="AG170" i="1" a="1"/>
  <c r="AL316" i="1" a="1"/>
  <c r="AG170" i="1"/>
  <c r="AL316" i="1"/>
  <c r="AM316" i="1" a="1"/>
  <c r="AL161" i="1" a="1"/>
  <c r="AM316" i="1"/>
  <c r="AL161" i="1"/>
  <c r="AM161" i="1" a="1"/>
  <c r="AL323" i="1" a="1"/>
  <c r="AM161" i="1"/>
  <c r="AL323" i="1"/>
  <c r="AM323" i="1" a="1"/>
  <c r="AL279" i="1" a="1"/>
  <c r="AM323" i="1"/>
  <c r="AL279" i="1"/>
  <c r="AM279" i="1" a="1"/>
  <c r="AF258" i="1" a="1"/>
  <c r="AM279" i="1"/>
  <c r="AF258" i="1"/>
  <c r="AG258" i="1" a="1"/>
  <c r="AL290" i="1" a="1"/>
  <c r="AG258" i="1"/>
  <c r="AL290" i="1"/>
  <c r="AM290" i="1" a="1"/>
  <c r="AF278" i="1" a="1"/>
  <c r="AM290" i="1"/>
  <c r="AF278" i="1"/>
  <c r="AG278" i="1" a="1"/>
  <c r="AF30" i="1" a="1"/>
  <c r="AG278" i="1"/>
  <c r="AF30" i="1"/>
  <c r="AG30" i="1" a="1"/>
  <c r="AF129" i="1" a="1"/>
  <c r="AG30" i="1"/>
  <c r="AF129" i="1"/>
  <c r="AG129" i="1" a="1"/>
  <c r="AL116" i="1" a="1"/>
  <c r="AG129" i="1"/>
  <c r="AL116" i="1"/>
  <c r="AM116" i="1" a="1"/>
  <c r="AL150" i="1" a="1"/>
  <c r="AM116" i="1"/>
  <c r="AL150" i="1"/>
  <c r="AM150" i="1" a="1"/>
  <c r="AF25" i="1" a="1"/>
  <c r="AM150" i="1"/>
  <c r="AF25" i="1"/>
  <c r="AG25" i="1" a="1"/>
  <c r="AL237" i="1" a="1"/>
  <c r="AG25" i="1"/>
  <c r="AL237" i="1"/>
  <c r="AM237" i="1" a="1"/>
  <c r="AF279" i="1" a="1"/>
  <c r="AM237" i="1"/>
  <c r="AF279" i="1"/>
  <c r="AG279" i="1" a="1"/>
  <c r="AL144" i="1" a="1"/>
  <c r="AG279" i="1"/>
  <c r="AL144" i="1"/>
  <c r="AM144" i="1" a="1"/>
  <c r="AL72" i="1" a="1"/>
  <c r="AM144" i="1"/>
  <c r="AL72" i="1"/>
  <c r="AM72" i="1" a="1"/>
  <c r="AL98" i="1" a="1"/>
  <c r="AM72" i="1"/>
  <c r="AL98" i="1"/>
  <c r="AM98" i="1" a="1"/>
  <c r="AF332" i="1" a="1"/>
  <c r="AM98" i="1"/>
  <c r="AF332" i="1"/>
  <c r="AG332" i="1" a="1"/>
  <c r="AF44" i="1" a="1"/>
  <c r="AG332" i="1"/>
  <c r="AF44" i="1"/>
  <c r="AG44" i="1" a="1"/>
  <c r="AF303" i="1" a="1"/>
  <c r="AG44" i="1"/>
  <c r="AF303" i="1"/>
  <c r="AG303" i="1" a="1"/>
  <c r="AF268" i="1" a="1"/>
  <c r="AG303" i="1"/>
  <c r="AF268" i="1"/>
  <c r="AG268" i="1" a="1"/>
  <c r="AL360" i="1" a="1"/>
  <c r="AG268" i="1"/>
  <c r="AL360" i="1"/>
  <c r="AM360" i="1" a="1"/>
  <c r="AF60" i="1" a="1"/>
  <c r="AM360" i="1"/>
  <c r="AF60" i="1"/>
  <c r="AG60" i="1" a="1"/>
  <c r="AL89" i="1" a="1"/>
  <c r="AG60" i="1"/>
  <c r="AL89" i="1"/>
  <c r="AM89" i="1" a="1"/>
  <c r="AF369" i="1" a="1"/>
  <c r="AM89" i="1"/>
  <c r="AF369" i="1"/>
  <c r="AG369" i="1" a="1"/>
  <c r="AL138" i="1" a="1"/>
  <c r="AG369" i="1"/>
  <c r="AL138" i="1"/>
  <c r="AM138" i="1" a="1"/>
  <c r="AF342" i="1" a="1"/>
  <c r="AM138" i="1"/>
  <c r="AF342" i="1"/>
  <c r="AG342" i="1" a="1"/>
  <c r="AF229" i="1" a="1"/>
  <c r="AG342" i="1"/>
  <c r="AF229" i="1"/>
  <c r="AG229" i="1" a="1"/>
  <c r="AL76" i="1" a="1"/>
  <c r="AG229" i="1"/>
  <c r="AL76" i="1"/>
  <c r="AM76" i="1" a="1"/>
  <c r="AL248" i="1" a="1"/>
  <c r="AM76" i="1"/>
  <c r="AL248" i="1"/>
  <c r="AM248" i="1" a="1"/>
  <c r="AL198" i="1" a="1"/>
  <c r="AM248" i="1"/>
  <c r="AL198" i="1"/>
  <c r="AM198" i="1" a="1"/>
  <c r="AL192" i="1" a="1"/>
  <c r="AM198" i="1"/>
  <c r="AL192" i="1"/>
  <c r="AM192" i="1" a="1"/>
  <c r="AF162" i="1" a="1"/>
  <c r="AM192" i="1"/>
  <c r="AF162" i="1"/>
  <c r="AG162" i="1" a="1"/>
  <c r="AL318" i="1" a="1"/>
  <c r="AG162" i="1"/>
  <c r="AL318" i="1"/>
  <c r="AM318" i="1" a="1"/>
  <c r="AF330" i="1" a="1"/>
  <c r="AM318" i="1"/>
  <c r="AF330" i="1"/>
  <c r="AG330" i="1" a="1"/>
  <c r="AL110" i="1" a="1"/>
  <c r="AG330" i="1"/>
  <c r="AL110" i="1"/>
  <c r="AM110" i="1" a="1"/>
  <c r="AL170" i="1" a="1"/>
  <c r="AM110" i="1"/>
  <c r="AL170" i="1"/>
  <c r="AM170" i="1" a="1"/>
  <c r="AL189" i="1" a="1"/>
  <c r="AM170" i="1"/>
  <c r="AL189" i="1"/>
  <c r="AM189" i="1" a="1"/>
  <c r="AF103" i="1" a="1"/>
  <c r="AM189" i="1"/>
  <c r="AF103" i="1"/>
  <c r="AG103" i="1" a="1"/>
  <c r="AL278" i="1" a="1"/>
  <c r="AG103" i="1"/>
  <c r="AL278" i="1"/>
  <c r="AM278" i="1" a="1"/>
  <c r="AF219" i="1" a="1"/>
  <c r="AM278" i="1"/>
  <c r="AF219" i="1"/>
  <c r="AG219" i="1" a="1"/>
  <c r="AL348" i="1" a="1"/>
  <c r="AG219" i="1"/>
  <c r="AL348" i="1"/>
  <c r="AM348" i="1" a="1"/>
  <c r="AL64" i="1" a="1"/>
  <c r="AM348" i="1"/>
  <c r="AL64" i="1"/>
  <c r="AM64" i="1" a="1"/>
  <c r="AF216" i="1" a="1"/>
  <c r="AM64" i="1"/>
  <c r="AF216" i="1"/>
  <c r="AG216" i="1" a="1"/>
  <c r="AF141" i="1" a="1"/>
  <c r="AG216" i="1"/>
  <c r="AF141" i="1"/>
  <c r="AG141" i="1" a="1"/>
  <c r="AF132" i="1" a="1"/>
  <c r="AG141" i="1"/>
  <c r="AF132" i="1"/>
  <c r="AG132" i="1" a="1"/>
  <c r="AL389" i="1" a="1"/>
  <c r="AG132" i="1"/>
  <c r="AL389" i="1"/>
  <c r="AM389" i="1" a="1"/>
  <c r="AL96" i="1" a="1"/>
  <c r="AM389" i="1"/>
  <c r="AL96" i="1"/>
  <c r="AM96" i="1" a="1"/>
  <c r="AL294" i="1" a="1"/>
  <c r="AM96" i="1"/>
  <c r="AL294" i="1"/>
  <c r="AM294" i="1" a="1"/>
  <c r="AF86" i="1" a="1"/>
  <c r="AM294" i="1"/>
  <c r="AF86" i="1"/>
  <c r="AG86" i="1" a="1"/>
  <c r="AL314" i="1" a="1"/>
  <c r="AG86" i="1"/>
  <c r="AL314" i="1"/>
  <c r="AM314" i="1" a="1"/>
  <c r="AF388" i="1" a="1"/>
  <c r="AM314" i="1"/>
  <c r="AF388" i="1"/>
  <c r="AG388" i="1" a="1"/>
  <c r="AF128" i="1" a="1"/>
  <c r="AG388" i="1"/>
  <c r="AF128" i="1"/>
  <c r="AG128" i="1" a="1"/>
  <c r="AL51" i="1" a="1"/>
  <c r="AG128" i="1"/>
  <c r="AL51" i="1"/>
  <c r="AM51" i="1" a="1"/>
  <c r="AL200" i="1" a="1"/>
  <c r="AM51" i="1"/>
  <c r="AL200" i="1"/>
  <c r="AM200" i="1" a="1"/>
  <c r="AL340" i="1" a="1"/>
  <c r="AM200" i="1"/>
  <c r="AL340" i="1"/>
  <c r="AM340" i="1" a="1"/>
  <c r="AL258" i="1" a="1"/>
  <c r="AM340" i="1"/>
  <c r="AL258" i="1"/>
  <c r="AM258" i="1" a="1"/>
  <c r="AF368" i="1" a="1"/>
  <c r="AM258" i="1"/>
  <c r="AF368" i="1"/>
  <c r="AG368" i="1" a="1"/>
  <c r="AL275" i="1" a="1"/>
  <c r="AG368" i="1"/>
  <c r="AL275" i="1"/>
  <c r="AM275" i="1" a="1"/>
  <c r="AF240" i="1" a="1"/>
  <c r="AM275" i="1"/>
  <c r="AF240" i="1"/>
  <c r="AG240" i="1" a="1"/>
  <c r="AL120" i="1" a="1"/>
  <c r="AG240" i="1"/>
  <c r="AL120" i="1"/>
  <c r="AM120" i="1" a="1"/>
  <c r="AF313" i="1" a="1"/>
  <c r="AM120" i="1"/>
  <c r="AF313" i="1"/>
  <c r="AG313" i="1" a="1"/>
  <c r="AL73" i="1" a="1"/>
  <c r="AG313" i="1"/>
  <c r="AL73" i="1"/>
  <c r="AM73" i="1" a="1"/>
  <c r="AF359" i="1" a="1"/>
  <c r="AM73" i="1"/>
  <c r="AF359" i="1"/>
  <c r="AG359" i="1" a="1"/>
  <c r="AL113" i="1" a="1"/>
  <c r="AG359" i="1"/>
  <c r="AL113" i="1"/>
  <c r="AM113" i="1" a="1"/>
  <c r="AL303" i="1" a="1"/>
  <c r="AM113" i="1"/>
  <c r="AL303" i="1"/>
  <c r="AM303" i="1" a="1"/>
  <c r="AL235" i="1" a="1"/>
  <c r="AM303" i="1"/>
  <c r="AL235" i="1"/>
  <c r="AM235" i="1" a="1"/>
  <c r="AF349" i="1" a="1"/>
  <c r="AM235" i="1"/>
  <c r="AF349" i="1"/>
  <c r="AG349" i="1" a="1"/>
  <c r="AF59" i="1" a="1"/>
  <c r="AG349" i="1"/>
  <c r="AF59" i="1"/>
  <c r="AG59" i="1" a="1"/>
  <c r="AL209" i="1" a="1"/>
  <c r="AG59" i="1"/>
  <c r="AL209" i="1"/>
  <c r="AM209" i="1" a="1"/>
  <c r="AF267" i="1" a="1"/>
  <c r="AM209" i="1"/>
  <c r="AF267" i="1"/>
  <c r="AG267" i="1" a="1"/>
  <c r="AL251" i="1" a="1"/>
  <c r="AG267" i="1"/>
  <c r="AL251" i="1"/>
  <c r="AM251" i="1" a="1"/>
  <c r="AL182" i="1" a="1"/>
  <c r="AM251" i="1"/>
  <c r="AL182" i="1"/>
  <c r="AM182" i="1" a="1"/>
  <c r="AF192" i="1" a="1"/>
  <c r="AM182" i="1"/>
  <c r="AF192" i="1"/>
  <c r="AG192" i="1" a="1"/>
  <c r="AF363" i="1" a="1"/>
  <c r="AG192" i="1"/>
  <c r="AF363" i="1"/>
  <c r="AG363" i="1" a="1"/>
  <c r="AL75" i="1" a="1"/>
  <c r="AG363" i="1"/>
  <c r="AL75" i="1"/>
  <c r="AM75" i="1" a="1"/>
  <c r="AL196" i="1" a="1"/>
  <c r="AM75" i="1"/>
  <c r="AL196" i="1"/>
  <c r="AM196" i="1" a="1"/>
  <c r="AF378" i="1" a="1"/>
  <c r="AM196" i="1"/>
  <c r="AF378" i="1"/>
  <c r="AG378" i="1" a="1"/>
  <c r="AL159" i="1" a="1"/>
  <c r="AG378" i="1"/>
  <c r="AL159" i="1"/>
  <c r="AM159" i="1" a="1"/>
  <c r="AL210" i="1" a="1"/>
  <c r="AM159" i="1"/>
  <c r="AL210" i="1"/>
  <c r="AM210" i="1" a="1"/>
  <c r="AF174" i="1" a="1"/>
  <c r="AM210" i="1"/>
  <c r="AF174" i="1"/>
  <c r="AG174" i="1" a="1"/>
  <c r="AL71" i="1" a="1"/>
  <c r="AG174" i="1"/>
  <c r="AL71" i="1"/>
  <c r="AM71" i="1" a="1"/>
  <c r="AF163" i="1" a="1"/>
  <c r="AM71" i="1"/>
  <c r="AF163" i="1"/>
  <c r="AG163" i="1" a="1"/>
  <c r="AL55" i="1" a="1"/>
  <c r="AG163" i="1"/>
  <c r="AL55" i="1"/>
  <c r="AM55" i="1" a="1"/>
  <c r="AF343" i="1" a="1"/>
  <c r="AM55" i="1"/>
  <c r="AF343" i="1"/>
  <c r="AG343" i="1" a="1"/>
  <c r="AF358" i="1" a="1"/>
  <c r="AG343" i="1"/>
  <c r="AF358" i="1"/>
  <c r="AG358" i="1" a="1"/>
  <c r="AL378" i="1" a="1"/>
  <c r="AG358" i="1"/>
  <c r="AL378" i="1"/>
  <c r="AM378" i="1" a="1"/>
  <c r="AL225" i="1" a="1"/>
  <c r="AM378" i="1"/>
  <c r="AL225" i="1"/>
  <c r="AM225" i="1" a="1"/>
  <c r="AF299" i="1" a="1"/>
  <c r="AM225" i="1"/>
  <c r="AF299" i="1"/>
  <c r="AG299" i="1" a="1"/>
  <c r="AF386" i="1" a="1"/>
  <c r="AG299" i="1"/>
  <c r="AF386" i="1"/>
  <c r="AG386" i="1" a="1"/>
  <c r="AL153" i="1" a="1"/>
  <c r="AG386" i="1"/>
  <c r="AL153" i="1"/>
  <c r="AM153" i="1" a="1"/>
  <c r="AF323" i="1" a="1"/>
  <c r="AM153" i="1"/>
  <c r="AF323" i="1"/>
  <c r="AG323" i="1" a="1"/>
  <c r="AF39" i="1" a="1"/>
  <c r="AG323" i="1"/>
  <c r="AF39" i="1"/>
  <c r="AG39" i="1" a="1"/>
  <c r="AL328" i="1" a="1"/>
  <c r="AG39" i="1"/>
  <c r="AL328" i="1"/>
  <c r="AM328" i="1" a="1"/>
  <c r="AF338" i="1" a="1"/>
  <c r="AM328" i="1"/>
  <c r="AF338" i="1"/>
  <c r="AG338" i="1" a="1"/>
  <c r="AL268" i="1" a="1"/>
  <c r="AG338" i="1"/>
  <c r="AL268" i="1"/>
  <c r="AM268" i="1" a="1"/>
  <c r="AL105" i="1" a="1"/>
  <c r="AM268" i="1"/>
  <c r="AL105" i="1"/>
  <c r="AM105" i="1" a="1"/>
  <c r="AF306" i="1" a="1"/>
  <c r="AM105" i="1"/>
  <c r="AF306" i="1"/>
  <c r="AG306" i="1" a="1"/>
  <c r="AF252" i="1" a="1"/>
  <c r="AG306" i="1"/>
  <c r="AF252" i="1"/>
  <c r="AG252" i="1" a="1"/>
  <c r="AF237" i="1" a="1"/>
  <c r="AG252" i="1"/>
  <c r="AF237" i="1"/>
  <c r="AG237" i="1" a="1"/>
  <c r="AF292" i="1" a="1"/>
  <c r="AG237" i="1"/>
  <c r="AF292" i="1"/>
  <c r="AG292" i="1" a="1"/>
  <c r="AF277" i="1" a="1"/>
  <c r="AG292" i="1"/>
  <c r="AF277" i="1"/>
  <c r="AG277" i="1" a="1"/>
  <c r="AF193" i="1" a="1"/>
  <c r="AG277" i="1"/>
  <c r="AF193" i="1"/>
  <c r="AG193" i="1" a="1"/>
  <c r="AL204" i="1" a="1"/>
  <c r="AG193" i="1"/>
  <c r="AL204" i="1"/>
  <c r="AM204" i="1" a="1"/>
  <c r="AL217" i="1" a="1"/>
  <c r="AM204" i="1"/>
  <c r="AL217" i="1"/>
  <c r="AM217" i="1" a="1"/>
  <c r="AL229" i="1" a="1"/>
  <c r="AM217" i="1"/>
  <c r="AL229" i="1"/>
  <c r="AM229" i="1" a="1"/>
  <c r="AL115" i="1" a="1"/>
  <c r="AM229" i="1"/>
  <c r="AL115" i="1"/>
  <c r="AM115" i="1" a="1"/>
  <c r="AF151" i="1" a="1"/>
  <c r="AM115" i="1"/>
  <c r="AF151" i="1"/>
  <c r="AG151" i="1" a="1"/>
  <c r="AL330" i="1" a="1"/>
  <c r="AG151" i="1"/>
  <c r="AL330" i="1"/>
  <c r="AM330" i="1" a="1"/>
  <c r="AL367" i="1" a="1"/>
  <c r="AM330" i="1"/>
  <c r="AL367" i="1"/>
  <c r="AM367" i="1" a="1"/>
  <c r="AL124" i="1" a="1"/>
  <c r="AM367" i="1"/>
  <c r="AL124" i="1"/>
  <c r="AM124" i="1" a="1"/>
  <c r="AF167" i="1" a="1"/>
  <c r="AM124" i="1"/>
  <c r="AF167" i="1"/>
  <c r="AG167" i="1" a="1"/>
  <c r="AL183" i="1" a="1"/>
  <c r="AG167" i="1"/>
  <c r="AL183" i="1"/>
  <c r="AM183" i="1" a="1"/>
  <c r="AF194" i="1" a="1"/>
  <c r="AM183" i="1"/>
  <c r="AF194" i="1"/>
  <c r="AG194" i="1" a="1"/>
  <c r="AF321" i="1" a="1"/>
  <c r="AG194" i="1"/>
  <c r="AF321" i="1"/>
  <c r="AG321" i="1" a="1"/>
  <c r="AF130" i="1" a="1"/>
  <c r="AG321" i="1"/>
  <c r="AF130" i="1"/>
  <c r="AG130" i="1" a="1"/>
  <c r="AL216" i="1" a="1"/>
  <c r="AG130" i="1"/>
  <c r="AL216" i="1"/>
  <c r="AM216" i="1" a="1"/>
  <c r="AF180" i="1" a="1"/>
  <c r="AM216" i="1"/>
  <c r="AF180" i="1"/>
  <c r="AG180" i="1" a="1"/>
  <c r="AL320" i="1" a="1"/>
  <c r="AG180" i="1"/>
  <c r="AL320" i="1"/>
  <c r="AM320" i="1" a="1"/>
  <c r="AF274" i="1" a="1"/>
  <c r="AM320" i="1"/>
  <c r="AF274" i="1"/>
  <c r="AG274" i="1" a="1"/>
  <c r="AF204" i="1" a="1"/>
  <c r="AG274" i="1"/>
  <c r="AF204" i="1"/>
  <c r="AG204" i="1" a="1"/>
  <c r="AF379" i="1" a="1"/>
  <c r="AG204" i="1"/>
  <c r="AF379" i="1"/>
  <c r="AG379" i="1" a="1"/>
  <c r="AL142" i="1" a="1"/>
  <c r="AG379" i="1"/>
  <c r="AL142" i="1"/>
  <c r="AM142" i="1" a="1"/>
  <c r="AL185" i="1" a="1"/>
  <c r="AM142" i="1"/>
  <c r="AL185" i="1"/>
  <c r="AM185" i="1" a="1"/>
  <c r="AL326" i="1" a="1"/>
  <c r="AM185" i="1"/>
  <c r="AL326" i="1"/>
  <c r="AM326" i="1" a="1"/>
  <c r="AL358" i="1" a="1"/>
  <c r="AM326" i="1"/>
  <c r="AL358" i="1"/>
  <c r="AM358" i="1" a="1"/>
  <c r="AF351" i="1" a="1"/>
  <c r="AM358" i="1"/>
  <c r="AF351" i="1"/>
  <c r="AG351" i="1" a="1"/>
  <c r="AL257" i="1" a="1"/>
  <c r="AG351" i="1"/>
  <c r="AL257" i="1"/>
  <c r="AM257" i="1" a="1"/>
  <c r="AF217" i="1" a="1"/>
  <c r="AM257" i="1"/>
  <c r="AF217" i="1"/>
  <c r="AG217" i="1" a="1"/>
  <c r="AL265" i="1" a="1"/>
  <c r="AG217" i="1"/>
  <c r="AL265" i="1"/>
  <c r="AM265" i="1" a="1"/>
  <c r="AF155" i="1" a="1"/>
  <c r="AM265" i="1"/>
  <c r="AF155" i="1"/>
  <c r="AG155" i="1" a="1"/>
  <c r="AF168" i="1" a="1"/>
  <c r="AG155" i="1"/>
  <c r="AF168" i="1"/>
  <c r="AG168" i="1" a="1"/>
  <c r="AF249" i="1" a="1"/>
  <c r="AG168" i="1"/>
  <c r="AF249" i="1"/>
  <c r="AG249" i="1" a="1"/>
  <c r="AF294" i="1" a="1"/>
  <c r="AG249" i="1"/>
  <c r="AF294" i="1"/>
  <c r="AG294" i="1" a="1"/>
  <c r="AF149" i="1" a="1"/>
  <c r="AG294" i="1"/>
  <c r="AF149" i="1"/>
  <c r="AG149" i="1" a="1"/>
  <c r="AL48" i="1" a="1"/>
  <c r="AG149" i="1"/>
  <c r="AL48" i="1"/>
  <c r="AM48" i="1" a="1"/>
  <c r="AF70" i="1" a="1"/>
  <c r="AM48" i="1"/>
  <c r="AF70" i="1"/>
  <c r="AG70" i="1" a="1"/>
  <c r="AF387" i="1" a="1"/>
  <c r="AG70" i="1"/>
  <c r="AF387" i="1"/>
  <c r="AG387" i="1" a="1"/>
  <c r="AF127" i="1" a="1"/>
  <c r="AG387" i="1"/>
  <c r="AF127" i="1"/>
  <c r="AG127" i="1" a="1"/>
  <c r="AF135" i="1" a="1"/>
  <c r="AG127" i="1"/>
  <c r="AF135" i="1"/>
  <c r="AG135" i="1" a="1"/>
  <c r="AL347" i="1" a="1"/>
  <c r="AG135" i="1"/>
  <c r="AL347" i="1"/>
  <c r="AM347" i="1" a="1"/>
  <c r="AF341" i="1" a="1"/>
  <c r="AM347" i="1"/>
  <c r="AF341" i="1"/>
  <c r="AG341" i="1" a="1"/>
  <c r="AL88" i="1" a="1"/>
  <c r="AG341" i="1"/>
  <c r="AL88" i="1"/>
  <c r="AM88" i="1" a="1"/>
  <c r="AL49" i="1" a="1"/>
  <c r="AM88" i="1"/>
  <c r="AL49" i="1"/>
  <c r="AM49" i="1" a="1"/>
  <c r="AF114" i="1" a="1"/>
  <c r="AM49" i="1"/>
  <c r="AF114" i="1"/>
  <c r="AG114" i="1" a="1"/>
  <c r="AF189" i="1" a="1"/>
  <c r="AG114" i="1"/>
  <c r="AF189" i="1"/>
  <c r="AG189" i="1" a="1"/>
  <c r="AF284" i="1" a="1"/>
  <c r="AG189" i="1"/>
  <c r="AF284" i="1"/>
  <c r="AF377" i="1" a="1"/>
  <c r="AF377" i="1"/>
  <c r="AG377" i="1" a="1"/>
  <c r="AF120" i="1" a="1"/>
  <c r="AG377" i="1"/>
  <c r="AF120" i="1"/>
  <c r="AG120" i="1" a="1"/>
  <c r="AF38" i="1" a="1"/>
  <c r="AG120" i="1"/>
  <c r="AF38" i="1"/>
  <c r="AG38" i="1" a="1"/>
  <c r="AF293" i="1" a="1"/>
  <c r="AG38" i="1"/>
  <c r="AF293" i="1"/>
  <c r="AG293" i="1" a="1"/>
  <c r="AL240" i="1" a="1"/>
  <c r="AG293" i="1"/>
  <c r="AL240" i="1"/>
  <c r="AM240" i="1" a="1"/>
  <c r="AF199" i="1" a="1"/>
  <c r="AM240" i="1"/>
  <c r="AF199" i="1"/>
  <c r="AG199" i="1" a="1"/>
  <c r="AF88" i="1" a="1"/>
  <c r="AG199" i="1"/>
  <c r="AF88" i="1"/>
  <c r="AG88" i="1" a="1"/>
  <c r="AF34" i="1" a="1"/>
  <c r="AG88" i="1"/>
  <c r="AF34" i="1"/>
  <c r="AG34" i="1" a="1"/>
  <c r="AL63" i="1" a="1"/>
  <c r="AG34" i="1"/>
  <c r="AL63" i="1"/>
  <c r="AM63" i="1" a="1"/>
  <c r="AL169" i="1" a="1"/>
  <c r="AM63" i="1"/>
  <c r="AL169" i="1"/>
  <c r="AM169" i="1" a="1"/>
  <c r="AL103" i="1" a="1"/>
  <c r="AM169" i="1"/>
  <c r="AL103" i="1"/>
  <c r="AM103" i="1" a="1"/>
  <c r="AL160" i="1" a="1"/>
  <c r="AM103" i="1"/>
  <c r="AL160" i="1"/>
  <c r="AM160" i="1" a="1"/>
  <c r="AL312" i="1" a="1"/>
  <c r="AM160" i="1"/>
  <c r="AL312" i="1"/>
  <c r="AM312" i="1" a="1"/>
  <c r="AF78" i="1" a="1"/>
  <c r="AM312" i="1"/>
  <c r="AF78" i="1"/>
  <c r="AG78" i="1" a="1"/>
  <c r="AF215" i="1" a="1"/>
  <c r="AG78" i="1"/>
  <c r="AF215" i="1"/>
  <c r="AG215" i="1" a="1"/>
  <c r="AL366" i="1" a="1"/>
  <c r="AG215" i="1"/>
  <c r="AL366" i="1"/>
  <c r="AM366" i="1" a="1"/>
  <c r="AL141" i="1" a="1"/>
  <c r="AM366" i="1"/>
  <c r="AL141" i="1"/>
  <c r="AM141" i="1" a="1"/>
  <c r="AF228" i="1" a="1"/>
  <c r="AM141" i="1"/>
  <c r="AF228" i="1"/>
  <c r="AG228" i="1" a="1"/>
  <c r="AL356" i="1" a="1"/>
  <c r="AG228" i="1"/>
  <c r="AL356" i="1"/>
  <c r="AM356" i="1" a="1"/>
  <c r="AL270" i="1" a="1"/>
  <c r="AM356" i="1"/>
  <c r="AL270" i="1"/>
  <c r="AM270" i="1" a="1"/>
  <c r="AF182" i="1" a="1"/>
  <c r="AM270" i="1"/>
  <c r="AF182" i="1"/>
  <c r="AG182" i="1" a="1"/>
  <c r="AF202" i="1" a="1"/>
  <c r="AG182" i="1"/>
  <c r="AF202" i="1"/>
  <c r="AG202" i="1" a="1"/>
  <c r="AL368" i="1" a="1"/>
  <c r="AG202" i="1"/>
  <c r="AL368" i="1"/>
  <c r="AM368" i="1" a="1"/>
  <c r="AL155" i="1" a="1"/>
  <c r="AM368" i="1"/>
  <c r="AL155" i="1"/>
  <c r="AM155" i="1" a="1"/>
  <c r="AL143" i="1" a="1"/>
  <c r="AM155" i="1"/>
  <c r="AL143" i="1"/>
  <c r="AM143" i="1" a="1"/>
  <c r="AL249" i="1" a="1"/>
  <c r="AM143" i="1"/>
  <c r="AL249" i="1"/>
  <c r="AM249" i="1" a="1"/>
  <c r="AF324" i="1" a="1"/>
  <c r="AM249" i="1"/>
  <c r="AF324" i="1"/>
  <c r="AG324" i="1" a="1"/>
  <c r="AL331" i="1" a="1"/>
  <c r="AG324" i="1"/>
  <c r="AL331" i="1"/>
  <c r="AM331" i="1" a="1"/>
  <c r="AL307" i="1" a="1"/>
  <c r="AM331" i="1"/>
  <c r="AL307" i="1"/>
  <c r="AM307" i="1" a="1"/>
  <c r="AL354" i="1" a="1"/>
  <c r="AM307" i="1"/>
  <c r="AL354" i="1"/>
  <c r="AM354" i="1" a="1"/>
  <c r="AL149" i="1" a="1"/>
  <c r="AM354" i="1"/>
  <c r="AL149" i="1"/>
  <c r="AM149" i="1" a="1"/>
  <c r="AL387" i="1" a="1"/>
  <c r="AM149" i="1"/>
  <c r="AL387" i="1"/>
  <c r="AM387" i="1" a="1"/>
  <c r="AL215" i="1" a="1"/>
  <c r="AM387" i="1"/>
  <c r="AL215" i="1"/>
  <c r="AM215" i="1" a="1"/>
  <c r="AF187" i="1" a="1"/>
  <c r="AM215" i="1"/>
  <c r="AF187" i="1"/>
  <c r="AG187" i="1" a="1"/>
  <c r="AF348" i="1" a="1"/>
  <c r="AG187" i="1"/>
  <c r="AF348" i="1"/>
  <c r="AG348" i="1" a="1"/>
  <c r="AF288" i="1" a="1"/>
  <c r="AG348" i="1"/>
  <c r="AF288" i="1"/>
  <c r="AG288" i="1" a="1"/>
  <c r="AF172" i="1" a="1"/>
  <c r="AG288" i="1"/>
  <c r="AF172" i="1"/>
  <c r="AG172" i="1" a="1"/>
  <c r="AF285" i="1" a="1"/>
  <c r="AG172" i="1"/>
  <c r="AF285" i="1"/>
  <c r="AG285" i="1" a="1"/>
  <c r="AL164" i="1" a="1"/>
  <c r="AG285" i="1"/>
  <c r="AL164" i="1"/>
  <c r="AM164" i="1" a="1"/>
  <c r="AL234" i="1" a="1"/>
  <c r="AM164" i="1"/>
  <c r="AL234" i="1"/>
  <c r="AM234" i="1" a="1"/>
  <c r="AF134" i="1" a="1"/>
  <c r="AM234" i="1"/>
  <c r="AF134" i="1"/>
  <c r="AG134" i="1" a="1"/>
  <c r="AF319" i="1" a="1"/>
  <c r="AG134" i="1"/>
  <c r="AF319" i="1"/>
  <c r="AG319" i="1" a="1"/>
  <c r="AF205" i="1" a="1"/>
  <c r="AG319" i="1"/>
  <c r="AF205" i="1"/>
  <c r="AG205" i="1" a="1"/>
  <c r="AL53" i="1" a="1"/>
  <c r="AG205" i="1"/>
  <c r="AL53" i="1"/>
  <c r="AM53" i="1" a="1"/>
  <c r="AF302" i="1" a="1"/>
  <c r="AM53" i="1"/>
  <c r="AF302" i="1"/>
  <c r="AG302" i="1" a="1"/>
  <c r="AF230" i="1" a="1"/>
  <c r="AG302" i="1"/>
  <c r="AF230" i="1"/>
  <c r="AG230" i="1" a="1"/>
  <c r="AL300" i="1" a="1"/>
  <c r="AG230" i="1"/>
  <c r="AL300" i="1"/>
  <c r="AM300" i="1" a="1"/>
  <c r="AL241" i="1" a="1"/>
  <c r="AM300" i="1"/>
  <c r="AL241" i="1"/>
  <c r="AM241" i="1" a="1"/>
  <c r="AL226" i="1" a="1"/>
  <c r="AM241" i="1"/>
  <c r="AL226" i="1"/>
  <c r="AM226" i="1" a="1"/>
  <c r="AL377" i="1" a="1"/>
  <c r="AM226" i="1"/>
  <c r="AL377" i="1"/>
  <c r="AM377" i="1" a="1"/>
  <c r="AL262" i="1" a="1"/>
  <c r="AM377" i="1"/>
  <c r="AL262" i="1"/>
  <c r="AA672" i="1"/>
  <c r="AA671" i="1"/>
  <c r="AA670" i="1"/>
  <c r="AA669" i="1"/>
  <c r="AM262" i="1" a="1"/>
  <c r="P669" i="1" a="1"/>
  <c r="AM262" i="1"/>
  <c r="P669" i="1"/>
  <c r="P675" i="1" a="1"/>
  <c r="P675" i="1"/>
  <c r="P686" i="1" a="1"/>
  <c r="P686" i="1"/>
  <c r="P671" i="1" a="1"/>
  <c r="P671" i="1"/>
  <c r="P673" i="1" a="1"/>
  <c r="P673" i="1"/>
  <c r="P685" i="1" a="1"/>
  <c r="P685" i="1"/>
  <c r="P672" i="1" a="1"/>
  <c r="P672" i="1"/>
  <c r="P679" i="1" a="1"/>
  <c r="P679" i="1"/>
  <c r="P670" i="1" a="1"/>
  <c r="P670" i="1"/>
  <c r="P680" i="1" a="1"/>
  <c r="P680" i="1"/>
  <c r="P678" i="1" a="1"/>
  <c r="P678" i="1"/>
  <c r="P682" i="1" a="1"/>
  <c r="P682" i="1"/>
  <c r="P683" i="1" a="1"/>
  <c r="P683" i="1"/>
  <c r="P674" i="1" a="1"/>
  <c r="P674" i="1"/>
  <c r="P684" i="1" a="1"/>
  <c r="P684" i="1"/>
  <c r="P681" i="1" a="1"/>
  <c r="P681" i="1"/>
  <c r="R675" i="1"/>
  <c r="T675" i="1"/>
  <c r="V675" i="1"/>
  <c r="R676" i="1"/>
  <c r="T676" i="1"/>
  <c r="V676" i="1"/>
  <c r="R673" i="1"/>
  <c r="T673" i="1"/>
  <c r="V673" i="1"/>
  <c r="R678" i="1"/>
  <c r="T678" i="1"/>
  <c r="V678" i="1"/>
  <c r="R684" i="1"/>
  <c r="T684" i="1"/>
  <c r="V684" i="1"/>
  <c r="R677" i="1"/>
  <c r="T677" i="1"/>
  <c r="V677" i="1"/>
  <c r="R679" i="1"/>
  <c r="T679" i="1"/>
  <c r="V679" i="1"/>
  <c r="R685" i="1"/>
  <c r="T685" i="1"/>
  <c r="V685" i="1"/>
  <c r="R683" i="1"/>
  <c r="T683" i="1"/>
  <c r="V683" i="1"/>
  <c r="R674" i="1"/>
  <c r="T674" i="1"/>
  <c r="V674" i="1"/>
  <c r="R686" i="1"/>
  <c r="T686" i="1"/>
  <c r="V686" i="1"/>
  <c r="R680" i="1"/>
  <c r="T680" i="1"/>
  <c r="V680" i="1"/>
  <c r="R672" i="1"/>
  <c r="T672" i="1"/>
  <c r="R670" i="1"/>
  <c r="T670" i="1"/>
  <c r="R669" i="1"/>
  <c r="T669" i="1"/>
  <c r="R671" i="1"/>
  <c r="T671" i="1"/>
  <c r="R682" i="1"/>
  <c r="T682" i="1"/>
  <c r="V682" i="1"/>
  <c r="R681" i="1"/>
  <c r="T681" i="1"/>
  <c r="V681" i="1"/>
  <c r="V671" i="1"/>
  <c r="AB671" i="1"/>
  <c r="Z671" i="1"/>
  <c r="Z669" i="1"/>
  <c r="V669" i="1"/>
  <c r="AB669" i="1"/>
  <c r="Z670" i="1"/>
  <c r="V670" i="1"/>
  <c r="AB670" i="1"/>
  <c r="Z672" i="1"/>
  <c r="V672" i="1"/>
  <c r="AB672" i="1"/>
  <c r="C683" i="1" a="1"/>
  <c r="C683" i="1"/>
  <c r="C682" i="1" a="1"/>
  <c r="C682" i="1"/>
  <c r="C674" i="1" a="1"/>
  <c r="C674" i="1"/>
  <c r="C671" i="1" a="1"/>
  <c r="C671" i="1"/>
  <c r="C673" i="1" a="1"/>
  <c r="C673" i="1"/>
  <c r="C669" i="1" a="1"/>
  <c r="C669" i="1"/>
  <c r="C675" i="1" a="1"/>
  <c r="C675" i="1"/>
  <c r="C670" i="1" a="1"/>
  <c r="C670" i="1"/>
  <c r="C672" i="1" a="1"/>
  <c r="C672" i="1"/>
  <c r="E671" i="1"/>
  <c r="G671" i="1"/>
  <c r="I671" i="1"/>
  <c r="E677" i="1"/>
  <c r="G677" i="1"/>
  <c r="I677" i="1"/>
  <c r="E680" i="1"/>
  <c r="G680" i="1"/>
  <c r="I680" i="1"/>
  <c r="E683" i="1"/>
  <c r="G683" i="1"/>
  <c r="I683" i="1"/>
  <c r="E682" i="1"/>
  <c r="G682" i="1"/>
  <c r="I682" i="1"/>
  <c r="E674" i="1"/>
  <c r="G674" i="1"/>
  <c r="I674" i="1"/>
  <c r="E684" i="1"/>
  <c r="G684" i="1"/>
  <c r="I684" i="1"/>
  <c r="E676" i="1"/>
  <c r="G676" i="1"/>
  <c r="I676" i="1"/>
  <c r="E685" i="1"/>
  <c r="G685" i="1"/>
  <c r="I685" i="1"/>
  <c r="E673" i="1"/>
  <c r="G673" i="1"/>
  <c r="I673" i="1"/>
  <c r="E686" i="1"/>
  <c r="G686" i="1"/>
  <c r="I686" i="1"/>
  <c r="E678" i="1"/>
  <c r="G678" i="1"/>
  <c r="I678" i="1"/>
  <c r="E679" i="1"/>
  <c r="G679" i="1"/>
  <c r="I679" i="1"/>
  <c r="E675" i="1"/>
  <c r="G675" i="1"/>
  <c r="I675" i="1"/>
  <c r="E669" i="1"/>
  <c r="G669" i="1"/>
  <c r="I669" i="1"/>
  <c r="E681" i="1"/>
  <c r="G681" i="1"/>
  <c r="I681" i="1"/>
  <c r="E672" i="1"/>
  <c r="G672" i="1"/>
  <c r="I672" i="1"/>
  <c r="E670" i="1"/>
  <c r="G670" i="1"/>
  <c r="I670" i="1"/>
  <c r="AA668" i="1"/>
  <c r="R668" i="1"/>
  <c r="T668" i="1"/>
  <c r="E668" i="1"/>
  <c r="G668" i="1"/>
  <c r="I668" i="1"/>
  <c r="V668" i="1"/>
  <c r="AB668" i="1"/>
  <c r="Z668" i="1"/>
  <c r="AA657" i="1"/>
  <c r="AA658" i="1"/>
  <c r="AA659" i="1"/>
  <c r="AA660" i="1"/>
  <c r="AA661" i="1"/>
  <c r="AA662" i="1"/>
  <c r="AA663" i="1"/>
  <c r="AA664" i="1"/>
  <c r="AA665" i="1"/>
  <c r="AA666" i="1"/>
  <c r="AA667" i="1"/>
  <c r="AO655" i="1"/>
  <c r="AO657" i="1"/>
  <c r="AO666" i="1"/>
  <c r="AO656" i="1"/>
  <c r="AO648" i="1"/>
  <c r="AO664" i="1"/>
  <c r="AO658" i="1"/>
  <c r="AO650" i="1"/>
  <c r="AO653" i="1"/>
  <c r="AO663" i="1"/>
  <c r="AN663" i="1"/>
  <c r="AO661" i="1"/>
  <c r="AO652" i="1"/>
  <c r="AO651" i="1"/>
  <c r="AO665" i="1"/>
  <c r="AO649" i="1"/>
  <c r="AO659" i="1"/>
  <c r="AO662" i="1"/>
  <c r="AN662" i="1"/>
  <c r="AO654" i="1"/>
  <c r="AP649" i="1"/>
  <c r="AO660" i="1"/>
  <c r="AP661" i="1"/>
  <c r="AP650" i="1"/>
  <c r="AP652" i="1"/>
  <c r="AP660" i="1"/>
  <c r="AP653" i="1"/>
  <c r="AP651" i="1"/>
  <c r="AP657" i="1"/>
  <c r="AP654" i="1"/>
  <c r="AP666" i="1"/>
  <c r="AP665" i="1"/>
  <c r="AP658" i="1"/>
  <c r="AP664" i="1"/>
  <c r="AP656" i="1"/>
  <c r="AP659" i="1"/>
  <c r="AP648" i="1"/>
  <c r="AP663" i="1"/>
  <c r="AP655" i="1"/>
  <c r="AP662" i="1"/>
  <c r="AN656" i="1"/>
  <c r="AN666" i="1"/>
  <c r="AN658" i="1"/>
  <c r="AN657" i="1"/>
  <c r="AN665" i="1"/>
  <c r="AN664" i="1"/>
  <c r="AN651" i="1"/>
  <c r="AN650" i="1"/>
  <c r="AN648" i="1"/>
  <c r="AN659" i="1"/>
  <c r="AN655" i="1"/>
  <c r="AN661" i="1"/>
  <c r="AN654" i="1"/>
  <c r="AN653" i="1"/>
  <c r="AN652" i="1"/>
  <c r="AN660" i="1"/>
  <c r="AN649" i="1"/>
  <c r="AA656" i="1"/>
  <c r="AA655" i="1"/>
  <c r="AA654" i="1"/>
  <c r="AA653" i="1"/>
  <c r="E667" i="1"/>
  <c r="G667" i="1"/>
  <c r="I667" i="1"/>
  <c r="R667" i="1"/>
  <c r="T667" i="1"/>
  <c r="V667" i="1"/>
  <c r="AB667" i="1"/>
  <c r="Z667" i="1"/>
  <c r="AA652" i="1"/>
  <c r="R663" i="1"/>
  <c r="T663" i="1"/>
  <c r="R658" i="1"/>
  <c r="T658" i="1"/>
  <c r="R661" i="1"/>
  <c r="T661" i="1"/>
  <c r="R664" i="1"/>
  <c r="T664" i="1"/>
  <c r="R654" i="1"/>
  <c r="T654" i="1"/>
  <c r="R666" i="1"/>
  <c r="T666" i="1"/>
  <c r="R660" i="1"/>
  <c r="T660" i="1"/>
  <c r="R655" i="1"/>
  <c r="T655" i="1"/>
  <c r="R665" i="1"/>
  <c r="T665" i="1"/>
  <c r="R662" i="1"/>
  <c r="T662" i="1"/>
  <c r="R659" i="1"/>
  <c r="T659" i="1"/>
  <c r="R657" i="1"/>
  <c r="T657" i="1"/>
  <c r="R656" i="1"/>
  <c r="T656" i="1"/>
  <c r="R653" i="1"/>
  <c r="T653" i="1"/>
  <c r="Z660" i="1"/>
  <c r="V660" i="1"/>
  <c r="AB660" i="1"/>
  <c r="V666" i="1"/>
  <c r="AB666" i="1"/>
  <c r="Z666" i="1"/>
  <c r="Z656" i="1"/>
  <c r="V656" i="1"/>
  <c r="AB656" i="1"/>
  <c r="Z654" i="1"/>
  <c r="V654" i="1"/>
  <c r="AB654" i="1"/>
  <c r="Z659" i="1"/>
  <c r="V659" i="1"/>
  <c r="AB659" i="1"/>
  <c r="Z661" i="1"/>
  <c r="V661" i="1"/>
  <c r="AB661" i="1"/>
  <c r="V662" i="1"/>
  <c r="AB662" i="1"/>
  <c r="Z662" i="1"/>
  <c r="V664" i="1"/>
  <c r="AB664" i="1"/>
  <c r="Z664" i="1"/>
  <c r="Z653" i="1"/>
  <c r="V653" i="1"/>
  <c r="AB653" i="1"/>
  <c r="V665" i="1"/>
  <c r="AB665" i="1"/>
  <c r="Z665" i="1"/>
  <c r="V663" i="1"/>
  <c r="AB663" i="1"/>
  <c r="Z663" i="1"/>
  <c r="Z657" i="1"/>
  <c r="V657" i="1"/>
  <c r="AB657" i="1"/>
  <c r="Z655" i="1"/>
  <c r="V655" i="1"/>
  <c r="AB655" i="1"/>
  <c r="Z658" i="1"/>
  <c r="V658" i="1"/>
  <c r="AB658" i="1"/>
  <c r="AA651" i="1"/>
  <c r="AA650" i="1"/>
  <c r="E660" i="1"/>
  <c r="E653" i="1"/>
  <c r="G653" i="1"/>
  <c r="I653" i="1"/>
  <c r="C664" i="1" a="1"/>
  <c r="C663" i="1" a="1"/>
  <c r="C665" i="1" a="1"/>
  <c r="C665" i="1"/>
  <c r="C663" i="1"/>
  <c r="C664" i="1"/>
  <c r="G660" i="1"/>
  <c r="I660" i="1"/>
  <c r="E664" i="1"/>
  <c r="G664" i="1"/>
  <c r="I664" i="1"/>
  <c r="E656" i="1"/>
  <c r="G656" i="1"/>
  <c r="I656" i="1"/>
  <c r="E658" i="1"/>
  <c r="G658" i="1"/>
  <c r="I658" i="1"/>
  <c r="E654" i="1"/>
  <c r="G654" i="1"/>
  <c r="I654" i="1"/>
  <c r="E659" i="1"/>
  <c r="G659" i="1"/>
  <c r="I659" i="1"/>
  <c r="E655" i="1"/>
  <c r="G655" i="1"/>
  <c r="I655" i="1"/>
  <c r="E665" i="1"/>
  <c r="G665" i="1"/>
  <c r="I665" i="1"/>
  <c r="E661" i="1"/>
  <c r="G661" i="1"/>
  <c r="I661" i="1"/>
  <c r="E663" i="1"/>
  <c r="G663" i="1"/>
  <c r="I663" i="1"/>
  <c r="E662" i="1"/>
  <c r="G662" i="1"/>
  <c r="I662" i="1"/>
  <c r="E657" i="1"/>
  <c r="G657" i="1"/>
  <c r="I657" i="1"/>
  <c r="E666" i="1"/>
  <c r="G666" i="1"/>
  <c r="I666" i="1"/>
  <c r="R652" i="1"/>
  <c r="T652" i="1"/>
  <c r="R650" i="1"/>
  <c r="Z652" i="1"/>
  <c r="V652" i="1"/>
  <c r="AB652" i="1"/>
  <c r="T650" i="1"/>
  <c r="R651" i="1"/>
  <c r="T651" i="1"/>
  <c r="Z651" i="1"/>
  <c r="V651" i="1"/>
  <c r="AB651" i="1"/>
  <c r="Z650" i="1"/>
  <c r="V650" i="1"/>
  <c r="AB650" i="1"/>
  <c r="E652" i="1"/>
  <c r="G652" i="1"/>
  <c r="I652" i="1"/>
  <c r="E651" i="1"/>
  <c r="G651" i="1"/>
  <c r="I651" i="1"/>
  <c r="E650" i="1"/>
  <c r="G650" i="1"/>
  <c r="I650" i="1"/>
  <c r="AA649" i="1"/>
  <c r="R649" i="1"/>
  <c r="T649" i="1"/>
  <c r="V649" i="1"/>
  <c r="AB649" i="1"/>
  <c r="Z649" i="1"/>
  <c r="E649" i="1"/>
  <c r="G649" i="1"/>
  <c r="I649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P620" i="1"/>
  <c r="AO619" i="1"/>
  <c r="AO628" i="1"/>
  <c r="AO601" i="1"/>
  <c r="AO644" i="1"/>
  <c r="AP612" i="1"/>
  <c r="AP640" i="1"/>
  <c r="AO633" i="1"/>
  <c r="AP639" i="1"/>
  <c r="AO634" i="1"/>
  <c r="AO617" i="1"/>
  <c r="AO608" i="1"/>
  <c r="AO613" i="1"/>
  <c r="AN613" i="1"/>
  <c r="AP633" i="1"/>
  <c r="AO626" i="1"/>
  <c r="AO627" i="1"/>
  <c r="AO645" i="1"/>
  <c r="AP626" i="1"/>
  <c r="AP597" i="1"/>
  <c r="AP602" i="1"/>
  <c r="AP616" i="1"/>
  <c r="AP623" i="1"/>
  <c r="AP608" i="1"/>
  <c r="AO642" i="1"/>
  <c r="AN642" i="1"/>
  <c r="AP610" i="1"/>
  <c r="AP643" i="1"/>
  <c r="AO621" i="1"/>
  <c r="AP611" i="1"/>
  <c r="AO616" i="1"/>
  <c r="AP606" i="1"/>
  <c r="AP601" i="1"/>
  <c r="AO643" i="1"/>
  <c r="AN643" i="1"/>
  <c r="AO611" i="1"/>
  <c r="AO638" i="1"/>
  <c r="AP628" i="1"/>
  <c r="AO606" i="1"/>
  <c r="AP638" i="1"/>
  <c r="AP618" i="1"/>
  <c r="AO623" i="1"/>
  <c r="AP613" i="1"/>
  <c r="AO618" i="1"/>
  <c r="AP603" i="1"/>
  <c r="AP630" i="1"/>
  <c r="AP598" i="1"/>
  <c r="AP625" i="1"/>
  <c r="AO603" i="1"/>
  <c r="AN603" i="1"/>
  <c r="AO640" i="1"/>
  <c r="AO630" i="1"/>
  <c r="AO598" i="1"/>
  <c r="AO635" i="1"/>
  <c r="AP647" i="1"/>
  <c r="AO625" i="1"/>
  <c r="AP615" i="1"/>
  <c r="AP642" i="1"/>
  <c r="AO620" i="1"/>
  <c r="AO615" i="1"/>
  <c r="AP605" i="1"/>
  <c r="AO610" i="1"/>
  <c r="AP600" i="1"/>
  <c r="AP627" i="1"/>
  <c r="AO605" i="1"/>
  <c r="AN605" i="1"/>
  <c r="AP622" i="1"/>
  <c r="AO600" i="1"/>
  <c r="AP617" i="1"/>
  <c r="AP632" i="1"/>
  <c r="AO622" i="1"/>
  <c r="AO637" i="1"/>
  <c r="AP607" i="1"/>
  <c r="AP635" i="1"/>
  <c r="AP634" i="1"/>
  <c r="AO612" i="1"/>
  <c r="AP645" i="1"/>
  <c r="AP629" i="1"/>
  <c r="AO607" i="1"/>
  <c r="AO639" i="1"/>
  <c r="AP624" i="1"/>
  <c r="AO602" i="1"/>
  <c r="AO632" i="1"/>
  <c r="AO629" i="1"/>
  <c r="AP619" i="1"/>
  <c r="AO597" i="1"/>
  <c r="AP646" i="1"/>
  <c r="AO624" i="1"/>
  <c r="AP614" i="1"/>
  <c r="AO647" i="1"/>
  <c r="AN647" i="1"/>
  <c r="AP644" i="1"/>
  <c r="AP609" i="1"/>
  <c r="AP641" i="1"/>
  <c r="AO646" i="1"/>
  <c r="AP636" i="1"/>
  <c r="AO614" i="1"/>
  <c r="AP604" i="1"/>
  <c r="AP631" i="1"/>
  <c r="AO609" i="1"/>
  <c r="AP599" i="1"/>
  <c r="AP637" i="1"/>
  <c r="AO641" i="1"/>
  <c r="AO636" i="1"/>
  <c r="AO604" i="1"/>
  <c r="AO631" i="1"/>
  <c r="AP621" i="1"/>
  <c r="AO599" i="1"/>
  <c r="AN615" i="1"/>
  <c r="AN611" i="1"/>
  <c r="AN601" i="1"/>
  <c r="AN608" i="1"/>
  <c r="AN616" i="1"/>
  <c r="AN612" i="1"/>
  <c r="AN606" i="1"/>
  <c r="AN633" i="1"/>
  <c r="AN632" i="1"/>
  <c r="AN618" i="1"/>
  <c r="AN610" i="1"/>
  <c r="AN617" i="1"/>
  <c r="AN620" i="1"/>
  <c r="AN629" i="1"/>
  <c r="AN609" i="1"/>
  <c r="AN644" i="1"/>
  <c r="AN597" i="1"/>
  <c r="AN622" i="1"/>
  <c r="AN614" i="1"/>
  <c r="AN602" i="1"/>
  <c r="AN626" i="1"/>
  <c r="AN638" i="1"/>
  <c r="AN627" i="1"/>
  <c r="AN634" i="1"/>
  <c r="AN637" i="1"/>
  <c r="AN639" i="1"/>
  <c r="AN625" i="1"/>
  <c r="AN619" i="1"/>
  <c r="AN623" i="1"/>
  <c r="AN646" i="1"/>
  <c r="AN631" i="1"/>
  <c r="AN635" i="1"/>
  <c r="AN621" i="1"/>
  <c r="AN628" i="1"/>
  <c r="AN607" i="1"/>
  <c r="AN636" i="1"/>
  <c r="AN645" i="1"/>
  <c r="AN599" i="1"/>
  <c r="AN604" i="1"/>
  <c r="AN598" i="1"/>
  <c r="AN600" i="1"/>
  <c r="AN640" i="1"/>
  <c r="AN641" i="1"/>
  <c r="AN630" i="1"/>
  <c r="AN624" i="1"/>
  <c r="R633" i="1"/>
  <c r="R638" i="1"/>
  <c r="R623" i="1"/>
  <c r="R611" i="1"/>
  <c r="R642" i="1"/>
  <c r="R628" i="1"/>
  <c r="R632" i="1"/>
  <c r="R617" i="1"/>
  <c r="R647" i="1"/>
  <c r="R637" i="1"/>
  <c r="R622" i="1"/>
  <c r="R610" i="1"/>
  <c r="R641" i="1"/>
  <c r="R616" i="1"/>
  <c r="R621" i="1"/>
  <c r="R631" i="1"/>
  <c r="R613" i="1"/>
  <c r="R626" i="1"/>
  <c r="R615" i="1"/>
  <c r="R627" i="1"/>
  <c r="R620" i="1"/>
  <c r="R636" i="1"/>
  <c r="R635" i="1"/>
  <c r="R639" i="1"/>
  <c r="R612" i="1"/>
  <c r="R644" i="1"/>
  <c r="R630" i="1"/>
  <c r="R640" i="1"/>
  <c r="R625" i="1"/>
  <c r="R614" i="1"/>
  <c r="R646" i="1"/>
  <c r="R645" i="1"/>
  <c r="R619" i="1"/>
  <c r="R634" i="1"/>
  <c r="R624" i="1"/>
  <c r="R629" i="1"/>
  <c r="R643" i="1"/>
  <c r="R648" i="1"/>
  <c r="R618" i="1"/>
  <c r="T612" i="1"/>
  <c r="T643" i="1"/>
  <c r="T614" i="1"/>
  <c r="T639" i="1"/>
  <c r="T624" i="1"/>
  <c r="T648" i="1"/>
  <c r="T634" i="1"/>
  <c r="T616" i="1"/>
  <c r="T620" i="1"/>
  <c r="T646" i="1"/>
  <c r="T627" i="1"/>
  <c r="T642" i="1"/>
  <c r="T632" i="1"/>
  <c r="T617" i="1"/>
  <c r="T615" i="1"/>
  <c r="T628" i="1"/>
  <c r="T623" i="1"/>
  <c r="T644" i="1"/>
  <c r="Z644" i="1"/>
  <c r="T635" i="1"/>
  <c r="V635" i="1"/>
  <c r="AB635" i="1"/>
  <c r="T626" i="1"/>
  <c r="Z626" i="1"/>
  <c r="T610" i="1"/>
  <c r="Z610" i="1"/>
  <c r="T630" i="1"/>
  <c r="Z630" i="1"/>
  <c r="T622" i="1"/>
  <c r="Z622" i="1"/>
  <c r="T636" i="1"/>
  <c r="Z636" i="1"/>
  <c r="T637" i="1"/>
  <c r="V637" i="1"/>
  <c r="AB637" i="1"/>
  <c r="T640" i="1"/>
  <c r="V640" i="1"/>
  <c r="AB640" i="1"/>
  <c r="T621" i="1"/>
  <c r="Z621" i="1"/>
  <c r="T647" i="1"/>
  <c r="V647" i="1"/>
  <c r="AB647" i="1"/>
  <c r="T613" i="1"/>
  <c r="Z613" i="1"/>
  <c r="T645" i="1"/>
  <c r="Z645" i="1"/>
  <c r="T611" i="1"/>
  <c r="Z611" i="1"/>
  <c r="T641" i="1"/>
  <c r="Z641" i="1"/>
  <c r="T638" i="1"/>
  <c r="T625" i="1"/>
  <c r="Z625" i="1"/>
  <c r="T631" i="1"/>
  <c r="Z631" i="1"/>
  <c r="T618" i="1"/>
  <c r="Z618" i="1"/>
  <c r="T629" i="1"/>
  <c r="Z629" i="1"/>
  <c r="T619" i="1"/>
  <c r="Z619" i="1"/>
  <c r="T633" i="1"/>
  <c r="V633" i="1"/>
  <c r="AB633" i="1"/>
  <c r="V638" i="1"/>
  <c r="AB638" i="1"/>
  <c r="Z638" i="1"/>
  <c r="V631" i="1"/>
  <c r="AB631" i="1"/>
  <c r="R599" i="1"/>
  <c r="R606" i="1"/>
  <c r="T606" i="1"/>
  <c r="Z606" i="1"/>
  <c r="R608" i="1"/>
  <c r="T608" i="1"/>
  <c r="Z608" i="1"/>
  <c r="R605" i="1"/>
  <c r="T605" i="1"/>
  <c r="Z605" i="1"/>
  <c r="R604" i="1"/>
  <c r="T604" i="1"/>
  <c r="R600" i="1"/>
  <c r="T600" i="1"/>
  <c r="Z600" i="1"/>
  <c r="R609" i="1"/>
  <c r="T609" i="1"/>
  <c r="Z609" i="1"/>
  <c r="R598" i="1"/>
  <c r="T598" i="1"/>
  <c r="Z598" i="1"/>
  <c r="R601" i="1"/>
  <c r="T601" i="1"/>
  <c r="Z601" i="1"/>
  <c r="R607" i="1"/>
  <c r="T607" i="1"/>
  <c r="Z607" i="1"/>
  <c r="R602" i="1"/>
  <c r="T602" i="1"/>
  <c r="Z602" i="1"/>
  <c r="R603" i="1"/>
  <c r="T603" i="1"/>
  <c r="Z603" i="1"/>
  <c r="R597" i="1"/>
  <c r="Z633" i="1"/>
  <c r="V611" i="1"/>
  <c r="AB611" i="1"/>
  <c r="V613" i="1"/>
  <c r="AB613" i="1"/>
  <c r="V641" i="1"/>
  <c r="AB641" i="1"/>
  <c r="V622" i="1"/>
  <c r="AB622" i="1"/>
  <c r="Z616" i="1"/>
  <c r="V616" i="1"/>
  <c r="AB616" i="1"/>
  <c r="V648" i="1"/>
  <c r="AB648" i="1"/>
  <c r="Z648" i="1"/>
  <c r="V639" i="1"/>
  <c r="AB639" i="1"/>
  <c r="Z639" i="1"/>
  <c r="Z620" i="1"/>
  <c r="V620" i="1"/>
  <c r="AB620" i="1"/>
  <c r="Z628" i="1"/>
  <c r="V628" i="1"/>
  <c r="AB628" i="1"/>
  <c r="V634" i="1"/>
  <c r="AB634" i="1"/>
  <c r="Z634" i="1"/>
  <c r="Z623" i="1"/>
  <c r="V623" i="1"/>
  <c r="AB623" i="1"/>
  <c r="V632" i="1"/>
  <c r="AB632" i="1"/>
  <c r="Z632" i="1"/>
  <c r="V643" i="1"/>
  <c r="AB643" i="1"/>
  <c r="Z643" i="1"/>
  <c r="Z624" i="1"/>
  <c r="V624" i="1"/>
  <c r="AB624" i="1"/>
  <c r="Z617" i="1"/>
  <c r="V617" i="1"/>
  <c r="AB617" i="1"/>
  <c r="Z612" i="1"/>
  <c r="V612" i="1"/>
  <c r="AB612" i="1"/>
  <c r="Z614" i="1"/>
  <c r="V614" i="1"/>
  <c r="AB614" i="1"/>
  <c r="Z642" i="1"/>
  <c r="V642" i="1"/>
  <c r="AB642" i="1"/>
  <c r="V646" i="1"/>
  <c r="AB646" i="1"/>
  <c r="Z646" i="1"/>
  <c r="Z615" i="1"/>
  <c r="V615" i="1"/>
  <c r="AB615" i="1"/>
  <c r="Z627" i="1"/>
  <c r="V627" i="1"/>
  <c r="AB627" i="1"/>
  <c r="Z640" i="1"/>
  <c r="V625" i="1"/>
  <c r="AB625" i="1"/>
  <c r="V619" i="1"/>
  <c r="AB619" i="1"/>
  <c r="V636" i="1"/>
  <c r="AB636" i="1"/>
  <c r="V644" i="1"/>
  <c r="AB644" i="1"/>
  <c r="Z635" i="1"/>
  <c r="V645" i="1"/>
  <c r="AB645" i="1"/>
  <c r="V626" i="1"/>
  <c r="AB626" i="1"/>
  <c r="V610" i="1"/>
  <c r="AB610" i="1"/>
  <c r="V618" i="1"/>
  <c r="AB618" i="1"/>
  <c r="V630" i="1"/>
  <c r="AB630" i="1"/>
  <c r="Z647" i="1"/>
  <c r="V621" i="1"/>
  <c r="AB621" i="1"/>
  <c r="T599" i="1"/>
  <c r="Z599" i="1"/>
  <c r="Z637" i="1"/>
  <c r="T597" i="1"/>
  <c r="Z597" i="1"/>
  <c r="V629" i="1"/>
  <c r="AB629" i="1"/>
  <c r="V604" i="1"/>
  <c r="AB604" i="1"/>
  <c r="Z604" i="1"/>
  <c r="V599" i="1"/>
  <c r="AB599" i="1"/>
  <c r="V605" i="1"/>
  <c r="AB605" i="1"/>
  <c r="V607" i="1"/>
  <c r="AB607" i="1"/>
  <c r="V608" i="1"/>
  <c r="AB608" i="1"/>
  <c r="V609" i="1"/>
  <c r="AB609" i="1"/>
  <c r="V606" i="1"/>
  <c r="AB606" i="1"/>
  <c r="V601" i="1"/>
  <c r="AB601" i="1"/>
  <c r="V598" i="1"/>
  <c r="AB598" i="1"/>
  <c r="V602" i="1"/>
  <c r="AB602" i="1"/>
  <c r="V603" i="1"/>
  <c r="AB603" i="1"/>
  <c r="V600" i="1"/>
  <c r="AB600" i="1"/>
  <c r="V597" i="1"/>
  <c r="AB597" i="1"/>
  <c r="E612" i="1"/>
  <c r="G612" i="1"/>
  <c r="I612" i="1"/>
  <c r="E609" i="1"/>
  <c r="E619" i="1"/>
  <c r="E640" i="1"/>
  <c r="G640" i="1"/>
  <c r="I640" i="1"/>
  <c r="E630" i="1"/>
  <c r="E608" i="1"/>
  <c r="G608" i="1"/>
  <c r="I608" i="1"/>
  <c r="E637" i="1"/>
  <c r="G637" i="1"/>
  <c r="I637" i="1"/>
  <c r="E632" i="1"/>
  <c r="G632" i="1"/>
  <c r="I632" i="1"/>
  <c r="E629" i="1"/>
  <c r="G629" i="1"/>
  <c r="I629" i="1"/>
  <c r="E627" i="1"/>
  <c r="G627" i="1"/>
  <c r="I627" i="1"/>
  <c r="E636" i="1"/>
  <c r="G636" i="1"/>
  <c r="I636" i="1"/>
  <c r="E635" i="1"/>
  <c r="G635" i="1"/>
  <c r="I635" i="1"/>
  <c r="E614" i="1"/>
  <c r="G614" i="1"/>
  <c r="I614" i="1"/>
  <c r="E606" i="1"/>
  <c r="G606" i="1"/>
  <c r="I606" i="1"/>
  <c r="E605" i="1"/>
  <c r="G605" i="1"/>
  <c r="I605" i="1"/>
  <c r="E615" i="1"/>
  <c r="G615" i="1"/>
  <c r="I615" i="1"/>
  <c r="E639" i="1"/>
  <c r="G639" i="1"/>
  <c r="I639" i="1"/>
  <c r="E645" i="1"/>
  <c r="G645" i="1"/>
  <c r="I645" i="1"/>
  <c r="E625" i="1"/>
  <c r="G625" i="1"/>
  <c r="I625" i="1"/>
  <c r="E642" i="1"/>
  <c r="G642" i="1"/>
  <c r="I642" i="1"/>
  <c r="E623" i="1"/>
  <c r="G623" i="1"/>
  <c r="I623" i="1"/>
  <c r="E610" i="1"/>
  <c r="G610" i="1"/>
  <c r="I610" i="1"/>
  <c r="E617" i="1"/>
  <c r="E613" i="1"/>
  <c r="E643" i="1"/>
  <c r="G643" i="1"/>
  <c r="I643" i="1"/>
  <c r="E618" i="1"/>
  <c r="G618" i="1"/>
  <c r="I618" i="1"/>
  <c r="E648" i="1"/>
  <c r="E628" i="1"/>
  <c r="E633" i="1"/>
  <c r="G633" i="1"/>
  <c r="I633" i="1"/>
  <c r="E611" i="1"/>
  <c r="E631" i="1"/>
  <c r="E620" i="1"/>
  <c r="E607" i="1"/>
  <c r="G607" i="1"/>
  <c r="I607" i="1"/>
  <c r="E634" i="1"/>
  <c r="E641" i="1"/>
  <c r="G641" i="1"/>
  <c r="I641" i="1"/>
  <c r="E644" i="1"/>
  <c r="G644" i="1"/>
  <c r="I644" i="1"/>
  <c r="E622" i="1"/>
  <c r="G622" i="1"/>
  <c r="I622" i="1"/>
  <c r="E626" i="1"/>
  <c r="G626" i="1"/>
  <c r="I626" i="1"/>
  <c r="E621" i="1"/>
  <c r="G621" i="1"/>
  <c r="I621" i="1"/>
  <c r="E624" i="1"/>
  <c r="E646" i="1"/>
  <c r="G646" i="1"/>
  <c r="I646" i="1"/>
  <c r="E616" i="1"/>
  <c r="G616" i="1"/>
  <c r="I616" i="1"/>
  <c r="E638" i="1"/>
  <c r="G638" i="1"/>
  <c r="I638" i="1"/>
  <c r="E647" i="1"/>
  <c r="G647" i="1"/>
  <c r="I647" i="1"/>
  <c r="G624" i="1"/>
  <c r="I624" i="1"/>
  <c r="G630" i="1"/>
  <c r="I630" i="1"/>
  <c r="G619" i="1"/>
  <c r="I619" i="1"/>
  <c r="G634" i="1"/>
  <c r="I634" i="1"/>
  <c r="G609" i="1"/>
  <c r="I609" i="1"/>
  <c r="G631" i="1"/>
  <c r="I631" i="1"/>
  <c r="G620" i="1"/>
  <c r="I620" i="1"/>
  <c r="G628" i="1"/>
  <c r="I628" i="1"/>
  <c r="G611" i="1"/>
  <c r="I611" i="1"/>
  <c r="G648" i="1"/>
  <c r="I648" i="1"/>
  <c r="G613" i="1"/>
  <c r="I613" i="1"/>
  <c r="G617" i="1"/>
  <c r="I617" i="1"/>
  <c r="E603" i="1"/>
  <c r="G603" i="1"/>
  <c r="I603" i="1"/>
  <c r="E602" i="1"/>
  <c r="G602" i="1"/>
  <c r="I602" i="1"/>
  <c r="E599" i="1"/>
  <c r="G599" i="1"/>
  <c r="I599" i="1"/>
  <c r="E597" i="1"/>
  <c r="G597" i="1"/>
  <c r="I597" i="1"/>
  <c r="E598" i="1"/>
  <c r="G598" i="1"/>
  <c r="I598" i="1"/>
  <c r="E604" i="1"/>
  <c r="G604" i="1"/>
  <c r="I604" i="1"/>
  <c r="E600" i="1"/>
  <c r="G600" i="1"/>
  <c r="I600" i="1"/>
  <c r="E601" i="1"/>
  <c r="G601" i="1"/>
  <c r="I601" i="1"/>
  <c r="AA596" i="1"/>
  <c r="AA595" i="1"/>
  <c r="AA594" i="1"/>
  <c r="AA593" i="1"/>
  <c r="AA592" i="1"/>
  <c r="AO593" i="1"/>
  <c r="AP593" i="1"/>
  <c r="AP595" i="1"/>
  <c r="AP592" i="1"/>
  <c r="AO595" i="1"/>
  <c r="AO594" i="1"/>
  <c r="AO592" i="1"/>
  <c r="AN592" i="1"/>
  <c r="AP594" i="1"/>
  <c r="AP596" i="1"/>
  <c r="AO596" i="1"/>
  <c r="AN596" i="1"/>
  <c r="AN595" i="1"/>
  <c r="AN594" i="1"/>
  <c r="AN593" i="1"/>
  <c r="R593" i="1"/>
  <c r="T593" i="1"/>
  <c r="R596" i="1"/>
  <c r="T596" i="1"/>
  <c r="Z593" i="1"/>
  <c r="V593" i="1"/>
  <c r="AB593" i="1"/>
  <c r="Z596" i="1"/>
  <c r="V596" i="1"/>
  <c r="AB596" i="1"/>
  <c r="R595" i="1"/>
  <c r="T595" i="1"/>
  <c r="R594" i="1"/>
  <c r="T594" i="1"/>
  <c r="R592" i="1"/>
  <c r="T592" i="1"/>
  <c r="Z594" i="1"/>
  <c r="V594" i="1"/>
  <c r="AB594" i="1"/>
  <c r="Z595" i="1"/>
  <c r="V595" i="1"/>
  <c r="AB595" i="1"/>
  <c r="Z592" i="1"/>
  <c r="V592" i="1"/>
  <c r="AB592" i="1"/>
  <c r="E593" i="1"/>
  <c r="G593" i="1"/>
  <c r="I593" i="1"/>
  <c r="E596" i="1"/>
  <c r="G596" i="1"/>
  <c r="I596" i="1"/>
  <c r="E592" i="1"/>
  <c r="G592" i="1"/>
  <c r="I592" i="1"/>
  <c r="E595" i="1"/>
  <c r="G595" i="1"/>
  <c r="I595" i="1"/>
  <c r="E594" i="1"/>
  <c r="G594" i="1"/>
  <c r="I594" i="1"/>
  <c r="AP586" i="1"/>
  <c r="AP591" i="1"/>
  <c r="AO591" i="1"/>
  <c r="AA587" i="1"/>
  <c r="AA588" i="1"/>
  <c r="AA589" i="1"/>
  <c r="AA590" i="1"/>
  <c r="AA591" i="1"/>
  <c r="AP588" i="1"/>
  <c r="AP590" i="1"/>
  <c r="AP587" i="1"/>
  <c r="AO587" i="1"/>
  <c r="AO590" i="1"/>
  <c r="AO588" i="1"/>
  <c r="AP589" i="1"/>
  <c r="AO589" i="1"/>
  <c r="AN591" i="1"/>
  <c r="AN587" i="1"/>
  <c r="AN589" i="1"/>
  <c r="AN590" i="1"/>
  <c r="AN588" i="1"/>
  <c r="R588" i="1"/>
  <c r="T588" i="1"/>
  <c r="R590" i="1"/>
  <c r="T590" i="1"/>
  <c r="R591" i="1"/>
  <c r="T591" i="1"/>
  <c r="V591" i="1"/>
  <c r="AB591" i="1"/>
  <c r="Z591" i="1"/>
  <c r="Z590" i="1"/>
  <c r="V590" i="1"/>
  <c r="AB590" i="1"/>
  <c r="V588" i="1"/>
  <c r="AB588" i="1"/>
  <c r="Z588" i="1"/>
  <c r="R587" i="1"/>
  <c r="T587" i="1"/>
  <c r="R589" i="1"/>
  <c r="T589" i="1"/>
  <c r="Z587" i="1"/>
  <c r="V587" i="1"/>
  <c r="AB587" i="1"/>
  <c r="V589" i="1"/>
  <c r="AB589" i="1"/>
  <c r="Z589" i="1"/>
  <c r="E587" i="1"/>
  <c r="G587" i="1"/>
  <c r="I587" i="1"/>
  <c r="E591" i="1"/>
  <c r="G591" i="1"/>
  <c r="I591" i="1"/>
  <c r="E590" i="1"/>
  <c r="G590" i="1"/>
  <c r="I590" i="1"/>
  <c r="E589" i="1"/>
  <c r="G589" i="1"/>
  <c r="I589" i="1"/>
  <c r="E588" i="1"/>
  <c r="G588" i="1"/>
  <c r="I588" i="1"/>
  <c r="AA581" i="1"/>
  <c r="AA582" i="1"/>
  <c r="AA583" i="1"/>
  <c r="AA584" i="1"/>
  <c r="AA585" i="1"/>
  <c r="AA586" i="1"/>
  <c r="AO581" i="1"/>
  <c r="AO583" i="1"/>
  <c r="AP584" i="1"/>
  <c r="AP585" i="1"/>
  <c r="AO584" i="1"/>
  <c r="AN584" i="1"/>
  <c r="AP582" i="1"/>
  <c r="AP581" i="1"/>
  <c r="AO586" i="1"/>
  <c r="AP583" i="1"/>
  <c r="AO585" i="1"/>
  <c r="AN585" i="1"/>
  <c r="AO582" i="1"/>
  <c r="AN583" i="1"/>
  <c r="AN582" i="1"/>
  <c r="AN586" i="1"/>
  <c r="AN581" i="1"/>
  <c r="R584" i="1"/>
  <c r="T584" i="1"/>
  <c r="R583" i="1"/>
  <c r="T583" i="1"/>
  <c r="R585" i="1"/>
  <c r="T585" i="1"/>
  <c r="R586" i="1"/>
  <c r="T586" i="1"/>
  <c r="V585" i="1"/>
  <c r="AB585" i="1"/>
  <c r="Z585" i="1"/>
  <c r="V586" i="1"/>
  <c r="AB586" i="1"/>
  <c r="Z586" i="1"/>
  <c r="V583" i="1"/>
  <c r="AB583" i="1"/>
  <c r="Z583" i="1"/>
  <c r="V584" i="1"/>
  <c r="AB584" i="1"/>
  <c r="Z584" i="1"/>
  <c r="R582" i="1"/>
  <c r="T582" i="1"/>
  <c r="Z582" i="1"/>
  <c r="V582" i="1"/>
  <c r="AB582" i="1"/>
  <c r="E585" i="1"/>
  <c r="G585" i="1"/>
  <c r="I585" i="1"/>
  <c r="E583" i="1"/>
  <c r="G583" i="1"/>
  <c r="I583" i="1"/>
  <c r="E586" i="1"/>
  <c r="G586" i="1"/>
  <c r="I586" i="1"/>
  <c r="E582" i="1"/>
  <c r="G582" i="1"/>
  <c r="I582" i="1"/>
  <c r="E584" i="1"/>
  <c r="G584" i="1"/>
  <c r="I584" i="1"/>
  <c r="AA580" i="1"/>
  <c r="AA579" i="1"/>
  <c r="AA578" i="1"/>
  <c r="AA577" i="1"/>
  <c r="AA576" i="1"/>
  <c r="AA575" i="1"/>
  <c r="AA574" i="1"/>
  <c r="AA573" i="1"/>
  <c r="AA572" i="1"/>
  <c r="AA571" i="1"/>
  <c r="AA570" i="1"/>
  <c r="AP570" i="1"/>
  <c r="AP575" i="1"/>
  <c r="AO571" i="1"/>
  <c r="AO578" i="1"/>
  <c r="AO568" i="1"/>
  <c r="AO572" i="1"/>
  <c r="AO573" i="1"/>
  <c r="AP571" i="1"/>
  <c r="AP576" i="1"/>
  <c r="AP566" i="1"/>
  <c r="AO570" i="1"/>
  <c r="AO580" i="1"/>
  <c r="AP567" i="1"/>
  <c r="AO567" i="1"/>
  <c r="AP572" i="1"/>
  <c r="AP577" i="1"/>
  <c r="AO574" i="1"/>
  <c r="AO576" i="1"/>
  <c r="AO566" i="1"/>
  <c r="AO579" i="1"/>
  <c r="AO575" i="1"/>
  <c r="AP579" i="1"/>
  <c r="AP578" i="1"/>
  <c r="AP580" i="1"/>
  <c r="AO577" i="1"/>
  <c r="AP569" i="1"/>
  <c r="AP568" i="1"/>
  <c r="AO569" i="1"/>
  <c r="AP574" i="1"/>
  <c r="AP573" i="1"/>
  <c r="AA569" i="1"/>
  <c r="AA568" i="1"/>
  <c r="AA567" i="1"/>
  <c r="AN567" i="1"/>
  <c r="AN578" i="1"/>
  <c r="AN572" i="1"/>
  <c r="AN568" i="1"/>
  <c r="AN571" i="1"/>
  <c r="AN569" i="1"/>
  <c r="AN577" i="1"/>
  <c r="AN580" i="1"/>
  <c r="AN570" i="1"/>
  <c r="AN579" i="1"/>
  <c r="AN566" i="1"/>
  <c r="AN573" i="1"/>
  <c r="AN575" i="1"/>
  <c r="AN576" i="1"/>
  <c r="AN574" i="1"/>
  <c r="R579" i="1"/>
  <c r="T579" i="1"/>
  <c r="R576" i="1"/>
  <c r="T576" i="1"/>
  <c r="R574" i="1"/>
  <c r="T574" i="1"/>
  <c r="R575" i="1"/>
  <c r="T575" i="1"/>
  <c r="R580" i="1"/>
  <c r="T580" i="1"/>
  <c r="R570" i="1"/>
  <c r="T570" i="1"/>
  <c r="R578" i="1"/>
  <c r="T578" i="1"/>
  <c r="R572" i="1"/>
  <c r="T572" i="1"/>
  <c r="R581" i="1"/>
  <c r="T581" i="1"/>
  <c r="R571" i="1"/>
  <c r="T571" i="1"/>
  <c r="R577" i="1"/>
  <c r="R573" i="1"/>
  <c r="T573" i="1"/>
  <c r="T577" i="1"/>
  <c r="Z581" i="1"/>
  <c r="V581" i="1"/>
  <c r="AB581" i="1"/>
  <c r="Z578" i="1"/>
  <c r="V578" i="1"/>
  <c r="AB578" i="1"/>
  <c r="Z570" i="1"/>
  <c r="V570" i="1"/>
  <c r="AB570" i="1"/>
  <c r="V573" i="1"/>
  <c r="AB573" i="1"/>
  <c r="Z573" i="1"/>
  <c r="V580" i="1"/>
  <c r="AB580" i="1"/>
  <c r="Z580" i="1"/>
  <c r="V575" i="1"/>
  <c r="AB575" i="1"/>
  <c r="Z575" i="1"/>
  <c r="Z572" i="1"/>
  <c r="V572" i="1"/>
  <c r="AB572" i="1"/>
  <c r="Z574" i="1"/>
  <c r="V574" i="1"/>
  <c r="AB574" i="1"/>
  <c r="Z577" i="1"/>
  <c r="V577" i="1"/>
  <c r="AB577" i="1"/>
  <c r="V576" i="1"/>
  <c r="AB576" i="1"/>
  <c r="Z576" i="1"/>
  <c r="Z571" i="1"/>
  <c r="V571" i="1"/>
  <c r="AB571" i="1"/>
  <c r="V579" i="1"/>
  <c r="AB579" i="1"/>
  <c r="Z579" i="1"/>
  <c r="R568" i="1"/>
  <c r="T568" i="1"/>
  <c r="R569" i="1"/>
  <c r="T569" i="1"/>
  <c r="R567" i="1"/>
  <c r="T567" i="1"/>
  <c r="Z568" i="1"/>
  <c r="V568" i="1"/>
  <c r="AB568" i="1"/>
  <c r="E573" i="1"/>
  <c r="G573" i="1"/>
  <c r="I573" i="1"/>
  <c r="E579" i="1"/>
  <c r="G579" i="1"/>
  <c r="I579" i="1"/>
  <c r="V569" i="1"/>
  <c r="AB569" i="1"/>
  <c r="Z569" i="1"/>
  <c r="E577" i="1"/>
  <c r="G577" i="1"/>
  <c r="I577" i="1"/>
  <c r="E581" i="1"/>
  <c r="G581" i="1"/>
  <c r="I581" i="1"/>
  <c r="Z567" i="1"/>
  <c r="V567" i="1"/>
  <c r="AB567" i="1"/>
  <c r="E576" i="1"/>
  <c r="G576" i="1"/>
  <c r="I576" i="1"/>
  <c r="E578" i="1"/>
  <c r="G578" i="1"/>
  <c r="I578" i="1"/>
  <c r="E575" i="1"/>
  <c r="G575" i="1"/>
  <c r="I575" i="1"/>
  <c r="E580" i="1"/>
  <c r="G580" i="1"/>
  <c r="I580" i="1"/>
  <c r="E572" i="1"/>
  <c r="G572" i="1"/>
  <c r="I572" i="1"/>
  <c r="E574" i="1"/>
  <c r="G574" i="1"/>
  <c r="I574" i="1"/>
  <c r="E567" i="1"/>
  <c r="G567" i="1"/>
  <c r="I567" i="1"/>
  <c r="E568" i="1"/>
  <c r="G568" i="1"/>
  <c r="I568" i="1"/>
  <c r="E569" i="1"/>
  <c r="G569" i="1"/>
  <c r="I569" i="1"/>
  <c r="E570" i="1"/>
  <c r="G570" i="1"/>
  <c r="I570" i="1"/>
  <c r="E571" i="1"/>
  <c r="G571" i="1"/>
  <c r="I571" i="1"/>
  <c r="AP563" i="1"/>
  <c r="AO564" i="1"/>
  <c r="AP565" i="1"/>
  <c r="AP561" i="1"/>
  <c r="AP564" i="1"/>
  <c r="AO565" i="1"/>
  <c r="AO563" i="1"/>
  <c r="AO561" i="1"/>
  <c r="AN565" i="1"/>
  <c r="AN561" i="1"/>
  <c r="AN564" i="1"/>
  <c r="AN563" i="1"/>
  <c r="AA560" i="1"/>
  <c r="AA561" i="1"/>
  <c r="AA562" i="1"/>
  <c r="AA563" i="1"/>
  <c r="AA564" i="1"/>
  <c r="AA565" i="1"/>
  <c r="AA566" i="1"/>
  <c r="R562" i="1"/>
  <c r="R565" i="1"/>
  <c r="R563" i="1"/>
  <c r="T563" i="1"/>
  <c r="V563" i="1"/>
  <c r="AB563" i="1"/>
  <c r="T565" i="1"/>
  <c r="Z565" i="1"/>
  <c r="T562" i="1"/>
  <c r="Z562" i="1"/>
  <c r="R566" i="1"/>
  <c r="T566" i="1"/>
  <c r="R564" i="1"/>
  <c r="T564" i="1"/>
  <c r="V562" i="1"/>
  <c r="AB562" i="1"/>
  <c r="V565" i="1"/>
  <c r="AB565" i="1"/>
  <c r="Z563" i="1"/>
  <c r="Z566" i="1"/>
  <c r="V566" i="1"/>
  <c r="AB566" i="1"/>
  <c r="V564" i="1"/>
  <c r="AB564" i="1"/>
  <c r="Z564" i="1"/>
  <c r="E565" i="1"/>
  <c r="G565" i="1"/>
  <c r="I565" i="1"/>
  <c r="E566" i="1"/>
  <c r="G566" i="1"/>
  <c r="I566" i="1"/>
  <c r="E564" i="1"/>
  <c r="G564" i="1"/>
  <c r="I564" i="1"/>
  <c r="E562" i="1"/>
  <c r="G562" i="1"/>
  <c r="I562" i="1"/>
  <c r="E563" i="1"/>
  <c r="G563" i="1"/>
  <c r="I563" i="1"/>
  <c r="AA559" i="1"/>
  <c r="AA558" i="1"/>
  <c r="AA557" i="1"/>
  <c r="AP558" i="1"/>
  <c r="AO558" i="1"/>
  <c r="AO557" i="1"/>
  <c r="AP557" i="1"/>
  <c r="AP560" i="1"/>
  <c r="AP559" i="1"/>
  <c r="AP556" i="1"/>
  <c r="AO560" i="1"/>
  <c r="AO559" i="1"/>
  <c r="AO556" i="1"/>
  <c r="AN559" i="1"/>
  <c r="AN556" i="1"/>
  <c r="AN560" i="1"/>
  <c r="AN558" i="1"/>
  <c r="AN557" i="1"/>
  <c r="R559" i="1"/>
  <c r="T559" i="1"/>
  <c r="R561" i="1"/>
  <c r="T561" i="1"/>
  <c r="Z561" i="1"/>
  <c r="V561" i="1"/>
  <c r="AB561" i="1"/>
  <c r="Z559" i="1"/>
  <c r="V559" i="1"/>
  <c r="AB559" i="1"/>
  <c r="R557" i="1"/>
  <c r="T557" i="1"/>
  <c r="R558" i="1"/>
  <c r="T558" i="1"/>
  <c r="R560" i="1"/>
  <c r="T560" i="1"/>
  <c r="Z560" i="1"/>
  <c r="V560" i="1"/>
  <c r="AB560" i="1"/>
  <c r="Z557" i="1"/>
  <c r="V557" i="1"/>
  <c r="AB557" i="1"/>
  <c r="Z558" i="1"/>
  <c r="V558" i="1"/>
  <c r="AB558" i="1"/>
  <c r="E561" i="1"/>
  <c r="G561" i="1"/>
  <c r="I561" i="1"/>
  <c r="E557" i="1"/>
  <c r="G557" i="1"/>
  <c r="I557" i="1"/>
  <c r="E558" i="1"/>
  <c r="G558" i="1"/>
  <c r="I558" i="1"/>
  <c r="E560" i="1"/>
  <c r="G560" i="1"/>
  <c r="I560" i="1"/>
  <c r="E559" i="1"/>
  <c r="G559" i="1"/>
  <c r="I559" i="1"/>
  <c r="AP553" i="1"/>
  <c r="AO555" i="1"/>
  <c r="AO552" i="1"/>
  <c r="AP554" i="1"/>
  <c r="AP555" i="1"/>
  <c r="AP552" i="1"/>
  <c r="AO553" i="1"/>
  <c r="AO554" i="1"/>
  <c r="AO551" i="1"/>
  <c r="AP551" i="1"/>
  <c r="AN552" i="1"/>
  <c r="AN555" i="1"/>
  <c r="AN554" i="1"/>
  <c r="AN553" i="1"/>
  <c r="AN551" i="1"/>
  <c r="AA555" i="1"/>
  <c r="AA556" i="1"/>
  <c r="AA554" i="1"/>
  <c r="AA553" i="1"/>
  <c r="AA552" i="1"/>
  <c r="R553" i="1"/>
  <c r="T553" i="1"/>
  <c r="R556" i="1"/>
  <c r="T556" i="1"/>
  <c r="Z553" i="1"/>
  <c r="V553" i="1"/>
  <c r="AB553" i="1"/>
  <c r="Z556" i="1"/>
  <c r="V556" i="1"/>
  <c r="AB556" i="1"/>
  <c r="R552" i="1"/>
  <c r="T552" i="1"/>
  <c r="R554" i="1"/>
  <c r="T554" i="1"/>
  <c r="R555" i="1"/>
  <c r="T555" i="1"/>
  <c r="V555" i="1"/>
  <c r="AB555" i="1"/>
  <c r="Z555" i="1"/>
  <c r="V554" i="1"/>
  <c r="AB554" i="1"/>
  <c r="Z554" i="1"/>
  <c r="V552" i="1"/>
  <c r="AB552" i="1"/>
  <c r="Z552" i="1"/>
  <c r="E555" i="1"/>
  <c r="G555" i="1"/>
  <c r="I555" i="1"/>
  <c r="E553" i="1"/>
  <c r="G553" i="1"/>
  <c r="I553" i="1"/>
  <c r="E552" i="1"/>
  <c r="G552" i="1"/>
  <c r="I552" i="1"/>
  <c r="E554" i="1"/>
  <c r="G554" i="1"/>
  <c r="I554" i="1"/>
  <c r="E556" i="1"/>
  <c r="G556" i="1"/>
  <c r="I556" i="1"/>
  <c r="AA551" i="1"/>
  <c r="AO550" i="1"/>
  <c r="AO544" i="1"/>
  <c r="AP548" i="1"/>
  <c r="AP547" i="1"/>
  <c r="AP545" i="1"/>
  <c r="AP546" i="1"/>
  <c r="AO543" i="1"/>
  <c r="AO549" i="1"/>
  <c r="AP543" i="1"/>
  <c r="AO547" i="1"/>
  <c r="AN547" i="1"/>
  <c r="AO546" i="1"/>
  <c r="AN546" i="1"/>
  <c r="AP544" i="1"/>
  <c r="AO545" i="1"/>
  <c r="AN545" i="1"/>
  <c r="AP549" i="1"/>
  <c r="AP550" i="1"/>
  <c r="AO548" i="1"/>
  <c r="AN548" i="1"/>
  <c r="AN549" i="1"/>
  <c r="AN543" i="1"/>
  <c r="AN544" i="1"/>
  <c r="AN550" i="1"/>
  <c r="R550" i="1"/>
  <c r="T550" i="1"/>
  <c r="R551" i="1"/>
  <c r="T551" i="1"/>
  <c r="AA550" i="1"/>
  <c r="V551" i="1"/>
  <c r="AB551" i="1"/>
  <c r="Z551" i="1"/>
  <c r="V550" i="1"/>
  <c r="AB550" i="1"/>
  <c r="Z550" i="1"/>
  <c r="E551" i="1"/>
  <c r="G551" i="1"/>
  <c r="I551" i="1"/>
  <c r="AA549" i="1"/>
  <c r="AA548" i="1"/>
  <c r="AA547" i="1"/>
  <c r="AA546" i="1"/>
  <c r="AA545" i="1"/>
  <c r="AA544" i="1"/>
  <c r="AA543" i="1"/>
  <c r="AA542" i="1"/>
  <c r="E550" i="1"/>
  <c r="G550" i="1"/>
  <c r="I550" i="1"/>
  <c r="R543" i="1"/>
  <c r="T543" i="1"/>
  <c r="R546" i="1"/>
  <c r="T546" i="1"/>
  <c r="Z543" i="1"/>
  <c r="V543" i="1"/>
  <c r="AB543" i="1"/>
  <c r="Z546" i="1"/>
  <c r="V546" i="1"/>
  <c r="AB546" i="1"/>
  <c r="R548" i="1"/>
  <c r="T548" i="1"/>
  <c r="R545" i="1"/>
  <c r="T545" i="1"/>
  <c r="R549" i="1"/>
  <c r="T549" i="1"/>
  <c r="R547" i="1"/>
  <c r="T547" i="1"/>
  <c r="R542" i="1"/>
  <c r="T542" i="1"/>
  <c r="R544" i="1"/>
  <c r="T544" i="1"/>
  <c r="Z549" i="1"/>
  <c r="V549" i="1"/>
  <c r="AB549" i="1"/>
  <c r="Z547" i="1"/>
  <c r="V547" i="1"/>
  <c r="AB547" i="1"/>
  <c r="Z544" i="1"/>
  <c r="V544" i="1"/>
  <c r="AB544" i="1"/>
  <c r="Z545" i="1"/>
  <c r="V545" i="1"/>
  <c r="AB545" i="1"/>
  <c r="V542" i="1"/>
  <c r="AB542" i="1"/>
  <c r="Z542" i="1"/>
  <c r="Z548" i="1"/>
  <c r="V548" i="1"/>
  <c r="AB548" i="1"/>
  <c r="E547" i="1"/>
  <c r="G547" i="1"/>
  <c r="I547" i="1"/>
  <c r="E546" i="1"/>
  <c r="G546" i="1"/>
  <c r="I546" i="1"/>
  <c r="E545" i="1"/>
  <c r="G545" i="1"/>
  <c r="I545" i="1"/>
  <c r="E548" i="1"/>
  <c r="G548" i="1"/>
  <c r="I548" i="1"/>
  <c r="E543" i="1"/>
  <c r="G543" i="1"/>
  <c r="I543" i="1"/>
  <c r="E549" i="1"/>
  <c r="G549" i="1"/>
  <c r="I549" i="1"/>
  <c r="E542" i="1"/>
  <c r="G542" i="1"/>
  <c r="I542" i="1"/>
  <c r="E544" i="1"/>
  <c r="G544" i="1"/>
  <c r="I544" i="1"/>
  <c r="AA541" i="1"/>
  <c r="AO541" i="1"/>
  <c r="AP541" i="1"/>
  <c r="AN541" i="1"/>
  <c r="R541" i="1"/>
  <c r="T541" i="1"/>
  <c r="V541" i="1"/>
  <c r="AB541" i="1"/>
  <c r="Z541" i="1"/>
  <c r="E541" i="1"/>
  <c r="AA540" i="1"/>
  <c r="AO540" i="1"/>
  <c r="AP540" i="1"/>
  <c r="G541" i="1"/>
  <c r="I541" i="1"/>
  <c r="AN540" i="1"/>
  <c r="R540" i="1"/>
  <c r="T540" i="1"/>
  <c r="V540" i="1"/>
  <c r="AB540" i="1"/>
  <c r="Z540" i="1"/>
  <c r="E540" i="1"/>
  <c r="AA539" i="1"/>
  <c r="AO539" i="1"/>
  <c r="AP539" i="1"/>
  <c r="G540" i="1"/>
  <c r="I540" i="1"/>
  <c r="AN539" i="1"/>
  <c r="R539" i="1"/>
  <c r="T539" i="1"/>
  <c r="Z539" i="1"/>
  <c r="V539" i="1"/>
  <c r="AB539" i="1"/>
  <c r="E539" i="1"/>
  <c r="AA538" i="1"/>
  <c r="AO538" i="1"/>
  <c r="AP538" i="1"/>
  <c r="G539" i="1"/>
  <c r="I539" i="1"/>
  <c r="AN538" i="1"/>
  <c r="R538" i="1"/>
  <c r="T538" i="1"/>
  <c r="V538" i="1"/>
  <c r="AB538" i="1"/>
  <c r="Z538" i="1"/>
  <c r="E538" i="1"/>
  <c r="AA537" i="1"/>
  <c r="AO537" i="1"/>
  <c r="AP537" i="1"/>
  <c r="G538" i="1"/>
  <c r="I538" i="1"/>
  <c r="AN537" i="1"/>
  <c r="R537" i="1"/>
  <c r="T537" i="1"/>
  <c r="Z537" i="1"/>
  <c r="V537" i="1"/>
  <c r="AB537" i="1"/>
  <c r="E537" i="1"/>
  <c r="AA536" i="1"/>
  <c r="AO536" i="1"/>
  <c r="AP536" i="1"/>
  <c r="G537" i="1"/>
  <c r="I537" i="1"/>
  <c r="AN536" i="1"/>
  <c r="R536" i="1"/>
  <c r="T536" i="1"/>
  <c r="V536" i="1"/>
  <c r="AB536" i="1"/>
  <c r="Z536" i="1"/>
  <c r="E536" i="1"/>
  <c r="AA535" i="1"/>
  <c r="AP535" i="1"/>
  <c r="AO535" i="1"/>
  <c r="G536" i="1"/>
  <c r="I536" i="1"/>
  <c r="AN535" i="1"/>
  <c r="R535" i="1"/>
  <c r="T535" i="1"/>
  <c r="Z535" i="1"/>
  <c r="V535" i="1"/>
  <c r="AB535" i="1"/>
  <c r="E535" i="1"/>
  <c r="AA534" i="1"/>
  <c r="AP534" i="1"/>
  <c r="AO534" i="1"/>
  <c r="AN534" i="1"/>
  <c r="G535" i="1"/>
  <c r="I535" i="1"/>
  <c r="R534" i="1"/>
  <c r="T534" i="1"/>
  <c r="Z534" i="1"/>
  <c r="V534" i="1"/>
  <c r="AB534" i="1"/>
  <c r="E534" i="1"/>
  <c r="AA533" i="1"/>
  <c r="AO533" i="1"/>
  <c r="AP533" i="1"/>
  <c r="G534" i="1"/>
  <c r="I534" i="1"/>
  <c r="AN533" i="1"/>
  <c r="R533" i="1"/>
  <c r="T533" i="1"/>
  <c r="Z533" i="1"/>
  <c r="V533" i="1"/>
  <c r="AB533" i="1"/>
  <c r="E533" i="1"/>
  <c r="AA532" i="1"/>
  <c r="AO532" i="1"/>
  <c r="AP532" i="1"/>
  <c r="G533" i="1"/>
  <c r="I533" i="1"/>
  <c r="AN532" i="1"/>
  <c r="R532" i="1"/>
  <c r="T532" i="1"/>
  <c r="Z532" i="1"/>
  <c r="V532" i="1"/>
  <c r="AB532" i="1"/>
  <c r="E532" i="1"/>
  <c r="AA531" i="1"/>
  <c r="AP531" i="1"/>
  <c r="AO531" i="1"/>
  <c r="AN531" i="1"/>
  <c r="G532" i="1"/>
  <c r="I532" i="1"/>
  <c r="R531" i="1"/>
  <c r="T531" i="1"/>
  <c r="V531" i="1"/>
  <c r="AB531" i="1"/>
  <c r="Z531" i="1"/>
  <c r="E531" i="1"/>
  <c r="AA530" i="1"/>
  <c r="AO530" i="1"/>
  <c r="AP530" i="1"/>
  <c r="G531" i="1"/>
  <c r="I531" i="1"/>
  <c r="AN530" i="1"/>
  <c r="R530" i="1"/>
  <c r="T530" i="1"/>
  <c r="Z530" i="1"/>
  <c r="V530" i="1"/>
  <c r="AB530" i="1"/>
  <c r="E530" i="1"/>
  <c r="AA529" i="1"/>
  <c r="AP529" i="1"/>
  <c r="AO529" i="1"/>
  <c r="AN529" i="1"/>
  <c r="G530" i="1"/>
  <c r="I530" i="1"/>
  <c r="R529" i="1"/>
  <c r="T529" i="1"/>
  <c r="Z529" i="1"/>
  <c r="V529" i="1"/>
  <c r="AB529" i="1"/>
  <c r="E529" i="1"/>
  <c r="AA528" i="1"/>
  <c r="AP528" i="1"/>
  <c r="AO528" i="1"/>
  <c r="AN528" i="1"/>
  <c r="G529" i="1"/>
  <c r="I529" i="1"/>
  <c r="R528" i="1"/>
  <c r="T528" i="1"/>
  <c r="V528" i="1"/>
  <c r="AB528" i="1"/>
  <c r="Z528" i="1"/>
  <c r="E528" i="1"/>
  <c r="AA527" i="1"/>
  <c r="AO527" i="1"/>
  <c r="AP527" i="1"/>
  <c r="G528" i="1"/>
  <c r="I528" i="1"/>
  <c r="AN527" i="1"/>
  <c r="R527" i="1"/>
  <c r="T527" i="1"/>
  <c r="V527" i="1"/>
  <c r="AB527" i="1"/>
  <c r="Z527" i="1"/>
  <c r="E527" i="1"/>
  <c r="AA526" i="1"/>
  <c r="AP526" i="1"/>
  <c r="AO526" i="1"/>
  <c r="G527" i="1"/>
  <c r="I527" i="1"/>
  <c r="AN526" i="1"/>
  <c r="R526" i="1"/>
  <c r="T526" i="1"/>
  <c r="V526" i="1"/>
  <c r="AB526" i="1"/>
  <c r="Z526" i="1"/>
  <c r="E526" i="1"/>
  <c r="AA525" i="1"/>
  <c r="AP525" i="1"/>
  <c r="AO525" i="1"/>
  <c r="AN525" i="1"/>
  <c r="G526" i="1"/>
  <c r="I526" i="1"/>
  <c r="R525" i="1"/>
  <c r="T525" i="1"/>
  <c r="Z525" i="1"/>
  <c r="V525" i="1"/>
  <c r="AB525" i="1"/>
  <c r="E525" i="1"/>
  <c r="AA524" i="1"/>
  <c r="AP524" i="1"/>
  <c r="AO524" i="1"/>
  <c r="AN524" i="1"/>
  <c r="G525" i="1"/>
  <c r="I525" i="1"/>
  <c r="R524" i="1"/>
  <c r="T524" i="1"/>
  <c r="V524" i="1"/>
  <c r="AB524" i="1"/>
  <c r="Z524" i="1"/>
  <c r="E524" i="1"/>
  <c r="AA523" i="1"/>
  <c r="AP523" i="1"/>
  <c r="AO523" i="1"/>
  <c r="G524" i="1"/>
  <c r="I524" i="1"/>
  <c r="AN523" i="1"/>
  <c r="R523" i="1"/>
  <c r="T523" i="1"/>
  <c r="Z523" i="1"/>
  <c r="V523" i="1"/>
  <c r="AB523" i="1"/>
  <c r="E523" i="1"/>
  <c r="AA522" i="1"/>
  <c r="AO522" i="1"/>
  <c r="AP522" i="1"/>
  <c r="G523" i="1"/>
  <c r="I523" i="1"/>
  <c r="AN522" i="1"/>
  <c r="R522" i="1"/>
  <c r="T522" i="1"/>
  <c r="Z522" i="1"/>
  <c r="V522" i="1"/>
  <c r="AB522" i="1"/>
  <c r="E522" i="1"/>
  <c r="AA521" i="1"/>
  <c r="AP521" i="1"/>
  <c r="AO521" i="1"/>
  <c r="G522" i="1"/>
  <c r="I522" i="1"/>
  <c r="AN521" i="1"/>
  <c r="R521" i="1"/>
  <c r="T521" i="1"/>
  <c r="V521" i="1"/>
  <c r="AB521" i="1"/>
  <c r="Z521" i="1"/>
  <c r="E521" i="1"/>
  <c r="AA520" i="1"/>
  <c r="AO520" i="1"/>
  <c r="AP520" i="1"/>
  <c r="G521" i="1"/>
  <c r="I521" i="1"/>
  <c r="AN520" i="1"/>
  <c r="R520" i="1"/>
  <c r="T520" i="1"/>
  <c r="V520" i="1"/>
  <c r="AB520" i="1"/>
  <c r="Z520" i="1"/>
  <c r="E520" i="1"/>
  <c r="AA519" i="1"/>
  <c r="AP519" i="1"/>
  <c r="AO519" i="1"/>
  <c r="G520" i="1"/>
  <c r="I520" i="1"/>
  <c r="AN519" i="1"/>
  <c r="R519" i="1"/>
  <c r="T519" i="1"/>
  <c r="Z519" i="1"/>
  <c r="V519" i="1"/>
  <c r="AB519" i="1"/>
  <c r="E519" i="1"/>
  <c r="AA518" i="1"/>
  <c r="AP518" i="1"/>
  <c r="AO518" i="1"/>
  <c r="G519" i="1"/>
  <c r="I519" i="1"/>
  <c r="AN518" i="1"/>
  <c r="R518" i="1"/>
  <c r="T518" i="1"/>
  <c r="V518" i="1"/>
  <c r="AB518" i="1"/>
  <c r="Z518" i="1"/>
  <c r="E518" i="1"/>
  <c r="AA517" i="1"/>
  <c r="AO517" i="1"/>
  <c r="AP517" i="1"/>
  <c r="G518" i="1"/>
  <c r="I518" i="1"/>
  <c r="AN517" i="1"/>
  <c r="R517" i="1"/>
  <c r="T517" i="1"/>
  <c r="V517" i="1"/>
  <c r="AB517" i="1"/>
  <c r="Z517" i="1"/>
  <c r="E517" i="1"/>
  <c r="AA516" i="1"/>
  <c r="AO516" i="1"/>
  <c r="AP516" i="1"/>
  <c r="G517" i="1"/>
  <c r="I517" i="1"/>
  <c r="AN516" i="1"/>
  <c r="R516" i="1"/>
  <c r="T516" i="1"/>
  <c r="V516" i="1"/>
  <c r="AB516" i="1"/>
  <c r="Z516" i="1"/>
  <c r="E516" i="1"/>
  <c r="AA515" i="1"/>
  <c r="AP515" i="1"/>
  <c r="AO515" i="1"/>
  <c r="G516" i="1"/>
  <c r="I516" i="1"/>
  <c r="AN515" i="1"/>
  <c r="R515" i="1"/>
  <c r="T515" i="1"/>
  <c r="V515" i="1"/>
  <c r="AB515" i="1"/>
  <c r="Z515" i="1"/>
  <c r="E515" i="1"/>
  <c r="AA514" i="1"/>
  <c r="AP514" i="1"/>
  <c r="AO514" i="1"/>
  <c r="AN514" i="1"/>
  <c r="G515" i="1"/>
  <c r="I515" i="1"/>
  <c r="R514" i="1"/>
  <c r="T514" i="1"/>
  <c r="Z514" i="1"/>
  <c r="V514" i="1"/>
  <c r="AB514" i="1"/>
  <c r="E514" i="1"/>
  <c r="AA513" i="1"/>
  <c r="AO513" i="1"/>
  <c r="AP513" i="1"/>
  <c r="G514" i="1"/>
  <c r="I514" i="1"/>
  <c r="AN513" i="1"/>
  <c r="R513" i="1"/>
  <c r="T513" i="1"/>
  <c r="Z513" i="1"/>
  <c r="V513" i="1"/>
  <c r="AB513" i="1"/>
  <c r="E513" i="1"/>
  <c r="AA512" i="1"/>
  <c r="AP512" i="1"/>
  <c r="AO512" i="1"/>
  <c r="G513" i="1"/>
  <c r="I513" i="1"/>
  <c r="AN512" i="1"/>
  <c r="R512" i="1"/>
  <c r="T512" i="1"/>
  <c r="V512" i="1"/>
  <c r="AB512" i="1"/>
  <c r="Z512" i="1"/>
  <c r="E512" i="1"/>
  <c r="AA511" i="1"/>
  <c r="AO511" i="1"/>
  <c r="AP511" i="1"/>
  <c r="G512" i="1"/>
  <c r="I512" i="1"/>
  <c r="AN511" i="1"/>
  <c r="R511" i="1"/>
  <c r="T511" i="1"/>
  <c r="V511" i="1"/>
  <c r="AB511" i="1"/>
  <c r="Z511" i="1"/>
  <c r="E511" i="1"/>
  <c r="AA510" i="1"/>
  <c r="AP510" i="1"/>
  <c r="AO510" i="1"/>
  <c r="AN510" i="1"/>
  <c r="G511" i="1"/>
  <c r="I511" i="1"/>
  <c r="R510" i="1"/>
  <c r="T510" i="1"/>
  <c r="Z510" i="1"/>
  <c r="V510" i="1"/>
  <c r="AB510" i="1"/>
  <c r="E510" i="1"/>
  <c r="AA509" i="1"/>
  <c r="AO509" i="1"/>
  <c r="AP509" i="1"/>
  <c r="G510" i="1"/>
  <c r="I510" i="1"/>
  <c r="AN509" i="1"/>
  <c r="R509" i="1"/>
  <c r="T509" i="1"/>
  <c r="Z509" i="1"/>
  <c r="V509" i="1"/>
  <c r="AB509" i="1"/>
  <c r="E509" i="1"/>
  <c r="AA508" i="1"/>
  <c r="G509" i="1"/>
  <c r="I509" i="1"/>
  <c r="R508" i="1"/>
  <c r="T508" i="1"/>
  <c r="V508" i="1"/>
  <c r="AB508" i="1"/>
  <c r="Z508" i="1"/>
  <c r="E508" i="1"/>
  <c r="AA507" i="1"/>
  <c r="AO507" i="1"/>
  <c r="AP507" i="1"/>
  <c r="G508" i="1"/>
  <c r="I508" i="1"/>
  <c r="AN507" i="1"/>
  <c r="R507" i="1"/>
  <c r="T507" i="1"/>
  <c r="Z507" i="1"/>
  <c r="V507" i="1"/>
  <c r="AB507" i="1"/>
  <c r="E507" i="1"/>
  <c r="AA506" i="1"/>
  <c r="AO506" i="1"/>
  <c r="AP506" i="1"/>
  <c r="G507" i="1"/>
  <c r="I507" i="1"/>
  <c r="AN506" i="1"/>
  <c r="R506" i="1"/>
  <c r="T506" i="1"/>
  <c r="V506" i="1"/>
  <c r="AB506" i="1"/>
  <c r="Z506" i="1"/>
  <c r="E506" i="1"/>
  <c r="AA505" i="1"/>
  <c r="AP505" i="1"/>
  <c r="AO505" i="1"/>
  <c r="AN505" i="1"/>
  <c r="G506" i="1"/>
  <c r="I506" i="1"/>
  <c r="R505" i="1"/>
  <c r="T505" i="1"/>
  <c r="Z505" i="1"/>
  <c r="V505" i="1"/>
  <c r="AB505" i="1"/>
  <c r="E505" i="1"/>
  <c r="AA504" i="1"/>
  <c r="AO504" i="1"/>
  <c r="AP504" i="1"/>
  <c r="G505" i="1"/>
  <c r="I505" i="1"/>
  <c r="AN504" i="1"/>
  <c r="R504" i="1"/>
  <c r="T504" i="1"/>
  <c r="V504" i="1"/>
  <c r="AB504" i="1"/>
  <c r="Z504" i="1"/>
  <c r="E504" i="1"/>
  <c r="AA503" i="1"/>
  <c r="AP503" i="1"/>
  <c r="AO503" i="1"/>
  <c r="AN503" i="1"/>
  <c r="G504" i="1"/>
  <c r="I504" i="1"/>
  <c r="R503" i="1"/>
  <c r="T503" i="1"/>
  <c r="Z503" i="1"/>
  <c r="V503" i="1"/>
  <c r="AB503" i="1"/>
  <c r="E503" i="1"/>
  <c r="AA502" i="1"/>
  <c r="AO502" i="1"/>
  <c r="AP502" i="1"/>
  <c r="G503" i="1"/>
  <c r="I503" i="1"/>
  <c r="AN502" i="1"/>
  <c r="R502" i="1"/>
  <c r="T502" i="1"/>
  <c r="Z502" i="1"/>
  <c r="V502" i="1"/>
  <c r="AB502" i="1"/>
  <c r="E502" i="1"/>
  <c r="AA501" i="1"/>
  <c r="AO501" i="1"/>
  <c r="AP501" i="1"/>
  <c r="G502" i="1"/>
  <c r="I502" i="1"/>
  <c r="AN501" i="1"/>
  <c r="R501" i="1"/>
  <c r="T501" i="1"/>
  <c r="Z501" i="1"/>
  <c r="V501" i="1"/>
  <c r="AB501" i="1"/>
  <c r="E501" i="1"/>
  <c r="AA500" i="1"/>
  <c r="AO500" i="1"/>
  <c r="AP500" i="1"/>
  <c r="G501" i="1"/>
  <c r="I501" i="1"/>
  <c r="AN500" i="1"/>
  <c r="R500" i="1"/>
  <c r="T500" i="1"/>
  <c r="Z500" i="1"/>
  <c r="V500" i="1"/>
  <c r="AB500" i="1"/>
  <c r="E500" i="1"/>
  <c r="AA499" i="1"/>
  <c r="AP499" i="1"/>
  <c r="AO499" i="1"/>
  <c r="G500" i="1"/>
  <c r="I500" i="1"/>
  <c r="AN499" i="1"/>
  <c r="R499" i="1"/>
  <c r="T499" i="1"/>
  <c r="Z499" i="1"/>
  <c r="V499" i="1"/>
  <c r="AB499" i="1"/>
  <c r="E499" i="1"/>
  <c r="AA498" i="1"/>
  <c r="AO498" i="1"/>
  <c r="AP498" i="1"/>
  <c r="G499" i="1"/>
  <c r="I499" i="1"/>
  <c r="AN498" i="1"/>
  <c r="R498" i="1"/>
  <c r="T498" i="1"/>
  <c r="Z498" i="1"/>
  <c r="V498" i="1"/>
  <c r="AB498" i="1"/>
  <c r="E498" i="1"/>
  <c r="AA497" i="1"/>
  <c r="AO497" i="1"/>
  <c r="AP497" i="1"/>
  <c r="G498" i="1"/>
  <c r="I498" i="1"/>
  <c r="R497" i="1"/>
  <c r="AN497" i="1"/>
  <c r="T497" i="1"/>
  <c r="Z497" i="1"/>
  <c r="V497" i="1"/>
  <c r="AB497" i="1"/>
  <c r="E497" i="1"/>
  <c r="AA496" i="1"/>
  <c r="AO496" i="1"/>
  <c r="AP496" i="1"/>
  <c r="G497" i="1"/>
  <c r="I497" i="1"/>
  <c r="AN496" i="1"/>
  <c r="R496" i="1"/>
  <c r="T496" i="1"/>
  <c r="Z496" i="1"/>
  <c r="V496" i="1"/>
  <c r="AB496" i="1"/>
  <c r="E496" i="1"/>
  <c r="AA495" i="1"/>
  <c r="AO495" i="1"/>
  <c r="AP495" i="1"/>
  <c r="G496" i="1"/>
  <c r="I496" i="1"/>
  <c r="AN495" i="1"/>
  <c r="R495" i="1"/>
  <c r="T495" i="1"/>
  <c r="Z495" i="1"/>
  <c r="V495" i="1"/>
  <c r="AB495" i="1"/>
  <c r="E495" i="1"/>
  <c r="AA494" i="1"/>
  <c r="AP494" i="1"/>
  <c r="AO494" i="1"/>
  <c r="G495" i="1"/>
  <c r="I495" i="1"/>
  <c r="AN494" i="1"/>
  <c r="R494" i="1"/>
  <c r="T494" i="1"/>
  <c r="Z494" i="1"/>
  <c r="V494" i="1"/>
  <c r="AB494" i="1"/>
  <c r="E494" i="1"/>
  <c r="AA493" i="1"/>
  <c r="AO493" i="1"/>
  <c r="AP493" i="1"/>
  <c r="G494" i="1"/>
  <c r="I494" i="1"/>
  <c r="AN493" i="1"/>
  <c r="R493" i="1"/>
  <c r="T493" i="1"/>
  <c r="V493" i="1"/>
  <c r="AB493" i="1"/>
  <c r="Z493" i="1"/>
  <c r="E493" i="1"/>
  <c r="AA492" i="1"/>
  <c r="AO492" i="1"/>
  <c r="AP492" i="1"/>
  <c r="G493" i="1"/>
  <c r="I493" i="1"/>
  <c r="AN492" i="1"/>
  <c r="R492" i="1"/>
  <c r="T492" i="1"/>
  <c r="Z492" i="1"/>
  <c r="V492" i="1"/>
  <c r="AB492" i="1"/>
  <c r="E492" i="1"/>
  <c r="AA491" i="1"/>
  <c r="AO491" i="1"/>
  <c r="AP491" i="1"/>
  <c r="G492" i="1"/>
  <c r="I492" i="1"/>
  <c r="AN491" i="1"/>
  <c r="R491" i="1"/>
  <c r="T491" i="1"/>
  <c r="V491" i="1"/>
  <c r="AB491" i="1"/>
  <c r="Z491" i="1"/>
  <c r="E491" i="1"/>
  <c r="AA490" i="1"/>
  <c r="AO490" i="1"/>
  <c r="AP490" i="1"/>
  <c r="G491" i="1"/>
  <c r="I491" i="1"/>
  <c r="AN490" i="1"/>
  <c r="R490" i="1"/>
  <c r="T490" i="1"/>
  <c r="V490" i="1"/>
  <c r="AB490" i="1"/>
  <c r="Z490" i="1"/>
  <c r="E490" i="1"/>
  <c r="AA489" i="1"/>
  <c r="AO489" i="1"/>
  <c r="AP489" i="1"/>
  <c r="G490" i="1"/>
  <c r="I490" i="1"/>
  <c r="AN489" i="1"/>
  <c r="R489" i="1"/>
  <c r="T489" i="1"/>
  <c r="Z489" i="1"/>
  <c r="V489" i="1"/>
  <c r="AB489" i="1"/>
  <c r="E489" i="1"/>
  <c r="AA488" i="1"/>
  <c r="AP488" i="1"/>
  <c r="AO488" i="1"/>
  <c r="G489" i="1"/>
  <c r="I489" i="1"/>
  <c r="AN488" i="1"/>
  <c r="R488" i="1"/>
  <c r="T488" i="1"/>
  <c r="V488" i="1"/>
  <c r="AB488" i="1"/>
  <c r="Z488" i="1"/>
  <c r="E488" i="1"/>
  <c r="AA487" i="1"/>
  <c r="AP487" i="1"/>
  <c r="AO487" i="1"/>
  <c r="G488" i="1"/>
  <c r="I488" i="1"/>
  <c r="AN487" i="1"/>
  <c r="R487" i="1"/>
  <c r="T487" i="1"/>
  <c r="Z487" i="1"/>
  <c r="V487" i="1"/>
  <c r="AB487" i="1"/>
  <c r="E487" i="1"/>
  <c r="AA486" i="1"/>
  <c r="AO486" i="1"/>
  <c r="AP486" i="1"/>
  <c r="G487" i="1"/>
  <c r="I487" i="1"/>
  <c r="AN486" i="1"/>
  <c r="R486" i="1"/>
  <c r="T486" i="1"/>
  <c r="V486" i="1"/>
  <c r="AB486" i="1"/>
  <c r="Z486" i="1"/>
  <c r="E486" i="1"/>
  <c r="AA485" i="1"/>
  <c r="AO485" i="1"/>
  <c r="AP485" i="1"/>
  <c r="G486" i="1"/>
  <c r="I486" i="1"/>
  <c r="AN485" i="1"/>
  <c r="R485" i="1"/>
  <c r="T485" i="1"/>
  <c r="V485" i="1"/>
  <c r="AB485" i="1"/>
  <c r="Z485" i="1"/>
  <c r="E485" i="1"/>
  <c r="AA484" i="1"/>
  <c r="AO484" i="1"/>
  <c r="AP484" i="1"/>
  <c r="G485" i="1"/>
  <c r="I485" i="1"/>
  <c r="AN484" i="1"/>
  <c r="R484" i="1"/>
  <c r="T484" i="1"/>
  <c r="Z484" i="1"/>
  <c r="V484" i="1"/>
  <c r="AB484" i="1"/>
  <c r="E484" i="1"/>
  <c r="AA483" i="1"/>
  <c r="AO483" i="1"/>
  <c r="AP483" i="1"/>
  <c r="G484" i="1"/>
  <c r="I484" i="1"/>
  <c r="AN483" i="1"/>
  <c r="R483" i="1"/>
  <c r="T483" i="1"/>
  <c r="V483" i="1"/>
  <c r="AB483" i="1"/>
  <c r="Z483" i="1"/>
  <c r="E483" i="1"/>
  <c r="AA482" i="1"/>
  <c r="AO482" i="1"/>
  <c r="AP482" i="1"/>
  <c r="G483" i="1"/>
  <c r="I483" i="1"/>
  <c r="AN482" i="1"/>
  <c r="R482" i="1"/>
  <c r="T482" i="1"/>
  <c r="V482" i="1"/>
  <c r="AB482" i="1"/>
  <c r="Z482" i="1"/>
  <c r="E482" i="1"/>
  <c r="AA481" i="1"/>
  <c r="AP481" i="1"/>
  <c r="AO481" i="1"/>
  <c r="AN481" i="1"/>
  <c r="G482" i="1"/>
  <c r="I482" i="1"/>
  <c r="R481" i="1"/>
  <c r="T481" i="1"/>
  <c r="V481" i="1"/>
  <c r="AB481" i="1"/>
  <c r="Z481" i="1"/>
  <c r="E481" i="1"/>
  <c r="AA480" i="1"/>
  <c r="AO480" i="1"/>
  <c r="AP480" i="1"/>
  <c r="G481" i="1"/>
  <c r="I481" i="1"/>
  <c r="AN480" i="1"/>
  <c r="R480" i="1"/>
  <c r="T480" i="1"/>
  <c r="Z480" i="1"/>
  <c r="V480" i="1"/>
  <c r="AB480" i="1"/>
  <c r="E480" i="1"/>
  <c r="AA479" i="1"/>
  <c r="AO479" i="1"/>
  <c r="AP479" i="1"/>
  <c r="G480" i="1"/>
  <c r="I480" i="1"/>
  <c r="AN479" i="1"/>
  <c r="R479" i="1"/>
  <c r="T479" i="1"/>
  <c r="Z479" i="1"/>
  <c r="V479" i="1"/>
  <c r="AB479" i="1"/>
  <c r="E479" i="1"/>
  <c r="AA478" i="1"/>
  <c r="AP478" i="1"/>
  <c r="AO478" i="1"/>
  <c r="AN478" i="1"/>
  <c r="G479" i="1"/>
  <c r="I479" i="1"/>
  <c r="R478" i="1"/>
  <c r="T478" i="1"/>
  <c r="Z478" i="1"/>
  <c r="V478" i="1"/>
  <c r="AB478" i="1"/>
  <c r="E478" i="1"/>
  <c r="AA477" i="1"/>
  <c r="AP477" i="1"/>
  <c r="AO477" i="1"/>
  <c r="G478" i="1"/>
  <c r="I478" i="1"/>
  <c r="AN477" i="1"/>
  <c r="R477" i="1"/>
  <c r="T477" i="1"/>
  <c r="Z477" i="1"/>
  <c r="V477" i="1"/>
  <c r="AB477" i="1"/>
  <c r="E477" i="1"/>
  <c r="AA476" i="1"/>
  <c r="AO476" i="1"/>
  <c r="AP476" i="1"/>
  <c r="G477" i="1"/>
  <c r="I477" i="1"/>
  <c r="AN476" i="1"/>
  <c r="R476" i="1"/>
  <c r="T476" i="1"/>
  <c r="Z476" i="1"/>
  <c r="V476" i="1"/>
  <c r="AB476" i="1"/>
  <c r="E476" i="1"/>
  <c r="AA475" i="1"/>
  <c r="AO475" i="1"/>
  <c r="AP475" i="1"/>
  <c r="G476" i="1"/>
  <c r="I476" i="1"/>
  <c r="AN475" i="1"/>
  <c r="R475" i="1"/>
  <c r="T475" i="1"/>
  <c r="V475" i="1"/>
  <c r="AB475" i="1"/>
  <c r="Z475" i="1"/>
  <c r="E475" i="1"/>
  <c r="AA474" i="1"/>
  <c r="AP474" i="1"/>
  <c r="AO474" i="1"/>
  <c r="G475" i="1"/>
  <c r="I475" i="1"/>
  <c r="AN474" i="1"/>
  <c r="R474" i="1"/>
  <c r="T474" i="1"/>
  <c r="V474" i="1"/>
  <c r="AB474" i="1"/>
  <c r="Z474" i="1"/>
  <c r="E474" i="1"/>
  <c r="AA473" i="1"/>
  <c r="AO473" i="1"/>
  <c r="AP473" i="1"/>
  <c r="G474" i="1"/>
  <c r="I474" i="1"/>
  <c r="AN473" i="1"/>
  <c r="R473" i="1"/>
  <c r="T473" i="1"/>
  <c r="V473" i="1"/>
  <c r="AB473" i="1"/>
  <c r="Z473" i="1"/>
  <c r="E473" i="1"/>
  <c r="AA472" i="1"/>
  <c r="AP472" i="1"/>
  <c r="AO472" i="1"/>
  <c r="G473" i="1"/>
  <c r="I473" i="1"/>
  <c r="AN472" i="1"/>
  <c r="R472" i="1"/>
  <c r="T472" i="1"/>
  <c r="V472" i="1"/>
  <c r="AB472" i="1"/>
  <c r="Z472" i="1"/>
  <c r="E472" i="1"/>
  <c r="AA471" i="1"/>
  <c r="AP471" i="1"/>
  <c r="AO471" i="1"/>
  <c r="AN471" i="1"/>
  <c r="G472" i="1"/>
  <c r="I472" i="1"/>
  <c r="R471" i="1"/>
  <c r="T471" i="1"/>
  <c r="Z471" i="1"/>
  <c r="V471" i="1"/>
  <c r="AB471" i="1"/>
  <c r="E471" i="1"/>
  <c r="AA470" i="1"/>
  <c r="AO470" i="1"/>
  <c r="AP470" i="1"/>
  <c r="G471" i="1"/>
  <c r="I471" i="1"/>
  <c r="AN470" i="1"/>
  <c r="R470" i="1"/>
  <c r="T470" i="1"/>
  <c r="Z470" i="1"/>
  <c r="V470" i="1"/>
  <c r="AB470" i="1"/>
  <c r="E470" i="1"/>
  <c r="AA469" i="1"/>
  <c r="AO469" i="1"/>
  <c r="AP469" i="1"/>
  <c r="G470" i="1"/>
  <c r="I470" i="1"/>
  <c r="AN469" i="1"/>
  <c r="R469" i="1"/>
  <c r="T469" i="1"/>
  <c r="Z469" i="1"/>
  <c r="V469" i="1"/>
  <c r="AB469" i="1"/>
  <c r="E469" i="1"/>
  <c r="AA468" i="1"/>
  <c r="AP468" i="1"/>
  <c r="AO468" i="1"/>
  <c r="G469" i="1"/>
  <c r="I469" i="1"/>
  <c r="AN468" i="1"/>
  <c r="R468" i="1"/>
  <c r="T468" i="1"/>
  <c r="Z468" i="1"/>
  <c r="V468" i="1"/>
  <c r="AB468" i="1"/>
  <c r="E468" i="1"/>
  <c r="AA467" i="1"/>
  <c r="AO467" i="1"/>
  <c r="AP467" i="1"/>
  <c r="G468" i="1"/>
  <c r="I468" i="1"/>
  <c r="AN467" i="1"/>
  <c r="R467" i="1"/>
  <c r="T467" i="1"/>
  <c r="V467" i="1"/>
  <c r="AB467" i="1"/>
  <c r="Z467" i="1"/>
  <c r="E467" i="1"/>
  <c r="AA466" i="1"/>
  <c r="AP466" i="1"/>
  <c r="AO466" i="1"/>
  <c r="G467" i="1"/>
  <c r="I467" i="1"/>
  <c r="AN466" i="1"/>
  <c r="R466" i="1"/>
  <c r="T466" i="1"/>
  <c r="V466" i="1"/>
  <c r="AB466" i="1"/>
  <c r="Z466" i="1"/>
  <c r="E466" i="1"/>
  <c r="AA465" i="1"/>
  <c r="AO465" i="1"/>
  <c r="AP465" i="1"/>
  <c r="G466" i="1"/>
  <c r="I466" i="1"/>
  <c r="AN465" i="1"/>
  <c r="R465" i="1"/>
  <c r="T465" i="1"/>
  <c r="Z465" i="1"/>
  <c r="V465" i="1"/>
  <c r="AB465" i="1"/>
  <c r="E465" i="1"/>
  <c r="AA464" i="1"/>
  <c r="AO464" i="1"/>
  <c r="AP464" i="1"/>
  <c r="G465" i="1"/>
  <c r="I465" i="1"/>
  <c r="AN464" i="1"/>
  <c r="R464" i="1"/>
  <c r="T464" i="1"/>
  <c r="Z464" i="1"/>
  <c r="V464" i="1"/>
  <c r="AB464" i="1"/>
  <c r="E464" i="1"/>
  <c r="AA463" i="1"/>
  <c r="AO463" i="1"/>
  <c r="AP463" i="1"/>
  <c r="G464" i="1"/>
  <c r="I464" i="1"/>
  <c r="AN463" i="1"/>
  <c r="R463" i="1"/>
  <c r="T463" i="1"/>
  <c r="V463" i="1"/>
  <c r="AB463" i="1"/>
  <c r="Z463" i="1"/>
  <c r="E463" i="1"/>
  <c r="AA462" i="1"/>
  <c r="AP462" i="1"/>
  <c r="AO462" i="1"/>
  <c r="G463" i="1"/>
  <c r="I463" i="1"/>
  <c r="AN462" i="1"/>
  <c r="R462" i="1"/>
  <c r="T462" i="1"/>
  <c r="Z462" i="1"/>
  <c r="V462" i="1"/>
  <c r="AB462" i="1"/>
  <c r="E462" i="1"/>
  <c r="AA461" i="1"/>
  <c r="AP461" i="1"/>
  <c r="AO461" i="1"/>
  <c r="G462" i="1"/>
  <c r="I462" i="1"/>
  <c r="AN461" i="1"/>
  <c r="R461" i="1"/>
  <c r="T461" i="1"/>
  <c r="V461" i="1"/>
  <c r="AB461" i="1"/>
  <c r="Z461" i="1"/>
  <c r="E461" i="1"/>
  <c r="AA460" i="1"/>
  <c r="AO460" i="1"/>
  <c r="AP460" i="1"/>
  <c r="G461" i="1"/>
  <c r="I461" i="1"/>
  <c r="AN460" i="1"/>
  <c r="R460" i="1"/>
  <c r="T460" i="1"/>
  <c r="V460" i="1"/>
  <c r="AB460" i="1"/>
  <c r="Z460" i="1"/>
  <c r="E460" i="1"/>
  <c r="AA459" i="1"/>
  <c r="AO459" i="1"/>
  <c r="AP459" i="1"/>
  <c r="G460" i="1"/>
  <c r="I460" i="1"/>
  <c r="AN459" i="1"/>
  <c r="R459" i="1"/>
  <c r="T459" i="1"/>
  <c r="V459" i="1"/>
  <c r="AB459" i="1"/>
  <c r="Z459" i="1"/>
  <c r="E459" i="1"/>
  <c r="AA458" i="1"/>
  <c r="AP458" i="1"/>
  <c r="AO458" i="1"/>
  <c r="AN458" i="1"/>
  <c r="G459" i="1"/>
  <c r="I459" i="1"/>
  <c r="R458" i="1"/>
  <c r="T458" i="1"/>
  <c r="Z458" i="1"/>
  <c r="V458" i="1"/>
  <c r="AB458" i="1"/>
  <c r="E458" i="1"/>
  <c r="AA457" i="1"/>
  <c r="AO457" i="1"/>
  <c r="AP457" i="1"/>
  <c r="G458" i="1"/>
  <c r="I458" i="1"/>
  <c r="AN457" i="1"/>
  <c r="R457" i="1"/>
  <c r="T457" i="1"/>
  <c r="V457" i="1"/>
  <c r="AB457" i="1"/>
  <c r="Z457" i="1"/>
  <c r="E457" i="1"/>
  <c r="AA456" i="1"/>
  <c r="AO456" i="1"/>
  <c r="AP456" i="1"/>
  <c r="G457" i="1"/>
  <c r="I457" i="1"/>
  <c r="AN456" i="1"/>
  <c r="R456" i="1"/>
  <c r="T456" i="1"/>
  <c r="V456" i="1"/>
  <c r="AB456" i="1"/>
  <c r="Z456" i="1"/>
  <c r="E456" i="1"/>
  <c r="AA455" i="1"/>
  <c r="AP455" i="1"/>
  <c r="AO455" i="1"/>
  <c r="G456" i="1"/>
  <c r="I456" i="1"/>
  <c r="AN455" i="1"/>
  <c r="R455" i="1"/>
  <c r="T455" i="1"/>
  <c r="Z455" i="1"/>
  <c r="V455" i="1"/>
  <c r="AB455" i="1"/>
  <c r="E455" i="1"/>
  <c r="AA454" i="1"/>
  <c r="AP454" i="1"/>
  <c r="AO454" i="1"/>
  <c r="AN454" i="1"/>
  <c r="G455" i="1"/>
  <c r="I455" i="1"/>
  <c r="R454" i="1"/>
  <c r="T454" i="1"/>
  <c r="V454" i="1"/>
  <c r="AB454" i="1"/>
  <c r="Z454" i="1"/>
  <c r="E454" i="1"/>
  <c r="AA453" i="1"/>
  <c r="AO453" i="1"/>
  <c r="AP453" i="1"/>
  <c r="G454" i="1"/>
  <c r="I454" i="1"/>
  <c r="AN453" i="1"/>
  <c r="R453" i="1"/>
  <c r="T453" i="1"/>
  <c r="Z453" i="1"/>
  <c r="V453" i="1"/>
  <c r="AB453" i="1"/>
  <c r="E453" i="1"/>
  <c r="AA452" i="1"/>
  <c r="AO452" i="1"/>
  <c r="AP452" i="1"/>
  <c r="G453" i="1"/>
  <c r="I453" i="1"/>
  <c r="AN452" i="1"/>
  <c r="R452" i="1"/>
  <c r="T452" i="1"/>
  <c r="Z452" i="1"/>
  <c r="V452" i="1"/>
  <c r="AB452" i="1"/>
  <c r="E452" i="1"/>
  <c r="AA451" i="1"/>
  <c r="AP451" i="1"/>
  <c r="AO451" i="1"/>
  <c r="AN451" i="1"/>
  <c r="G452" i="1"/>
  <c r="I452" i="1"/>
  <c r="R451" i="1"/>
  <c r="T451" i="1"/>
  <c r="Z451" i="1"/>
  <c r="V451" i="1"/>
  <c r="AB451" i="1"/>
  <c r="E451" i="1"/>
  <c r="AA450" i="1"/>
  <c r="AP450" i="1"/>
  <c r="AO450" i="1"/>
  <c r="G451" i="1"/>
  <c r="I451" i="1"/>
  <c r="AN450" i="1"/>
  <c r="R450" i="1"/>
  <c r="T450" i="1"/>
  <c r="Z450" i="1"/>
  <c r="V450" i="1"/>
  <c r="AB450" i="1"/>
  <c r="E450" i="1"/>
  <c r="AA449" i="1"/>
  <c r="AO449" i="1"/>
  <c r="AP449" i="1"/>
  <c r="G450" i="1"/>
  <c r="I450" i="1"/>
  <c r="AN449" i="1"/>
  <c r="R449" i="1"/>
  <c r="T449" i="1"/>
  <c r="V449" i="1"/>
  <c r="AB449" i="1"/>
  <c r="Z449" i="1"/>
  <c r="E449" i="1"/>
  <c r="AA448" i="1"/>
  <c r="AP448" i="1"/>
  <c r="AO448" i="1"/>
  <c r="AN448" i="1"/>
  <c r="G449" i="1"/>
  <c r="I449" i="1"/>
  <c r="R448" i="1"/>
  <c r="T448" i="1"/>
  <c r="V448" i="1"/>
  <c r="AB448" i="1"/>
  <c r="Z448" i="1"/>
  <c r="E448" i="1"/>
  <c r="AA447" i="1"/>
  <c r="AO447" i="1"/>
  <c r="AP447" i="1"/>
  <c r="G448" i="1"/>
  <c r="I448" i="1"/>
  <c r="AN447" i="1"/>
  <c r="R447" i="1"/>
  <c r="T447" i="1"/>
  <c r="V447" i="1"/>
  <c r="AB447" i="1"/>
  <c r="Z447" i="1"/>
  <c r="E447" i="1"/>
  <c r="AP446" i="1"/>
  <c r="AA446" i="1"/>
  <c r="G447" i="1"/>
  <c r="I447" i="1"/>
  <c r="R446" i="1"/>
  <c r="T446" i="1"/>
  <c r="Z446" i="1"/>
  <c r="V446" i="1"/>
  <c r="AB446" i="1"/>
  <c r="E446" i="1"/>
  <c r="AA445" i="1"/>
  <c r="AO445" i="1"/>
  <c r="AP445" i="1"/>
  <c r="G446" i="1"/>
  <c r="I446" i="1"/>
  <c r="AN445" i="1"/>
  <c r="R445" i="1"/>
  <c r="T445" i="1"/>
  <c r="V445" i="1"/>
  <c r="AB445" i="1"/>
  <c r="Z445" i="1"/>
  <c r="E445" i="1"/>
  <c r="AA444" i="1"/>
  <c r="AO444" i="1"/>
  <c r="AP444" i="1"/>
  <c r="G445" i="1"/>
  <c r="I445" i="1"/>
  <c r="AN444" i="1"/>
  <c r="R444" i="1"/>
  <c r="T444" i="1"/>
  <c r="V444" i="1"/>
  <c r="AB444" i="1"/>
  <c r="Z444" i="1"/>
  <c r="E444" i="1"/>
  <c r="AA443" i="1"/>
  <c r="AO443" i="1"/>
  <c r="AP443" i="1"/>
  <c r="G444" i="1"/>
  <c r="I444" i="1"/>
  <c r="AN443" i="1"/>
  <c r="R443" i="1"/>
  <c r="T443" i="1"/>
  <c r="Z443" i="1"/>
  <c r="V443" i="1"/>
  <c r="AB443" i="1"/>
  <c r="E443" i="1"/>
  <c r="AA442" i="1"/>
  <c r="AP442" i="1"/>
  <c r="AO442" i="1"/>
  <c r="G443" i="1"/>
  <c r="I443" i="1"/>
  <c r="AN442" i="1"/>
  <c r="R442" i="1"/>
  <c r="T442" i="1"/>
  <c r="Z442" i="1"/>
  <c r="V442" i="1"/>
  <c r="AB442" i="1"/>
  <c r="E442" i="1"/>
  <c r="AA441" i="1"/>
  <c r="AO441" i="1"/>
  <c r="AP441" i="1"/>
  <c r="G442" i="1"/>
  <c r="I442" i="1"/>
  <c r="AN441" i="1"/>
  <c r="R441" i="1"/>
  <c r="T441" i="1"/>
  <c r="Z441" i="1"/>
  <c r="V441" i="1"/>
  <c r="AB441" i="1"/>
  <c r="E441" i="1"/>
  <c r="AA440" i="1"/>
  <c r="AO440" i="1"/>
  <c r="AP440" i="1"/>
  <c r="G441" i="1"/>
  <c r="I441" i="1"/>
  <c r="AN440" i="1"/>
  <c r="R440" i="1"/>
  <c r="T440" i="1"/>
  <c r="Z440" i="1"/>
  <c r="V440" i="1"/>
  <c r="AB440" i="1"/>
  <c r="E440" i="1"/>
  <c r="AA439" i="1"/>
  <c r="AO439" i="1"/>
  <c r="AP439" i="1"/>
  <c r="G440" i="1"/>
  <c r="I440" i="1"/>
  <c r="AN439" i="1"/>
  <c r="R439" i="1"/>
  <c r="T439" i="1"/>
  <c r="Z439" i="1"/>
  <c r="V439" i="1"/>
  <c r="AB439" i="1"/>
  <c r="E439" i="1"/>
  <c r="AA438" i="1"/>
  <c r="AO438" i="1"/>
  <c r="AP438" i="1"/>
  <c r="G439" i="1"/>
  <c r="I439" i="1"/>
  <c r="AN438" i="1"/>
  <c r="R438" i="1"/>
  <c r="T438" i="1"/>
  <c r="Z438" i="1"/>
  <c r="V438" i="1"/>
  <c r="AB438" i="1"/>
  <c r="E438" i="1"/>
  <c r="AA437" i="1"/>
  <c r="AP437" i="1"/>
  <c r="AO437" i="1"/>
  <c r="G438" i="1"/>
  <c r="I438" i="1"/>
  <c r="AN437" i="1"/>
  <c r="R437" i="1"/>
  <c r="T437" i="1"/>
  <c r="V437" i="1"/>
  <c r="AB437" i="1"/>
  <c r="Z437" i="1"/>
  <c r="E437" i="1"/>
  <c r="AA436" i="1"/>
  <c r="AO436" i="1"/>
  <c r="AP436" i="1"/>
  <c r="G437" i="1"/>
  <c r="I437" i="1"/>
  <c r="AN436" i="1"/>
  <c r="R436" i="1"/>
  <c r="T436" i="1"/>
  <c r="V436" i="1"/>
  <c r="AB436" i="1"/>
  <c r="Z436" i="1"/>
  <c r="E436" i="1"/>
  <c r="AA435" i="1"/>
  <c r="AO435" i="1"/>
  <c r="AP435" i="1"/>
  <c r="G436" i="1"/>
  <c r="I436" i="1"/>
  <c r="AN435" i="1"/>
  <c r="R435" i="1"/>
  <c r="T435" i="1"/>
  <c r="V435" i="1"/>
  <c r="AB435" i="1"/>
  <c r="Z435" i="1"/>
  <c r="E435" i="1"/>
  <c r="AA434" i="1"/>
  <c r="AO434" i="1"/>
  <c r="AP434" i="1"/>
  <c r="G435" i="1"/>
  <c r="I435" i="1"/>
  <c r="AN434" i="1"/>
  <c r="R434" i="1"/>
  <c r="T434" i="1"/>
  <c r="V434" i="1"/>
  <c r="AB434" i="1"/>
  <c r="Z434" i="1"/>
  <c r="E434" i="1"/>
  <c r="AA433" i="1"/>
  <c r="AO433" i="1"/>
  <c r="AP433" i="1"/>
  <c r="G434" i="1"/>
  <c r="I434" i="1"/>
  <c r="AN433" i="1"/>
  <c r="R433" i="1"/>
  <c r="T433" i="1"/>
  <c r="Z433" i="1"/>
  <c r="V433" i="1"/>
  <c r="AB433" i="1"/>
  <c r="E433" i="1"/>
  <c r="AA432" i="1"/>
  <c r="AO432" i="1"/>
  <c r="AP432" i="1"/>
  <c r="G433" i="1"/>
  <c r="I433" i="1"/>
  <c r="AN432" i="1"/>
  <c r="R432" i="1"/>
  <c r="T432" i="1"/>
  <c r="V432" i="1"/>
  <c r="AB432" i="1"/>
  <c r="Z432" i="1"/>
  <c r="E432" i="1"/>
  <c r="AA431" i="1"/>
  <c r="AO431" i="1"/>
  <c r="AP431" i="1"/>
  <c r="G432" i="1"/>
  <c r="I432" i="1"/>
  <c r="AN431" i="1"/>
  <c r="R431" i="1"/>
  <c r="T431" i="1"/>
  <c r="Z431" i="1"/>
  <c r="V431" i="1"/>
  <c r="AB431" i="1"/>
  <c r="E431" i="1"/>
  <c r="AA430" i="1"/>
  <c r="AO430" i="1"/>
  <c r="AP430" i="1"/>
  <c r="G431" i="1"/>
  <c r="I431" i="1"/>
  <c r="AN430" i="1"/>
  <c r="R430" i="1"/>
  <c r="T430" i="1"/>
  <c r="Z430" i="1"/>
  <c r="V430" i="1"/>
  <c r="AB430" i="1"/>
  <c r="E430" i="1"/>
  <c r="AA429" i="1"/>
  <c r="AP429" i="1"/>
  <c r="AO429" i="1"/>
  <c r="AN429" i="1"/>
  <c r="G430" i="1"/>
  <c r="I430" i="1"/>
  <c r="R429" i="1"/>
  <c r="T429" i="1"/>
  <c r="V429" i="1"/>
  <c r="AB429" i="1"/>
  <c r="Z429" i="1"/>
  <c r="E429" i="1"/>
  <c r="AA428" i="1"/>
  <c r="AP428" i="1"/>
  <c r="AO428" i="1"/>
  <c r="AN428" i="1"/>
  <c r="G429" i="1"/>
  <c r="I429" i="1"/>
  <c r="R428" i="1"/>
  <c r="T428" i="1"/>
  <c r="Z428" i="1"/>
  <c r="V428" i="1"/>
  <c r="AB428" i="1"/>
  <c r="E428" i="1"/>
  <c r="AA427" i="1"/>
  <c r="AO427" i="1"/>
  <c r="AP427" i="1"/>
  <c r="G428" i="1"/>
  <c r="I428" i="1"/>
  <c r="AN427" i="1"/>
  <c r="R427" i="1"/>
  <c r="T427" i="1"/>
  <c r="V427" i="1"/>
  <c r="AB427" i="1"/>
  <c r="Z427" i="1"/>
  <c r="E427" i="1"/>
  <c r="AA426" i="1"/>
  <c r="AO426" i="1"/>
  <c r="AP426" i="1"/>
  <c r="G427" i="1"/>
  <c r="I427" i="1"/>
  <c r="AN426" i="1"/>
  <c r="R426" i="1"/>
  <c r="T426" i="1"/>
  <c r="V426" i="1"/>
  <c r="AB426" i="1"/>
  <c r="Z426" i="1"/>
  <c r="E426" i="1"/>
  <c r="AA425" i="1"/>
  <c r="AO425" i="1"/>
  <c r="AP425" i="1"/>
  <c r="G426" i="1"/>
  <c r="I426" i="1"/>
  <c r="AN425" i="1"/>
  <c r="R425" i="1"/>
  <c r="T425" i="1"/>
  <c r="Z425" i="1"/>
  <c r="V425" i="1"/>
  <c r="AB425" i="1"/>
  <c r="E425" i="1"/>
  <c r="AA424" i="1"/>
  <c r="AO424" i="1"/>
  <c r="AP424" i="1"/>
  <c r="G425" i="1"/>
  <c r="I425" i="1"/>
  <c r="AN424" i="1"/>
  <c r="R424" i="1"/>
  <c r="T424" i="1"/>
  <c r="Z424" i="1"/>
  <c r="V424" i="1"/>
  <c r="AB424" i="1"/>
  <c r="E424" i="1"/>
  <c r="AA423" i="1"/>
  <c r="AO423" i="1"/>
  <c r="AP423" i="1"/>
  <c r="G424" i="1"/>
  <c r="I424" i="1"/>
  <c r="AN423" i="1"/>
  <c r="R423" i="1"/>
  <c r="T423" i="1"/>
  <c r="V423" i="1"/>
  <c r="AB423" i="1"/>
  <c r="Z423" i="1"/>
  <c r="E423" i="1"/>
  <c r="AA422" i="1"/>
  <c r="AO422" i="1"/>
  <c r="AP422" i="1"/>
  <c r="G423" i="1"/>
  <c r="I423" i="1"/>
  <c r="AN422" i="1"/>
  <c r="R422" i="1"/>
  <c r="T422" i="1"/>
  <c r="Z422" i="1"/>
  <c r="V422" i="1"/>
  <c r="AB422" i="1"/>
  <c r="E422" i="1"/>
  <c r="AA421" i="1"/>
  <c r="AP421" i="1"/>
  <c r="AO421" i="1"/>
  <c r="AN421" i="1"/>
  <c r="G422" i="1"/>
  <c r="I422" i="1"/>
  <c r="R421" i="1"/>
  <c r="T421" i="1"/>
  <c r="Z421" i="1"/>
  <c r="V421" i="1"/>
  <c r="AB421" i="1"/>
  <c r="E421" i="1"/>
  <c r="AA420" i="1"/>
  <c r="AO420" i="1"/>
  <c r="AP420" i="1"/>
  <c r="G421" i="1"/>
  <c r="I421" i="1"/>
  <c r="AN420" i="1"/>
  <c r="R420" i="1"/>
  <c r="T420" i="1"/>
  <c r="Z420" i="1"/>
  <c r="V420" i="1"/>
  <c r="AB420" i="1"/>
  <c r="E420" i="1"/>
  <c r="AA419" i="1"/>
  <c r="AO419" i="1"/>
  <c r="AP419" i="1"/>
  <c r="G420" i="1"/>
  <c r="I420" i="1"/>
  <c r="AN419" i="1"/>
  <c r="R419" i="1"/>
  <c r="T419" i="1"/>
  <c r="V419" i="1"/>
  <c r="AB419" i="1"/>
  <c r="Z419" i="1"/>
  <c r="E419" i="1"/>
  <c r="AA418" i="1"/>
  <c r="AP418" i="1"/>
  <c r="AO418" i="1"/>
  <c r="G419" i="1"/>
  <c r="I419" i="1"/>
  <c r="AN418" i="1"/>
  <c r="R418" i="1"/>
  <c r="T418" i="1"/>
  <c r="V418" i="1"/>
  <c r="AB418" i="1"/>
  <c r="Z418" i="1"/>
  <c r="E418" i="1"/>
  <c r="AA417" i="1"/>
  <c r="AP417" i="1"/>
  <c r="AO417" i="1"/>
  <c r="AN417" i="1"/>
  <c r="G418" i="1"/>
  <c r="I418" i="1"/>
  <c r="R417" i="1"/>
  <c r="T417" i="1"/>
  <c r="Z417" i="1"/>
  <c r="V417" i="1"/>
  <c r="AB417" i="1"/>
  <c r="E417" i="1"/>
  <c r="AA416" i="1"/>
  <c r="AO416" i="1"/>
  <c r="AP416" i="1"/>
  <c r="G417" i="1"/>
  <c r="I417" i="1"/>
  <c r="AN416" i="1"/>
  <c r="R416" i="1"/>
  <c r="T416" i="1"/>
  <c r="V416" i="1"/>
  <c r="AB416" i="1"/>
  <c r="Z416" i="1"/>
  <c r="E416" i="1"/>
  <c r="AA415" i="1"/>
  <c r="AP415" i="1"/>
  <c r="AO415" i="1"/>
  <c r="AN415" i="1"/>
  <c r="G416" i="1"/>
  <c r="I416" i="1"/>
  <c r="R415" i="1"/>
  <c r="T415" i="1"/>
  <c r="V415" i="1"/>
  <c r="AB415" i="1"/>
  <c r="Z415" i="1"/>
  <c r="E415" i="1"/>
  <c r="AA414" i="1"/>
  <c r="AO414" i="1"/>
  <c r="AP414" i="1"/>
  <c r="G415" i="1"/>
  <c r="I415" i="1"/>
  <c r="AN414" i="1"/>
  <c r="R414" i="1"/>
  <c r="T414" i="1"/>
  <c r="V414" i="1"/>
  <c r="AB414" i="1"/>
  <c r="Z414" i="1"/>
  <c r="E414" i="1"/>
  <c r="AA413" i="1"/>
  <c r="AO413" i="1"/>
  <c r="AP413" i="1"/>
  <c r="G414" i="1"/>
  <c r="I414" i="1"/>
  <c r="AN413" i="1"/>
  <c r="R413" i="1"/>
  <c r="T413" i="1"/>
  <c r="V413" i="1"/>
  <c r="AB413" i="1"/>
  <c r="Z413" i="1"/>
  <c r="E413" i="1"/>
  <c r="AA412" i="1"/>
  <c r="AO412" i="1"/>
  <c r="AP412" i="1"/>
  <c r="G413" i="1"/>
  <c r="I413" i="1"/>
  <c r="AN412" i="1"/>
  <c r="R412" i="1"/>
  <c r="T412" i="1"/>
  <c r="Z412" i="1"/>
  <c r="V412" i="1"/>
  <c r="AB412" i="1"/>
  <c r="E412" i="1"/>
  <c r="AA411" i="1"/>
  <c r="AO411" i="1"/>
  <c r="AP411" i="1"/>
  <c r="G412" i="1"/>
  <c r="I412" i="1"/>
  <c r="AN411" i="1"/>
  <c r="R411" i="1"/>
  <c r="T411" i="1"/>
  <c r="V411" i="1"/>
  <c r="AB411" i="1"/>
  <c r="Z411" i="1"/>
  <c r="E411" i="1"/>
  <c r="AA410" i="1"/>
  <c r="AO410" i="1"/>
  <c r="AP410" i="1"/>
  <c r="G411" i="1"/>
  <c r="I411" i="1"/>
  <c r="AN410" i="1"/>
  <c r="R410" i="1"/>
  <c r="T410" i="1"/>
  <c r="Z410" i="1"/>
  <c r="V410" i="1"/>
  <c r="AB410" i="1"/>
  <c r="E410" i="1"/>
  <c r="AA409" i="1"/>
  <c r="AO409" i="1"/>
  <c r="AP409" i="1"/>
  <c r="G410" i="1"/>
  <c r="I410" i="1"/>
  <c r="AN409" i="1"/>
  <c r="R409" i="1"/>
  <c r="T409" i="1"/>
  <c r="V409" i="1"/>
  <c r="AB409" i="1"/>
  <c r="Z409" i="1"/>
  <c r="E409" i="1"/>
  <c r="AA408" i="1"/>
  <c r="AP408" i="1"/>
  <c r="AO408" i="1"/>
  <c r="G409" i="1"/>
  <c r="I409" i="1"/>
  <c r="AN408" i="1"/>
  <c r="R408" i="1"/>
  <c r="T408" i="1"/>
  <c r="Z408" i="1"/>
  <c r="V408" i="1"/>
  <c r="AB408" i="1"/>
  <c r="E408" i="1"/>
  <c r="AA407" i="1"/>
  <c r="AO407" i="1"/>
  <c r="AP407" i="1"/>
  <c r="G408" i="1"/>
  <c r="I408" i="1"/>
  <c r="AN407" i="1"/>
  <c r="R407" i="1"/>
  <c r="T407" i="1"/>
  <c r="Z407" i="1"/>
  <c r="V407" i="1"/>
  <c r="AB407" i="1"/>
  <c r="E407" i="1"/>
  <c r="AA406" i="1"/>
  <c r="AO406" i="1"/>
  <c r="AP406" i="1"/>
  <c r="G407" i="1"/>
  <c r="I407" i="1"/>
  <c r="AN406" i="1"/>
  <c r="R406" i="1"/>
  <c r="T406" i="1"/>
  <c r="Z406" i="1"/>
  <c r="V406" i="1"/>
  <c r="AB406" i="1"/>
  <c r="E406" i="1"/>
  <c r="AA405" i="1"/>
  <c r="AO405" i="1"/>
  <c r="AP405" i="1"/>
  <c r="G406" i="1"/>
  <c r="I406" i="1"/>
  <c r="AN405" i="1"/>
  <c r="R405" i="1"/>
  <c r="T405" i="1"/>
  <c r="Z405" i="1"/>
  <c r="V405" i="1"/>
  <c r="AB405" i="1"/>
  <c r="E405" i="1"/>
  <c r="AP404" i="1"/>
  <c r="AO404" i="1"/>
  <c r="AA404" i="1"/>
  <c r="AN404" i="1"/>
  <c r="G405" i="1"/>
  <c r="I405" i="1"/>
  <c r="R404" i="1"/>
  <c r="T404" i="1"/>
  <c r="Z404" i="1"/>
  <c r="V404" i="1"/>
  <c r="AB404" i="1"/>
  <c r="E404" i="1"/>
  <c r="AA403" i="1"/>
  <c r="AO403" i="1"/>
  <c r="AP403" i="1"/>
  <c r="G404" i="1"/>
  <c r="I404" i="1"/>
  <c r="AN403" i="1"/>
  <c r="R403" i="1"/>
  <c r="T403" i="1"/>
  <c r="Z403" i="1"/>
  <c r="V403" i="1"/>
  <c r="AB403" i="1"/>
  <c r="E403" i="1"/>
  <c r="AA402" i="1"/>
  <c r="AP402" i="1"/>
  <c r="AO402" i="1"/>
  <c r="G403" i="1"/>
  <c r="I403" i="1"/>
  <c r="AN402" i="1"/>
  <c r="R402" i="1"/>
  <c r="T402" i="1"/>
  <c r="V402" i="1"/>
  <c r="AB402" i="1"/>
  <c r="Z402" i="1"/>
  <c r="E402" i="1"/>
  <c r="AA401" i="1"/>
  <c r="AP401" i="1"/>
  <c r="AO401" i="1"/>
  <c r="G402" i="1"/>
  <c r="I402" i="1"/>
  <c r="AN401" i="1"/>
  <c r="R401" i="1"/>
  <c r="T401" i="1"/>
  <c r="Z401" i="1"/>
  <c r="V401" i="1"/>
  <c r="AB401" i="1"/>
  <c r="E401" i="1"/>
  <c r="AA400" i="1"/>
  <c r="AO400" i="1"/>
  <c r="AP400" i="1"/>
  <c r="G401" i="1"/>
  <c r="I401" i="1"/>
  <c r="AN400" i="1"/>
  <c r="R400" i="1"/>
  <c r="T400" i="1"/>
  <c r="V400" i="1"/>
  <c r="AB400" i="1"/>
  <c r="Z400" i="1"/>
  <c r="E400" i="1"/>
  <c r="AA399" i="1"/>
  <c r="AO399" i="1"/>
  <c r="AP399" i="1"/>
  <c r="G400" i="1"/>
  <c r="I400" i="1"/>
  <c r="AN399" i="1"/>
  <c r="R399" i="1"/>
  <c r="T399" i="1"/>
  <c r="Z399" i="1"/>
  <c r="V399" i="1"/>
  <c r="AB399" i="1"/>
  <c r="E399" i="1"/>
  <c r="AA398" i="1"/>
  <c r="AO398" i="1"/>
  <c r="AP398" i="1"/>
  <c r="G399" i="1"/>
  <c r="I399" i="1"/>
  <c r="AN398" i="1"/>
  <c r="R398" i="1"/>
  <c r="T398" i="1"/>
  <c r="Z398" i="1"/>
  <c r="V398" i="1"/>
  <c r="AB398" i="1"/>
  <c r="E398" i="1"/>
  <c r="AA397" i="1"/>
  <c r="AO397" i="1"/>
  <c r="AP397" i="1"/>
  <c r="G398" i="1"/>
  <c r="I398" i="1"/>
  <c r="AN397" i="1"/>
  <c r="R397" i="1"/>
  <c r="T397" i="1"/>
  <c r="Z397" i="1"/>
  <c r="V397" i="1"/>
  <c r="AB397" i="1"/>
  <c r="E397" i="1"/>
  <c r="AA396" i="1"/>
  <c r="AO396" i="1"/>
  <c r="AP396" i="1"/>
  <c r="G397" i="1"/>
  <c r="I397" i="1"/>
  <c r="AN396" i="1"/>
  <c r="R396" i="1"/>
  <c r="T396" i="1"/>
  <c r="Z396" i="1"/>
  <c r="V396" i="1"/>
  <c r="AB396" i="1"/>
  <c r="E396" i="1"/>
  <c r="AA395" i="1"/>
  <c r="AO395" i="1"/>
  <c r="AP395" i="1"/>
  <c r="G396" i="1"/>
  <c r="I396" i="1"/>
  <c r="AN395" i="1"/>
  <c r="R395" i="1"/>
  <c r="T395" i="1"/>
  <c r="V395" i="1"/>
  <c r="AB395" i="1"/>
  <c r="Z395" i="1"/>
  <c r="E395" i="1"/>
  <c r="AA394" i="1"/>
  <c r="AO394" i="1"/>
  <c r="G395" i="1"/>
  <c r="I395" i="1"/>
  <c r="AP394" i="1"/>
  <c r="AN394" i="1"/>
  <c r="R394" i="1"/>
  <c r="T394" i="1"/>
  <c r="Z394" i="1"/>
  <c r="V394" i="1"/>
  <c r="AB394" i="1"/>
  <c r="E394" i="1"/>
  <c r="AI393" i="1"/>
  <c r="AA393" i="1"/>
  <c r="G394" i="1"/>
  <c r="I394" i="1"/>
  <c r="R393" i="1"/>
  <c r="T393" i="1"/>
  <c r="V393" i="1"/>
  <c r="AB393" i="1"/>
  <c r="Z393" i="1"/>
  <c r="E393" i="1"/>
  <c r="AA392" i="1"/>
  <c r="AO392" i="1"/>
  <c r="G393" i="1"/>
  <c r="I393" i="1"/>
  <c r="AP392" i="1"/>
  <c r="AN392" i="1"/>
  <c r="R392" i="1"/>
  <c r="T392" i="1"/>
  <c r="Z392" i="1"/>
  <c r="V392" i="1"/>
  <c r="AB392" i="1"/>
  <c r="E392" i="1"/>
  <c r="AA391" i="1"/>
  <c r="AO391" i="1"/>
  <c r="G392" i="1"/>
  <c r="I392" i="1"/>
  <c r="AP391" i="1"/>
  <c r="AN391" i="1"/>
  <c r="R391" i="1"/>
  <c r="T391" i="1"/>
  <c r="Z391" i="1"/>
  <c r="V391" i="1"/>
  <c r="AB391" i="1"/>
  <c r="E391" i="1"/>
  <c r="AA390" i="1"/>
  <c r="AO390" i="1"/>
  <c r="G391" i="1"/>
  <c r="I391" i="1"/>
  <c r="AP390" i="1"/>
  <c r="AN390" i="1"/>
  <c r="R390" i="1"/>
  <c r="T390" i="1"/>
  <c r="V390" i="1"/>
  <c r="AB390" i="1"/>
  <c r="Z390" i="1"/>
  <c r="E390" i="1"/>
  <c r="AA389" i="1"/>
  <c r="AO389" i="1"/>
  <c r="G390" i="1"/>
  <c r="I390" i="1"/>
  <c r="AP389" i="1"/>
  <c r="AN389" i="1"/>
  <c r="R389" i="1"/>
  <c r="T389" i="1"/>
  <c r="Z389" i="1"/>
  <c r="V389" i="1"/>
  <c r="AB389" i="1"/>
  <c r="E389" i="1"/>
  <c r="AA388" i="1"/>
  <c r="AO388" i="1"/>
  <c r="G389" i="1"/>
  <c r="I389" i="1"/>
  <c r="AP388" i="1"/>
  <c r="AN388" i="1"/>
  <c r="R388" i="1"/>
  <c r="T388" i="1"/>
  <c r="Z388" i="1"/>
  <c r="V388" i="1"/>
  <c r="AB388" i="1"/>
  <c r="E388" i="1"/>
  <c r="AA387" i="1"/>
  <c r="AO387" i="1"/>
  <c r="G388" i="1"/>
  <c r="I388" i="1"/>
  <c r="AP387" i="1"/>
  <c r="AN387" i="1"/>
  <c r="R387" i="1"/>
  <c r="T387" i="1"/>
  <c r="Z387" i="1"/>
  <c r="V387" i="1"/>
  <c r="AB387" i="1"/>
  <c r="E387" i="1"/>
  <c r="AA386" i="1"/>
  <c r="AO386" i="1"/>
  <c r="G387" i="1"/>
  <c r="I387" i="1"/>
  <c r="AP386" i="1"/>
  <c r="AN386" i="1"/>
  <c r="R386" i="1"/>
  <c r="T386" i="1"/>
  <c r="V386" i="1"/>
  <c r="AB386" i="1"/>
  <c r="Z386" i="1"/>
  <c r="E386" i="1"/>
  <c r="AA385" i="1"/>
  <c r="AO385" i="1"/>
  <c r="G386" i="1"/>
  <c r="I386" i="1"/>
  <c r="AP385" i="1"/>
  <c r="AN385" i="1"/>
  <c r="R385" i="1"/>
  <c r="T385" i="1"/>
  <c r="V385" i="1"/>
  <c r="AB385" i="1"/>
  <c r="Z385" i="1"/>
  <c r="E385" i="1"/>
  <c r="AA384" i="1"/>
  <c r="AO384" i="1"/>
  <c r="G385" i="1"/>
  <c r="I385" i="1"/>
  <c r="AP384" i="1"/>
  <c r="AN384" i="1"/>
  <c r="R384" i="1"/>
  <c r="T384" i="1"/>
  <c r="Z384" i="1"/>
  <c r="V384" i="1"/>
  <c r="AB384" i="1"/>
  <c r="E384" i="1"/>
  <c r="AA383" i="1"/>
  <c r="AO383" i="1"/>
  <c r="G384" i="1"/>
  <c r="I384" i="1"/>
  <c r="AP383" i="1"/>
  <c r="AN383" i="1"/>
  <c r="R383" i="1"/>
  <c r="T383" i="1"/>
  <c r="Z383" i="1"/>
  <c r="V383" i="1"/>
  <c r="AB383" i="1"/>
  <c r="E383" i="1"/>
  <c r="AA382" i="1"/>
  <c r="AO382" i="1"/>
  <c r="G383" i="1"/>
  <c r="I383" i="1"/>
  <c r="AP382" i="1"/>
  <c r="AN382" i="1"/>
  <c r="R382" i="1"/>
  <c r="T382" i="1"/>
  <c r="V382" i="1"/>
  <c r="AB382" i="1"/>
  <c r="Z382" i="1"/>
  <c r="E382" i="1"/>
  <c r="AA381" i="1"/>
  <c r="AO381" i="1"/>
  <c r="G382" i="1"/>
  <c r="I382" i="1"/>
  <c r="AP381" i="1"/>
  <c r="AN381" i="1"/>
  <c r="R381" i="1"/>
  <c r="T381" i="1"/>
  <c r="Z381" i="1"/>
  <c r="V381" i="1"/>
  <c r="AB381" i="1"/>
  <c r="E381" i="1"/>
  <c r="AA380" i="1"/>
  <c r="AO380" i="1"/>
  <c r="G381" i="1"/>
  <c r="I381" i="1"/>
  <c r="AP380" i="1"/>
  <c r="AN380" i="1"/>
  <c r="R380" i="1"/>
  <c r="T380" i="1"/>
  <c r="Z380" i="1"/>
  <c r="V380" i="1"/>
  <c r="AB380" i="1"/>
  <c r="E380" i="1"/>
  <c r="AA379" i="1"/>
  <c r="AO379" i="1"/>
  <c r="G380" i="1"/>
  <c r="I380" i="1"/>
  <c r="AP379" i="1"/>
  <c r="AN379" i="1"/>
  <c r="R379" i="1"/>
  <c r="T379" i="1"/>
  <c r="Z379" i="1"/>
  <c r="V379" i="1"/>
  <c r="AB379" i="1"/>
  <c r="E379" i="1"/>
  <c r="AA378" i="1"/>
  <c r="AO378" i="1"/>
  <c r="G379" i="1"/>
  <c r="I379" i="1"/>
  <c r="AP378" i="1"/>
  <c r="AN378" i="1"/>
  <c r="R378" i="1"/>
  <c r="T378" i="1"/>
  <c r="V378" i="1"/>
  <c r="AB378" i="1"/>
  <c r="Z378" i="1"/>
  <c r="E378" i="1"/>
  <c r="AA377" i="1"/>
  <c r="AO377" i="1"/>
  <c r="G378" i="1"/>
  <c r="I378" i="1"/>
  <c r="AP377" i="1"/>
  <c r="AN377" i="1"/>
  <c r="R377" i="1"/>
  <c r="T377" i="1"/>
  <c r="V377" i="1"/>
  <c r="AB377" i="1"/>
  <c r="Z377" i="1"/>
  <c r="E377" i="1"/>
  <c r="AA376" i="1"/>
  <c r="G377" i="1"/>
  <c r="I377" i="1"/>
  <c r="R376" i="1"/>
  <c r="T376" i="1"/>
  <c r="Z376" i="1"/>
  <c r="V376" i="1"/>
  <c r="AB376" i="1"/>
  <c r="E376" i="1"/>
  <c r="AA375" i="1"/>
  <c r="AO375" i="1"/>
  <c r="G376" i="1"/>
  <c r="I376" i="1"/>
  <c r="AP375" i="1"/>
  <c r="AN375" i="1"/>
  <c r="R375" i="1"/>
  <c r="T375" i="1"/>
  <c r="V375" i="1"/>
  <c r="AB375" i="1"/>
  <c r="Z375" i="1"/>
  <c r="E375" i="1"/>
  <c r="AA374" i="1"/>
  <c r="AO374" i="1"/>
  <c r="G375" i="1"/>
  <c r="I375" i="1"/>
  <c r="AP374" i="1"/>
  <c r="AN374" i="1"/>
  <c r="R374" i="1"/>
  <c r="T374" i="1"/>
  <c r="V374" i="1"/>
  <c r="AB374" i="1"/>
  <c r="Z374" i="1"/>
  <c r="E374" i="1"/>
  <c r="AA373" i="1"/>
  <c r="AO373" i="1"/>
  <c r="G374" i="1"/>
  <c r="I374" i="1"/>
  <c r="AP373" i="1"/>
  <c r="AN373" i="1"/>
  <c r="R373" i="1"/>
  <c r="T373" i="1"/>
  <c r="Z373" i="1"/>
  <c r="V373" i="1"/>
  <c r="AB373" i="1"/>
  <c r="E373" i="1"/>
  <c r="AA372" i="1"/>
  <c r="AO372" i="1"/>
  <c r="G373" i="1"/>
  <c r="I373" i="1"/>
  <c r="AP372" i="1"/>
  <c r="AN372" i="1"/>
  <c r="R372" i="1"/>
  <c r="T372" i="1"/>
  <c r="V372" i="1"/>
  <c r="AB372" i="1"/>
  <c r="Z372" i="1"/>
  <c r="E372" i="1"/>
  <c r="AA371" i="1"/>
  <c r="AO371" i="1"/>
  <c r="G372" i="1"/>
  <c r="I372" i="1"/>
  <c r="AP371" i="1"/>
  <c r="AN371" i="1"/>
  <c r="R371" i="1"/>
  <c r="T371" i="1"/>
  <c r="Z371" i="1"/>
  <c r="V371" i="1"/>
  <c r="AB371" i="1"/>
  <c r="E371" i="1"/>
  <c r="AA370" i="1"/>
  <c r="AO370" i="1"/>
  <c r="G371" i="1"/>
  <c r="I371" i="1"/>
  <c r="AP370" i="1"/>
  <c r="AN370" i="1"/>
  <c r="R370" i="1"/>
  <c r="T370" i="1"/>
  <c r="Z370" i="1"/>
  <c r="V370" i="1"/>
  <c r="AB370" i="1"/>
  <c r="E370" i="1"/>
  <c r="AA369" i="1"/>
  <c r="AO369" i="1"/>
  <c r="G370" i="1"/>
  <c r="I370" i="1"/>
  <c r="AP369" i="1"/>
  <c r="AN369" i="1"/>
  <c r="R369" i="1"/>
  <c r="T369" i="1"/>
  <c r="Z369" i="1"/>
  <c r="V369" i="1"/>
  <c r="AB369" i="1"/>
  <c r="E369" i="1"/>
  <c r="AA368" i="1"/>
  <c r="AO368" i="1"/>
  <c r="G369" i="1"/>
  <c r="I369" i="1"/>
  <c r="AP368" i="1"/>
  <c r="AN368" i="1"/>
  <c r="R368" i="1"/>
  <c r="T368" i="1"/>
  <c r="V368" i="1"/>
  <c r="AB368" i="1"/>
  <c r="Z368" i="1"/>
  <c r="E368" i="1"/>
  <c r="AA367" i="1"/>
  <c r="AO367" i="1"/>
  <c r="G368" i="1"/>
  <c r="I368" i="1"/>
  <c r="AP367" i="1"/>
  <c r="AN367" i="1"/>
  <c r="R367" i="1"/>
  <c r="T367" i="1"/>
  <c r="V367" i="1"/>
  <c r="AB367" i="1"/>
  <c r="Z367" i="1"/>
  <c r="E367" i="1"/>
  <c r="AA366" i="1"/>
  <c r="AO366" i="1"/>
  <c r="G367" i="1"/>
  <c r="I367" i="1"/>
  <c r="AP366" i="1"/>
  <c r="AN366" i="1"/>
  <c r="R366" i="1"/>
  <c r="T366" i="1"/>
  <c r="V366" i="1"/>
  <c r="AB366" i="1"/>
  <c r="Z366" i="1"/>
  <c r="E366" i="1"/>
  <c r="AA365" i="1"/>
  <c r="AO365" i="1"/>
  <c r="G366" i="1"/>
  <c r="I366" i="1"/>
  <c r="AP365" i="1"/>
  <c r="AN365" i="1"/>
  <c r="R365" i="1"/>
  <c r="T365" i="1"/>
  <c r="V365" i="1"/>
  <c r="AB365" i="1"/>
  <c r="Z365" i="1"/>
  <c r="E365" i="1"/>
  <c r="AA364" i="1"/>
  <c r="AO364" i="1"/>
  <c r="G365" i="1"/>
  <c r="I365" i="1"/>
  <c r="AP364" i="1"/>
  <c r="AN364" i="1"/>
  <c r="R364" i="1"/>
  <c r="T364" i="1"/>
  <c r="V364" i="1"/>
  <c r="AB364" i="1"/>
  <c r="Z364" i="1"/>
  <c r="E364" i="1"/>
  <c r="AA363" i="1"/>
  <c r="AO363" i="1"/>
  <c r="G364" i="1"/>
  <c r="I364" i="1"/>
  <c r="AP363" i="1"/>
  <c r="AN363" i="1"/>
  <c r="R363" i="1"/>
  <c r="T363" i="1"/>
  <c r="Z363" i="1"/>
  <c r="V363" i="1"/>
  <c r="AB363" i="1"/>
  <c r="E363" i="1"/>
  <c r="AA362" i="1"/>
  <c r="AO362" i="1"/>
  <c r="G363" i="1"/>
  <c r="I363" i="1"/>
  <c r="AP362" i="1"/>
  <c r="AN362" i="1"/>
  <c r="R362" i="1"/>
  <c r="T362" i="1"/>
  <c r="V362" i="1"/>
  <c r="AB362" i="1"/>
  <c r="Z362" i="1"/>
  <c r="E362" i="1"/>
  <c r="AA361" i="1"/>
  <c r="AO361" i="1"/>
  <c r="G362" i="1"/>
  <c r="I362" i="1"/>
  <c r="AP361" i="1"/>
  <c r="AN361" i="1"/>
  <c r="R361" i="1"/>
  <c r="T361" i="1"/>
  <c r="Z361" i="1"/>
  <c r="V361" i="1"/>
  <c r="AB361" i="1"/>
  <c r="E361" i="1"/>
  <c r="AA360" i="1"/>
  <c r="AO360" i="1"/>
  <c r="G361" i="1"/>
  <c r="I361" i="1"/>
  <c r="AP360" i="1"/>
  <c r="AN360" i="1"/>
  <c r="R360" i="1"/>
  <c r="T360" i="1"/>
  <c r="V360" i="1"/>
  <c r="AB360" i="1"/>
  <c r="Z360" i="1"/>
  <c r="E360" i="1"/>
  <c r="AA359" i="1"/>
  <c r="AO359" i="1"/>
  <c r="G360" i="1"/>
  <c r="I360" i="1"/>
  <c r="AP359" i="1"/>
  <c r="AN359" i="1"/>
  <c r="R359" i="1"/>
  <c r="T359" i="1"/>
  <c r="Z359" i="1"/>
  <c r="V359" i="1"/>
  <c r="AB359" i="1"/>
  <c r="E359" i="1"/>
  <c r="AA358" i="1"/>
  <c r="AO358" i="1"/>
  <c r="G359" i="1"/>
  <c r="I359" i="1"/>
  <c r="AP358" i="1"/>
  <c r="AN358" i="1"/>
  <c r="R358" i="1"/>
  <c r="T358" i="1"/>
  <c r="V358" i="1"/>
  <c r="AB358" i="1"/>
  <c r="Z358" i="1"/>
  <c r="E358" i="1"/>
  <c r="AA357" i="1"/>
  <c r="AO357" i="1"/>
  <c r="G358" i="1"/>
  <c r="I358" i="1"/>
  <c r="AP357" i="1"/>
  <c r="AN357" i="1"/>
  <c r="R357" i="1"/>
  <c r="T357" i="1"/>
  <c r="V357" i="1"/>
  <c r="AB357" i="1"/>
  <c r="Z357" i="1"/>
  <c r="E357" i="1"/>
  <c r="AA356" i="1"/>
  <c r="AO356" i="1"/>
  <c r="G357" i="1"/>
  <c r="I357" i="1"/>
  <c r="AP356" i="1"/>
  <c r="AN356" i="1"/>
  <c r="R356" i="1"/>
  <c r="T356" i="1"/>
  <c r="Z356" i="1"/>
  <c r="V356" i="1"/>
  <c r="AB356" i="1"/>
  <c r="E356" i="1"/>
  <c r="AA355" i="1"/>
  <c r="AO355" i="1"/>
  <c r="G356" i="1"/>
  <c r="I356" i="1"/>
  <c r="AP355" i="1"/>
  <c r="AN355" i="1"/>
  <c r="R355" i="1"/>
  <c r="T355" i="1"/>
  <c r="Z355" i="1"/>
  <c r="V355" i="1"/>
  <c r="AB355" i="1"/>
  <c r="E355" i="1"/>
  <c r="AA354" i="1"/>
  <c r="AO354" i="1"/>
  <c r="G355" i="1"/>
  <c r="I355" i="1"/>
  <c r="AP354" i="1"/>
  <c r="AN354" i="1"/>
  <c r="R354" i="1"/>
  <c r="T354" i="1"/>
  <c r="V354" i="1"/>
  <c r="AB354" i="1"/>
  <c r="Z354" i="1"/>
  <c r="E354" i="1"/>
  <c r="AA353" i="1"/>
  <c r="AO353" i="1"/>
  <c r="G354" i="1"/>
  <c r="I354" i="1"/>
  <c r="AP353" i="1"/>
  <c r="AN353" i="1"/>
  <c r="R353" i="1"/>
  <c r="T353" i="1"/>
  <c r="V353" i="1"/>
  <c r="AB353" i="1"/>
  <c r="Z353" i="1"/>
  <c r="E353" i="1"/>
  <c r="AA352" i="1"/>
  <c r="AO352" i="1"/>
  <c r="G353" i="1"/>
  <c r="I353" i="1"/>
  <c r="AP352" i="1"/>
  <c r="AN352" i="1"/>
  <c r="R352" i="1"/>
  <c r="T352" i="1"/>
  <c r="V352" i="1"/>
  <c r="AB352" i="1"/>
  <c r="Z352" i="1"/>
  <c r="E352" i="1"/>
  <c r="AA351" i="1"/>
  <c r="AO351" i="1"/>
  <c r="G352" i="1"/>
  <c r="I352" i="1"/>
  <c r="AP351" i="1"/>
  <c r="AN351" i="1"/>
  <c r="R351" i="1"/>
  <c r="T351" i="1"/>
  <c r="Z351" i="1"/>
  <c r="V351" i="1"/>
  <c r="AB351" i="1"/>
  <c r="E351" i="1"/>
  <c r="AA350" i="1"/>
  <c r="AO350" i="1"/>
  <c r="G351" i="1"/>
  <c r="I351" i="1"/>
  <c r="AP350" i="1"/>
  <c r="AN350" i="1"/>
  <c r="R350" i="1"/>
  <c r="T350" i="1"/>
  <c r="Z350" i="1"/>
  <c r="V350" i="1"/>
  <c r="AB350" i="1"/>
  <c r="E350" i="1"/>
  <c r="AA349" i="1"/>
  <c r="AO349" i="1"/>
  <c r="G350" i="1"/>
  <c r="I350" i="1"/>
  <c r="AP349" i="1"/>
  <c r="AN349" i="1"/>
  <c r="R349" i="1"/>
  <c r="T349" i="1"/>
  <c r="Z349" i="1"/>
  <c r="V349" i="1"/>
  <c r="AB349" i="1"/>
  <c r="E349" i="1"/>
  <c r="AA348" i="1"/>
  <c r="AO348" i="1"/>
  <c r="G349" i="1"/>
  <c r="I349" i="1"/>
  <c r="AP348" i="1"/>
  <c r="AN348" i="1"/>
  <c r="R348" i="1"/>
  <c r="T348" i="1"/>
  <c r="Z348" i="1"/>
  <c r="V348" i="1"/>
  <c r="AB348" i="1"/>
  <c r="E348" i="1"/>
  <c r="AA347" i="1"/>
  <c r="AO347" i="1"/>
  <c r="G348" i="1"/>
  <c r="I348" i="1"/>
  <c r="AP347" i="1"/>
  <c r="AN347" i="1"/>
  <c r="R347" i="1"/>
  <c r="T347" i="1"/>
  <c r="V347" i="1"/>
  <c r="AB347" i="1"/>
  <c r="Z347" i="1"/>
  <c r="E347" i="1"/>
  <c r="AA346" i="1"/>
  <c r="AO346" i="1"/>
  <c r="G347" i="1"/>
  <c r="I347" i="1"/>
  <c r="AP346" i="1"/>
  <c r="AN346" i="1"/>
  <c r="R346" i="1"/>
  <c r="T346" i="1"/>
  <c r="Z346" i="1"/>
  <c r="V346" i="1"/>
  <c r="AB346" i="1"/>
  <c r="E346" i="1"/>
  <c r="AA345" i="1"/>
  <c r="AO345" i="1"/>
  <c r="G346" i="1"/>
  <c r="I346" i="1"/>
  <c r="AP345" i="1"/>
  <c r="AN345" i="1"/>
  <c r="R345" i="1"/>
  <c r="T345" i="1"/>
  <c r="Z345" i="1"/>
  <c r="V345" i="1"/>
  <c r="AB345" i="1"/>
  <c r="E345" i="1"/>
  <c r="AA344" i="1"/>
  <c r="AO344" i="1"/>
  <c r="G345" i="1"/>
  <c r="I345" i="1"/>
  <c r="AP344" i="1"/>
  <c r="AN344" i="1"/>
  <c r="R344" i="1"/>
  <c r="T344" i="1"/>
  <c r="V344" i="1"/>
  <c r="AB344" i="1"/>
  <c r="Z344" i="1"/>
  <c r="E344" i="1"/>
  <c r="AA343" i="1"/>
  <c r="AO343" i="1"/>
  <c r="G344" i="1"/>
  <c r="I344" i="1"/>
  <c r="AP343" i="1"/>
  <c r="AN343" i="1"/>
  <c r="R343" i="1"/>
  <c r="T343" i="1"/>
  <c r="Z343" i="1"/>
  <c r="V343" i="1"/>
  <c r="AB343" i="1"/>
  <c r="E343" i="1"/>
  <c r="AA342" i="1"/>
  <c r="AO342" i="1"/>
  <c r="G343" i="1"/>
  <c r="I343" i="1"/>
  <c r="AP342" i="1"/>
  <c r="AN342" i="1"/>
  <c r="R342" i="1"/>
  <c r="T342" i="1"/>
  <c r="Z342" i="1"/>
  <c r="V342" i="1"/>
  <c r="AB342" i="1"/>
  <c r="E342" i="1"/>
  <c r="AA341" i="1"/>
  <c r="AO341" i="1"/>
  <c r="G342" i="1"/>
  <c r="I342" i="1"/>
  <c r="AP341" i="1"/>
  <c r="AN341" i="1"/>
  <c r="R341" i="1"/>
  <c r="T341" i="1"/>
  <c r="Z341" i="1"/>
  <c r="V341" i="1"/>
  <c r="AB341" i="1"/>
  <c r="E341" i="1"/>
  <c r="AA340" i="1"/>
  <c r="AO340" i="1"/>
  <c r="G341" i="1"/>
  <c r="I341" i="1"/>
  <c r="AP340" i="1"/>
  <c r="AN340" i="1"/>
  <c r="R340" i="1"/>
  <c r="T340" i="1"/>
  <c r="Z340" i="1"/>
  <c r="V340" i="1"/>
  <c r="AB340" i="1"/>
  <c r="E340" i="1"/>
  <c r="AA339" i="1"/>
  <c r="AO339" i="1"/>
  <c r="G340" i="1"/>
  <c r="I340" i="1"/>
  <c r="AP339" i="1"/>
  <c r="AN339" i="1"/>
  <c r="R339" i="1"/>
  <c r="T339" i="1"/>
  <c r="Z339" i="1"/>
  <c r="V339" i="1"/>
  <c r="AB339" i="1"/>
  <c r="E339" i="1"/>
  <c r="AA338" i="1"/>
  <c r="AO338" i="1"/>
  <c r="G339" i="1"/>
  <c r="I339" i="1"/>
  <c r="AP338" i="1"/>
  <c r="AN338" i="1"/>
  <c r="R338" i="1"/>
  <c r="T338" i="1"/>
  <c r="V338" i="1"/>
  <c r="AB338" i="1"/>
  <c r="Z338" i="1"/>
  <c r="E338" i="1"/>
  <c r="AA337" i="1"/>
  <c r="AO337" i="1"/>
  <c r="G338" i="1"/>
  <c r="I338" i="1"/>
  <c r="AP337" i="1"/>
  <c r="AN337" i="1"/>
  <c r="R337" i="1"/>
  <c r="T337" i="1"/>
  <c r="Z337" i="1"/>
  <c r="V337" i="1"/>
  <c r="AB337" i="1"/>
  <c r="E337" i="1"/>
  <c r="AA336" i="1"/>
  <c r="AO336" i="1"/>
  <c r="G337" i="1"/>
  <c r="I337" i="1"/>
  <c r="AP336" i="1"/>
  <c r="AN336" i="1"/>
  <c r="R336" i="1"/>
  <c r="T336" i="1"/>
  <c r="V336" i="1"/>
  <c r="AB336" i="1"/>
  <c r="Z336" i="1"/>
  <c r="E336" i="1"/>
  <c r="AA335" i="1"/>
  <c r="AO335" i="1"/>
  <c r="G336" i="1"/>
  <c r="I336" i="1"/>
  <c r="AP335" i="1"/>
  <c r="AN335" i="1"/>
  <c r="R335" i="1"/>
  <c r="T335" i="1"/>
  <c r="Z335" i="1"/>
  <c r="V335" i="1"/>
  <c r="AB335" i="1"/>
  <c r="E335" i="1"/>
  <c r="AA334" i="1"/>
  <c r="AO334" i="1"/>
  <c r="G335" i="1"/>
  <c r="I335" i="1"/>
  <c r="AP334" i="1"/>
  <c r="AN334" i="1"/>
  <c r="R334" i="1"/>
  <c r="T334" i="1"/>
  <c r="V334" i="1"/>
  <c r="AB334" i="1"/>
  <c r="Z334" i="1"/>
  <c r="E334" i="1"/>
  <c r="AA333" i="1"/>
  <c r="AO333" i="1"/>
  <c r="G334" i="1"/>
  <c r="I334" i="1"/>
  <c r="AP333" i="1"/>
  <c r="AN333" i="1"/>
  <c r="R333" i="1"/>
  <c r="T333" i="1"/>
  <c r="Z333" i="1"/>
  <c r="V333" i="1"/>
  <c r="AB333" i="1"/>
  <c r="E333" i="1"/>
  <c r="AA332" i="1"/>
  <c r="AO332" i="1"/>
  <c r="G333" i="1"/>
  <c r="I333" i="1"/>
  <c r="AP332" i="1"/>
  <c r="AN332" i="1"/>
  <c r="R332" i="1"/>
  <c r="T332" i="1"/>
  <c r="Z332" i="1"/>
  <c r="V332" i="1"/>
  <c r="AB332" i="1"/>
  <c r="E332" i="1"/>
  <c r="AA331" i="1"/>
  <c r="AO331" i="1"/>
  <c r="G332" i="1"/>
  <c r="I332" i="1"/>
  <c r="AP331" i="1"/>
  <c r="AN331" i="1"/>
  <c r="R331" i="1"/>
  <c r="T331" i="1"/>
  <c r="V331" i="1"/>
  <c r="AB331" i="1"/>
  <c r="Z331" i="1"/>
  <c r="E331" i="1"/>
  <c r="AA330" i="1"/>
  <c r="AO330" i="1"/>
  <c r="G331" i="1"/>
  <c r="I331" i="1"/>
  <c r="AP330" i="1"/>
  <c r="AN330" i="1"/>
  <c r="R330" i="1"/>
  <c r="T330" i="1"/>
  <c r="Z330" i="1"/>
  <c r="V330" i="1"/>
  <c r="AB330" i="1"/>
  <c r="E330" i="1"/>
  <c r="AA329" i="1"/>
  <c r="AO329" i="1"/>
  <c r="G330" i="1"/>
  <c r="I330" i="1"/>
  <c r="AP329" i="1"/>
  <c r="AN329" i="1"/>
  <c r="R329" i="1"/>
  <c r="T329" i="1"/>
  <c r="V329" i="1"/>
  <c r="AB329" i="1"/>
  <c r="Z329" i="1"/>
  <c r="E329" i="1"/>
  <c r="AA328" i="1"/>
  <c r="AO328" i="1"/>
  <c r="G329" i="1"/>
  <c r="I329" i="1"/>
  <c r="AP328" i="1"/>
  <c r="AN328" i="1"/>
  <c r="R328" i="1"/>
  <c r="T328" i="1"/>
  <c r="Z328" i="1"/>
  <c r="V328" i="1"/>
  <c r="AB328" i="1"/>
  <c r="E328" i="1"/>
  <c r="AA327" i="1"/>
  <c r="AO327" i="1"/>
  <c r="G328" i="1"/>
  <c r="I328" i="1"/>
  <c r="AP327" i="1"/>
  <c r="AN327" i="1"/>
  <c r="R327" i="1"/>
  <c r="T327" i="1"/>
  <c r="Z327" i="1"/>
  <c r="V327" i="1"/>
  <c r="AB327" i="1"/>
  <c r="E327" i="1"/>
  <c r="AA326" i="1"/>
  <c r="AO326" i="1"/>
  <c r="G327" i="1"/>
  <c r="I327" i="1"/>
  <c r="AP326" i="1"/>
  <c r="AN326" i="1"/>
  <c r="R326" i="1"/>
  <c r="T326" i="1"/>
  <c r="Z326" i="1"/>
  <c r="V326" i="1"/>
  <c r="AB326" i="1"/>
  <c r="E326" i="1"/>
  <c r="AA325" i="1"/>
  <c r="AO325" i="1"/>
  <c r="G326" i="1"/>
  <c r="I326" i="1"/>
  <c r="AP325" i="1"/>
  <c r="AN325" i="1"/>
  <c r="R325" i="1"/>
  <c r="T325" i="1"/>
  <c r="Z325" i="1"/>
  <c r="V325" i="1"/>
  <c r="AB325" i="1"/>
  <c r="E325" i="1"/>
  <c r="AA324" i="1"/>
  <c r="AO324" i="1"/>
  <c r="G325" i="1"/>
  <c r="I325" i="1"/>
  <c r="AP324" i="1"/>
  <c r="AN324" i="1"/>
  <c r="R324" i="1"/>
  <c r="T324" i="1"/>
  <c r="V324" i="1"/>
  <c r="AB324" i="1"/>
  <c r="Z324" i="1"/>
  <c r="E324" i="1"/>
  <c r="AA323" i="1"/>
  <c r="AO323" i="1"/>
  <c r="G324" i="1"/>
  <c r="I324" i="1"/>
  <c r="AP323" i="1"/>
  <c r="AN323" i="1"/>
  <c r="R323" i="1"/>
  <c r="T323" i="1"/>
  <c r="Z323" i="1"/>
  <c r="V323" i="1"/>
  <c r="AB323" i="1"/>
  <c r="E323" i="1"/>
  <c r="AA322" i="1"/>
  <c r="AO322" i="1"/>
  <c r="G323" i="1"/>
  <c r="I323" i="1"/>
  <c r="AP322" i="1"/>
  <c r="AN322" i="1"/>
  <c r="R322" i="1"/>
  <c r="T322" i="1"/>
  <c r="V322" i="1"/>
  <c r="AB322" i="1"/>
  <c r="Z322" i="1"/>
  <c r="E322" i="1"/>
  <c r="AA321" i="1"/>
  <c r="AO321" i="1"/>
  <c r="G322" i="1"/>
  <c r="I322" i="1"/>
  <c r="AP321" i="1"/>
  <c r="AN321" i="1"/>
  <c r="R321" i="1"/>
  <c r="T321" i="1"/>
  <c r="Z321" i="1"/>
  <c r="V321" i="1"/>
  <c r="AB321" i="1"/>
  <c r="E321" i="1"/>
  <c r="AA320" i="1"/>
  <c r="AO320" i="1"/>
  <c r="G321" i="1"/>
  <c r="I321" i="1"/>
  <c r="AP320" i="1"/>
  <c r="AN320" i="1"/>
  <c r="R320" i="1"/>
  <c r="T320" i="1"/>
  <c r="Z320" i="1"/>
  <c r="V320" i="1"/>
  <c r="AB320" i="1"/>
  <c r="E320" i="1"/>
  <c r="AA319" i="1"/>
  <c r="AO319" i="1"/>
  <c r="G320" i="1"/>
  <c r="I320" i="1"/>
  <c r="AP319" i="1"/>
  <c r="AN319" i="1"/>
  <c r="R319" i="1"/>
  <c r="T319" i="1"/>
  <c r="Z319" i="1"/>
  <c r="V319" i="1"/>
  <c r="AB319" i="1"/>
  <c r="E319" i="1"/>
  <c r="AA318" i="1"/>
  <c r="AO318" i="1"/>
  <c r="G319" i="1"/>
  <c r="I319" i="1"/>
  <c r="AP318" i="1"/>
  <c r="AN318" i="1"/>
  <c r="R318" i="1"/>
  <c r="T318" i="1"/>
  <c r="V318" i="1"/>
  <c r="AB318" i="1"/>
  <c r="Z318" i="1"/>
  <c r="E318" i="1"/>
  <c r="AA317" i="1"/>
  <c r="AO317" i="1"/>
  <c r="G318" i="1"/>
  <c r="I318" i="1"/>
  <c r="AP317" i="1"/>
  <c r="AN317" i="1"/>
  <c r="R317" i="1"/>
  <c r="T317" i="1"/>
  <c r="Z317" i="1"/>
  <c r="V317" i="1"/>
  <c r="AB317" i="1"/>
  <c r="E317" i="1"/>
  <c r="AA316" i="1"/>
  <c r="AO316" i="1"/>
  <c r="G317" i="1"/>
  <c r="I317" i="1"/>
  <c r="AP316" i="1"/>
  <c r="AN316" i="1"/>
  <c r="R316" i="1"/>
  <c r="T316" i="1"/>
  <c r="V316" i="1"/>
  <c r="AB316" i="1"/>
  <c r="Z316" i="1"/>
  <c r="E316" i="1"/>
  <c r="AA315" i="1"/>
  <c r="AO315" i="1"/>
  <c r="G316" i="1"/>
  <c r="I316" i="1"/>
  <c r="AP315" i="1"/>
  <c r="AN315" i="1"/>
  <c r="R315" i="1"/>
  <c r="T315" i="1"/>
  <c r="Z315" i="1"/>
  <c r="V315" i="1"/>
  <c r="AB315" i="1"/>
  <c r="E315" i="1"/>
  <c r="AA314" i="1"/>
  <c r="AO314" i="1"/>
  <c r="G315" i="1"/>
  <c r="I315" i="1"/>
  <c r="AP314" i="1"/>
  <c r="AN314" i="1"/>
  <c r="R314" i="1"/>
  <c r="T314" i="1"/>
  <c r="Z314" i="1"/>
  <c r="V314" i="1"/>
  <c r="AB314" i="1"/>
  <c r="E314" i="1"/>
  <c r="AA313" i="1"/>
  <c r="AO313" i="1"/>
  <c r="G314" i="1"/>
  <c r="I314" i="1"/>
  <c r="AP313" i="1"/>
  <c r="AN313" i="1"/>
  <c r="R313" i="1"/>
  <c r="T313" i="1"/>
  <c r="Z313" i="1"/>
  <c r="V313" i="1"/>
  <c r="AB313" i="1"/>
  <c r="E313" i="1"/>
  <c r="AA312" i="1"/>
  <c r="AO312" i="1"/>
  <c r="G313" i="1"/>
  <c r="I313" i="1"/>
  <c r="AP312" i="1"/>
  <c r="AN312" i="1"/>
  <c r="R312" i="1"/>
  <c r="T312" i="1"/>
  <c r="Z312" i="1"/>
  <c r="V312" i="1"/>
  <c r="AB312" i="1"/>
  <c r="E312" i="1"/>
  <c r="AA311" i="1"/>
  <c r="AO311" i="1"/>
  <c r="G312" i="1"/>
  <c r="I312" i="1"/>
  <c r="AP311" i="1"/>
  <c r="AN311" i="1"/>
  <c r="R311" i="1"/>
  <c r="T311" i="1"/>
  <c r="V311" i="1"/>
  <c r="AB311" i="1"/>
  <c r="Z311" i="1"/>
  <c r="E311" i="1"/>
  <c r="AA310" i="1"/>
  <c r="AO310" i="1"/>
  <c r="G311" i="1"/>
  <c r="I311" i="1"/>
  <c r="AP310" i="1"/>
  <c r="AN310" i="1"/>
  <c r="R310" i="1"/>
  <c r="T310" i="1"/>
  <c r="V310" i="1"/>
  <c r="AB310" i="1"/>
  <c r="Z310" i="1"/>
  <c r="E310" i="1"/>
  <c r="AA309" i="1"/>
  <c r="AO309" i="1"/>
  <c r="G310" i="1"/>
  <c r="I310" i="1"/>
  <c r="AP309" i="1"/>
  <c r="AN309" i="1"/>
  <c r="R309" i="1"/>
  <c r="T309" i="1"/>
  <c r="Z309" i="1"/>
  <c r="V309" i="1"/>
  <c r="AB309" i="1"/>
  <c r="E309" i="1"/>
  <c r="AA308" i="1"/>
  <c r="G309" i="1"/>
  <c r="I309" i="1"/>
  <c r="R308" i="1"/>
  <c r="T308" i="1"/>
  <c r="Z308" i="1"/>
  <c r="V308" i="1"/>
  <c r="AB308" i="1"/>
  <c r="E308" i="1"/>
  <c r="AA307" i="1"/>
  <c r="AO307" i="1"/>
  <c r="G308" i="1"/>
  <c r="I308" i="1"/>
  <c r="AP307" i="1"/>
  <c r="AN307" i="1"/>
  <c r="R307" i="1"/>
  <c r="T307" i="1"/>
  <c r="V307" i="1"/>
  <c r="AB307" i="1"/>
  <c r="Z307" i="1"/>
  <c r="E307" i="1"/>
  <c r="AA306" i="1"/>
  <c r="AO306" i="1"/>
  <c r="G307" i="1"/>
  <c r="I307" i="1"/>
  <c r="AP306" i="1"/>
  <c r="AN306" i="1"/>
  <c r="R306" i="1"/>
  <c r="I306" i="1"/>
  <c r="T306" i="1"/>
  <c r="Z306" i="1"/>
  <c r="V306" i="1"/>
  <c r="AB306" i="1"/>
  <c r="E306" i="1"/>
  <c r="AA305" i="1"/>
  <c r="AO305" i="1"/>
  <c r="AP305" i="1"/>
  <c r="AN305" i="1"/>
  <c r="R305" i="1"/>
  <c r="T305" i="1"/>
  <c r="V305" i="1"/>
  <c r="AB305" i="1"/>
  <c r="Z305" i="1"/>
  <c r="E305" i="1"/>
  <c r="AA304" i="1"/>
  <c r="AO304" i="1"/>
  <c r="G305" i="1"/>
  <c r="I305" i="1"/>
  <c r="AP304" i="1"/>
  <c r="AN304" i="1"/>
  <c r="R304" i="1"/>
  <c r="T304" i="1"/>
  <c r="V304" i="1"/>
  <c r="AB304" i="1"/>
  <c r="Z304" i="1"/>
  <c r="E304" i="1"/>
  <c r="AA303" i="1"/>
  <c r="AO303" i="1"/>
  <c r="G304" i="1"/>
  <c r="I304" i="1"/>
  <c r="AP303" i="1"/>
  <c r="AN303" i="1"/>
  <c r="R303" i="1"/>
  <c r="T303" i="1"/>
  <c r="Z303" i="1"/>
  <c r="V303" i="1"/>
  <c r="AB303" i="1"/>
  <c r="E303" i="1"/>
  <c r="AA302" i="1"/>
  <c r="AO302" i="1"/>
  <c r="G303" i="1"/>
  <c r="I303" i="1"/>
  <c r="AP302" i="1"/>
  <c r="AN302" i="1"/>
  <c r="R302" i="1"/>
  <c r="T302" i="1"/>
  <c r="V302" i="1"/>
  <c r="AB302" i="1"/>
  <c r="Z302" i="1"/>
  <c r="E302" i="1"/>
  <c r="AA301" i="1"/>
  <c r="AO301" i="1"/>
  <c r="G302" i="1"/>
  <c r="I302" i="1"/>
  <c r="AP301" i="1"/>
  <c r="AN301" i="1"/>
  <c r="R301" i="1"/>
  <c r="T301" i="1"/>
  <c r="Z301" i="1"/>
  <c r="V301" i="1"/>
  <c r="AB301" i="1"/>
  <c r="E301" i="1"/>
  <c r="AA300" i="1"/>
  <c r="AO300" i="1"/>
  <c r="G301" i="1"/>
  <c r="I301" i="1"/>
  <c r="AP300" i="1"/>
  <c r="AN300" i="1"/>
  <c r="R300" i="1"/>
  <c r="T300" i="1"/>
  <c r="Z300" i="1"/>
  <c r="V300" i="1"/>
  <c r="AB300" i="1"/>
  <c r="E300" i="1"/>
  <c r="AA299" i="1"/>
  <c r="AO299" i="1"/>
  <c r="G300" i="1"/>
  <c r="I300" i="1"/>
  <c r="AP299" i="1"/>
  <c r="AN299" i="1"/>
  <c r="R299" i="1"/>
  <c r="T299" i="1"/>
  <c r="Z299" i="1"/>
  <c r="V299" i="1"/>
  <c r="AB299" i="1"/>
  <c r="E299" i="1"/>
  <c r="AA298" i="1"/>
  <c r="AO298" i="1"/>
  <c r="G299" i="1"/>
  <c r="I299" i="1"/>
  <c r="AP298" i="1"/>
  <c r="AN298" i="1"/>
  <c r="R298" i="1"/>
  <c r="T298" i="1"/>
  <c r="V298" i="1"/>
  <c r="AB298" i="1"/>
  <c r="Z298" i="1"/>
  <c r="E298" i="1"/>
  <c r="AA297" i="1"/>
  <c r="AO297" i="1"/>
  <c r="G298" i="1"/>
  <c r="I298" i="1"/>
  <c r="AP297" i="1"/>
  <c r="AN297" i="1"/>
  <c r="R297" i="1"/>
  <c r="T297" i="1"/>
  <c r="Z297" i="1"/>
  <c r="V297" i="1"/>
  <c r="AB297" i="1"/>
  <c r="E297" i="1"/>
  <c r="AA296" i="1"/>
  <c r="AO296" i="1"/>
  <c r="G297" i="1"/>
  <c r="I297" i="1"/>
  <c r="AP296" i="1"/>
  <c r="AN296" i="1"/>
  <c r="R296" i="1"/>
  <c r="T296" i="1"/>
  <c r="Z296" i="1"/>
  <c r="V296" i="1"/>
  <c r="AB296" i="1"/>
  <c r="E296" i="1"/>
  <c r="AA295" i="1"/>
  <c r="AO295" i="1"/>
  <c r="G296" i="1"/>
  <c r="I296" i="1"/>
  <c r="AP295" i="1"/>
  <c r="AN295" i="1"/>
  <c r="R295" i="1"/>
  <c r="T295" i="1"/>
  <c r="Z295" i="1"/>
  <c r="V295" i="1"/>
  <c r="AB295" i="1"/>
  <c r="E295" i="1"/>
  <c r="AA294" i="1"/>
  <c r="AO294" i="1"/>
  <c r="G295" i="1"/>
  <c r="I295" i="1"/>
  <c r="AP294" i="1"/>
  <c r="AN294" i="1"/>
  <c r="R294" i="1"/>
  <c r="T294" i="1"/>
  <c r="V294" i="1"/>
  <c r="AB294" i="1"/>
  <c r="Z294" i="1"/>
  <c r="E294" i="1"/>
  <c r="AA293" i="1"/>
  <c r="AO293" i="1"/>
  <c r="I294" i="1"/>
  <c r="AP293" i="1"/>
  <c r="AN293" i="1"/>
  <c r="R293" i="1"/>
  <c r="T293" i="1"/>
  <c r="V293" i="1"/>
  <c r="AB293" i="1"/>
  <c r="Z293" i="1"/>
  <c r="E293" i="1"/>
  <c r="AA292" i="1"/>
  <c r="AO292" i="1"/>
  <c r="G293" i="1"/>
  <c r="I293" i="1"/>
  <c r="AP292" i="1"/>
  <c r="AN292" i="1"/>
  <c r="R292" i="1"/>
  <c r="T292" i="1"/>
  <c r="Z292" i="1"/>
  <c r="V292" i="1"/>
  <c r="AB292" i="1"/>
  <c r="E292" i="1"/>
  <c r="AA291" i="1"/>
  <c r="AO291" i="1"/>
  <c r="G292" i="1"/>
  <c r="I292" i="1"/>
  <c r="AP291" i="1"/>
  <c r="AN291" i="1"/>
  <c r="R291" i="1"/>
  <c r="T291" i="1"/>
  <c r="Z291" i="1"/>
  <c r="V291" i="1"/>
  <c r="AB291" i="1"/>
  <c r="E291" i="1"/>
  <c r="AA290" i="1"/>
  <c r="AO290" i="1"/>
  <c r="G291" i="1"/>
  <c r="I291" i="1"/>
  <c r="AP290" i="1"/>
  <c r="AN290" i="1"/>
  <c r="R290" i="1"/>
  <c r="T290" i="1"/>
  <c r="V290" i="1"/>
  <c r="AB290" i="1"/>
  <c r="Z290" i="1"/>
  <c r="E290" i="1"/>
  <c r="AA289" i="1"/>
  <c r="AO289" i="1"/>
  <c r="G290" i="1"/>
  <c r="I290" i="1"/>
  <c r="AP289" i="1"/>
  <c r="AN289" i="1"/>
  <c r="R289" i="1"/>
  <c r="T289" i="1"/>
  <c r="V289" i="1"/>
  <c r="AB289" i="1"/>
  <c r="Z289" i="1"/>
  <c r="E289" i="1"/>
  <c r="AA288" i="1"/>
  <c r="AO288" i="1"/>
  <c r="G289" i="1"/>
  <c r="I289" i="1"/>
  <c r="AP288" i="1"/>
  <c r="AN288" i="1"/>
  <c r="R288" i="1"/>
  <c r="T288" i="1"/>
  <c r="Z288" i="1"/>
  <c r="V288" i="1"/>
  <c r="AB288" i="1"/>
  <c r="E288" i="1"/>
  <c r="AA287" i="1"/>
  <c r="AO287" i="1"/>
  <c r="G288" i="1"/>
  <c r="I288" i="1"/>
  <c r="AP287" i="1"/>
  <c r="AN287" i="1"/>
  <c r="R287" i="1"/>
  <c r="T287" i="1"/>
  <c r="Z287" i="1"/>
  <c r="V287" i="1"/>
  <c r="AB287" i="1"/>
  <c r="E287" i="1"/>
  <c r="AA286" i="1"/>
  <c r="AO286" i="1"/>
  <c r="G287" i="1"/>
  <c r="I287" i="1"/>
  <c r="AP286" i="1"/>
  <c r="AN286" i="1"/>
  <c r="R286" i="1"/>
  <c r="T286" i="1"/>
  <c r="Z286" i="1"/>
  <c r="V286" i="1"/>
  <c r="AB286" i="1"/>
  <c r="E286" i="1"/>
  <c r="AA285" i="1"/>
  <c r="AO285" i="1"/>
  <c r="G286" i="1"/>
  <c r="I286" i="1"/>
  <c r="AP285" i="1"/>
  <c r="AN285" i="1"/>
  <c r="R285" i="1"/>
  <c r="T285" i="1"/>
  <c r="E285" i="1"/>
  <c r="V285" i="1"/>
  <c r="AB285" i="1"/>
  <c r="Z285" i="1"/>
  <c r="AP284" i="1"/>
  <c r="AO284" i="1"/>
  <c r="AA284" i="1"/>
  <c r="AN284" i="1"/>
  <c r="G285" i="1"/>
  <c r="I285" i="1"/>
  <c r="R284" i="1"/>
  <c r="T284" i="1"/>
  <c r="V284" i="1"/>
  <c r="AB284" i="1"/>
  <c r="Z284" i="1"/>
  <c r="E284" i="1"/>
  <c r="AA283" i="1"/>
  <c r="AO283" i="1"/>
  <c r="G284" i="1"/>
  <c r="I284" i="1"/>
  <c r="AP283" i="1"/>
  <c r="AN283" i="1"/>
  <c r="R283" i="1"/>
  <c r="T283" i="1"/>
  <c r="V283" i="1"/>
  <c r="AB283" i="1"/>
  <c r="Z283" i="1"/>
  <c r="E283" i="1"/>
  <c r="AA282" i="1"/>
  <c r="AO282" i="1"/>
  <c r="G283" i="1"/>
  <c r="I283" i="1"/>
  <c r="AP282" i="1"/>
  <c r="AN282" i="1"/>
  <c r="R282" i="1"/>
  <c r="T282" i="1"/>
  <c r="V282" i="1"/>
  <c r="AB282" i="1"/>
  <c r="Z282" i="1"/>
  <c r="E282" i="1"/>
  <c r="AA281" i="1"/>
  <c r="AO281" i="1"/>
  <c r="G282" i="1"/>
  <c r="I282" i="1"/>
  <c r="AP281" i="1"/>
  <c r="AN281" i="1"/>
  <c r="R281" i="1"/>
  <c r="T281" i="1"/>
  <c r="Z281" i="1"/>
  <c r="V281" i="1"/>
  <c r="AB281" i="1"/>
  <c r="E281" i="1"/>
  <c r="AA280" i="1"/>
  <c r="AO280" i="1"/>
  <c r="G281" i="1"/>
  <c r="I281" i="1"/>
  <c r="AP280" i="1"/>
  <c r="AN280" i="1"/>
  <c r="R280" i="1"/>
  <c r="T280" i="1"/>
  <c r="V280" i="1"/>
  <c r="AB280" i="1"/>
  <c r="Z280" i="1"/>
  <c r="E280" i="1"/>
  <c r="AA279" i="1"/>
  <c r="AO279" i="1"/>
  <c r="G280" i="1"/>
  <c r="I280" i="1"/>
  <c r="AP279" i="1"/>
  <c r="AN279" i="1"/>
  <c r="R279" i="1"/>
  <c r="T279" i="1"/>
  <c r="V279" i="1"/>
  <c r="AB279" i="1"/>
  <c r="Z279" i="1"/>
  <c r="E279" i="1"/>
  <c r="AA278" i="1"/>
  <c r="AO278" i="1"/>
  <c r="G279" i="1"/>
  <c r="I279" i="1"/>
  <c r="AP278" i="1"/>
  <c r="AN278" i="1"/>
  <c r="R278" i="1"/>
  <c r="T278" i="1"/>
  <c r="Z278" i="1"/>
  <c r="V278" i="1"/>
  <c r="AB278" i="1"/>
  <c r="E278" i="1"/>
  <c r="AA277" i="1"/>
  <c r="AO277" i="1"/>
  <c r="G278" i="1"/>
  <c r="I278" i="1"/>
  <c r="AP277" i="1"/>
  <c r="AN277" i="1"/>
  <c r="R277" i="1"/>
  <c r="T277" i="1"/>
  <c r="Z277" i="1"/>
  <c r="V277" i="1"/>
  <c r="AB277" i="1"/>
  <c r="E277" i="1"/>
  <c r="AA276" i="1"/>
  <c r="AO276" i="1"/>
  <c r="G277" i="1"/>
  <c r="I277" i="1"/>
  <c r="AP276" i="1"/>
  <c r="AN276" i="1"/>
  <c r="R276" i="1"/>
  <c r="T276" i="1"/>
  <c r="Z276" i="1"/>
  <c r="V276" i="1"/>
  <c r="AB276" i="1"/>
  <c r="E276" i="1"/>
  <c r="AA275" i="1"/>
  <c r="AO275" i="1"/>
  <c r="G276" i="1"/>
  <c r="I276" i="1"/>
  <c r="AP275" i="1"/>
  <c r="AN275" i="1"/>
  <c r="R275" i="1"/>
  <c r="T275" i="1"/>
  <c r="V275" i="1"/>
  <c r="AB275" i="1"/>
  <c r="Z275" i="1"/>
  <c r="E275" i="1"/>
  <c r="AA274" i="1"/>
  <c r="AO274" i="1"/>
  <c r="G275" i="1"/>
  <c r="I275" i="1"/>
  <c r="AP274" i="1"/>
  <c r="AN274" i="1"/>
  <c r="R274" i="1"/>
  <c r="T274" i="1"/>
  <c r="Z274" i="1"/>
  <c r="V274" i="1"/>
  <c r="AB274" i="1"/>
  <c r="E274" i="1"/>
  <c r="AA273" i="1"/>
  <c r="AO273" i="1"/>
  <c r="G274" i="1"/>
  <c r="I274" i="1"/>
  <c r="AP273" i="1"/>
  <c r="AN273" i="1"/>
  <c r="R273" i="1"/>
  <c r="T273" i="1"/>
  <c r="V273" i="1"/>
  <c r="AB273" i="1"/>
  <c r="Z273" i="1"/>
  <c r="E273" i="1"/>
  <c r="AA272" i="1"/>
  <c r="AO272" i="1"/>
  <c r="G273" i="1"/>
  <c r="I273" i="1"/>
  <c r="AP272" i="1"/>
  <c r="AN272" i="1"/>
  <c r="R272" i="1"/>
  <c r="T272" i="1"/>
  <c r="V272" i="1"/>
  <c r="AB272" i="1"/>
  <c r="Z272" i="1"/>
  <c r="E272" i="1"/>
  <c r="AA271" i="1"/>
  <c r="AO271" i="1"/>
  <c r="G272" i="1"/>
  <c r="I272" i="1"/>
  <c r="AP271" i="1"/>
  <c r="AN271" i="1"/>
  <c r="R271" i="1"/>
  <c r="T271" i="1"/>
  <c r="Z271" i="1"/>
  <c r="V271" i="1"/>
  <c r="AB271" i="1"/>
  <c r="E271" i="1"/>
  <c r="AA270" i="1"/>
  <c r="AO270" i="1"/>
  <c r="G271" i="1"/>
  <c r="I271" i="1"/>
  <c r="AP270" i="1"/>
  <c r="AN270" i="1"/>
  <c r="R270" i="1"/>
  <c r="T270" i="1"/>
  <c r="V270" i="1"/>
  <c r="AB270" i="1"/>
  <c r="Z270" i="1"/>
  <c r="E270" i="1"/>
  <c r="AA269" i="1"/>
  <c r="AO269" i="1"/>
  <c r="G270" i="1"/>
  <c r="I270" i="1"/>
  <c r="AP269" i="1"/>
  <c r="AN269" i="1"/>
  <c r="R269" i="1"/>
  <c r="T269" i="1"/>
  <c r="V269" i="1"/>
  <c r="AB269" i="1"/>
  <c r="Z269" i="1"/>
  <c r="E269" i="1"/>
  <c r="AA268" i="1"/>
  <c r="AO268" i="1"/>
  <c r="G269" i="1"/>
  <c r="I269" i="1"/>
  <c r="AP268" i="1"/>
  <c r="AN268" i="1"/>
  <c r="R268" i="1"/>
  <c r="T268" i="1"/>
  <c r="V268" i="1"/>
  <c r="AB268" i="1"/>
  <c r="Z268" i="1"/>
  <c r="E268" i="1"/>
  <c r="AA267" i="1"/>
  <c r="AO267" i="1"/>
  <c r="G268" i="1"/>
  <c r="I268" i="1"/>
  <c r="AP267" i="1"/>
  <c r="AN267" i="1"/>
  <c r="R267" i="1"/>
  <c r="T267" i="1"/>
  <c r="V267" i="1"/>
  <c r="AB267" i="1"/>
  <c r="Z267" i="1"/>
  <c r="E267" i="1"/>
  <c r="AA266" i="1"/>
  <c r="AO266" i="1"/>
  <c r="G267" i="1"/>
  <c r="I267" i="1"/>
  <c r="AP266" i="1"/>
  <c r="AN266" i="1"/>
  <c r="R266" i="1"/>
  <c r="T266" i="1"/>
  <c r="V266" i="1"/>
  <c r="AB266" i="1"/>
  <c r="Z266" i="1"/>
  <c r="E266" i="1"/>
  <c r="AA265" i="1"/>
  <c r="AO265" i="1"/>
  <c r="G266" i="1"/>
  <c r="I266" i="1"/>
  <c r="AP265" i="1"/>
  <c r="AN265" i="1"/>
  <c r="R265" i="1"/>
  <c r="T265" i="1"/>
  <c r="V265" i="1"/>
  <c r="AB265" i="1"/>
  <c r="Z265" i="1"/>
  <c r="E265" i="1"/>
  <c r="AA264" i="1"/>
  <c r="AO264" i="1"/>
  <c r="G265" i="1"/>
  <c r="I265" i="1"/>
  <c r="AP264" i="1"/>
  <c r="AN264" i="1"/>
  <c r="R264" i="1"/>
  <c r="T264" i="1"/>
  <c r="Z264" i="1"/>
  <c r="V264" i="1"/>
  <c r="AB264" i="1"/>
  <c r="E264" i="1"/>
  <c r="AA263" i="1"/>
  <c r="Z263" i="1"/>
  <c r="V263" i="1"/>
  <c r="AB263" i="1"/>
  <c r="AO263" i="1"/>
  <c r="G264" i="1"/>
  <c r="I264" i="1"/>
  <c r="AP263" i="1"/>
  <c r="AN263" i="1"/>
  <c r="R263" i="1"/>
  <c r="E263" i="1"/>
  <c r="AA262" i="1"/>
  <c r="AO262" i="1"/>
  <c r="G263" i="1"/>
  <c r="I263" i="1"/>
  <c r="AP262" i="1"/>
  <c r="AN262" i="1"/>
  <c r="R262" i="1"/>
  <c r="T262" i="1"/>
  <c r="V262" i="1"/>
  <c r="AB262" i="1"/>
  <c r="Z262" i="1"/>
  <c r="E262" i="1"/>
  <c r="AA261" i="1"/>
  <c r="AO261" i="1"/>
  <c r="G262" i="1"/>
  <c r="I262" i="1"/>
  <c r="AP261" i="1"/>
  <c r="AN261" i="1"/>
  <c r="R261" i="1"/>
  <c r="T261" i="1"/>
  <c r="Z261" i="1"/>
  <c r="V261" i="1"/>
  <c r="AB261" i="1"/>
  <c r="E261" i="1"/>
  <c r="AA260" i="1"/>
  <c r="AO260" i="1"/>
  <c r="G261" i="1"/>
  <c r="I261" i="1"/>
  <c r="AP260" i="1"/>
  <c r="AN260" i="1"/>
  <c r="R260" i="1"/>
  <c r="T260" i="1"/>
  <c r="Z260" i="1"/>
  <c r="V260" i="1"/>
  <c r="AB260" i="1"/>
  <c r="E260" i="1"/>
  <c r="AA259" i="1"/>
  <c r="AO259" i="1"/>
  <c r="G260" i="1"/>
  <c r="I260" i="1"/>
  <c r="AP259" i="1"/>
  <c r="AN259" i="1"/>
  <c r="R259" i="1"/>
  <c r="T259" i="1"/>
  <c r="V259" i="1"/>
  <c r="AB259" i="1"/>
  <c r="Z259" i="1"/>
  <c r="E259" i="1"/>
  <c r="AA258" i="1"/>
  <c r="AO258" i="1"/>
  <c r="G259" i="1"/>
  <c r="I259" i="1"/>
  <c r="AP258" i="1"/>
  <c r="AN258" i="1"/>
  <c r="R258" i="1"/>
  <c r="T258" i="1"/>
  <c r="Z258" i="1"/>
  <c r="V258" i="1"/>
  <c r="AB258" i="1"/>
  <c r="E258" i="1"/>
  <c r="AA257" i="1"/>
  <c r="AO257" i="1"/>
  <c r="G258" i="1"/>
  <c r="I258" i="1"/>
  <c r="AP257" i="1"/>
  <c r="AN257" i="1"/>
  <c r="R257" i="1"/>
  <c r="T257" i="1"/>
  <c r="Z257" i="1"/>
  <c r="V257" i="1"/>
  <c r="AB257" i="1"/>
  <c r="E257" i="1"/>
  <c r="AA256" i="1"/>
  <c r="AO256" i="1"/>
  <c r="G257" i="1"/>
  <c r="I257" i="1"/>
  <c r="AP256" i="1"/>
  <c r="AN256" i="1"/>
  <c r="R256" i="1"/>
  <c r="T256" i="1"/>
  <c r="Z256" i="1"/>
  <c r="V256" i="1"/>
  <c r="AB256" i="1"/>
  <c r="E256" i="1"/>
  <c r="AA255" i="1"/>
  <c r="Z255" i="1"/>
  <c r="V255" i="1"/>
  <c r="AB255" i="1"/>
  <c r="AO255" i="1"/>
  <c r="G256" i="1"/>
  <c r="I256" i="1"/>
  <c r="AP255" i="1"/>
  <c r="AN255" i="1"/>
  <c r="R255" i="1"/>
  <c r="E255" i="1"/>
  <c r="AA254" i="1"/>
  <c r="AO254" i="1"/>
  <c r="G255" i="1"/>
  <c r="I255" i="1"/>
  <c r="AP254" i="1"/>
  <c r="AN254" i="1"/>
  <c r="R254" i="1"/>
  <c r="T254" i="1"/>
  <c r="V254" i="1"/>
  <c r="AB254" i="1"/>
  <c r="Z254" i="1"/>
  <c r="E254" i="1"/>
  <c r="AA253" i="1"/>
  <c r="AO253" i="1"/>
  <c r="G254" i="1"/>
  <c r="I254" i="1"/>
  <c r="AP253" i="1"/>
  <c r="AN253" i="1"/>
  <c r="R253" i="1"/>
  <c r="T253" i="1"/>
  <c r="V253" i="1"/>
  <c r="AB253" i="1"/>
  <c r="Z253" i="1"/>
  <c r="E253" i="1"/>
  <c r="AA252" i="1"/>
  <c r="AO252" i="1"/>
  <c r="G253" i="1"/>
  <c r="I253" i="1"/>
  <c r="AP252" i="1"/>
  <c r="AN252" i="1"/>
  <c r="R252" i="1"/>
  <c r="T252" i="1"/>
  <c r="Z252" i="1"/>
  <c r="V252" i="1"/>
  <c r="AB252" i="1"/>
  <c r="E252" i="1"/>
  <c r="AA251" i="1"/>
  <c r="AO251" i="1"/>
  <c r="G252" i="1"/>
  <c r="I252" i="1"/>
  <c r="AP251" i="1"/>
  <c r="AN251" i="1"/>
  <c r="R251" i="1"/>
  <c r="T251" i="1"/>
  <c r="Z251" i="1"/>
  <c r="V251" i="1"/>
  <c r="AB251" i="1"/>
  <c r="E251" i="1"/>
  <c r="AA250" i="1"/>
  <c r="AO250" i="1"/>
  <c r="G251" i="1"/>
  <c r="I251" i="1"/>
  <c r="AP250" i="1"/>
  <c r="AN250" i="1"/>
  <c r="R250" i="1"/>
  <c r="T250" i="1"/>
  <c r="V250" i="1"/>
  <c r="AB250" i="1"/>
  <c r="Z250" i="1"/>
  <c r="E250" i="1"/>
  <c r="AA249" i="1"/>
  <c r="AO249" i="1"/>
  <c r="G250" i="1"/>
  <c r="I250" i="1"/>
  <c r="AP249" i="1"/>
  <c r="AN249" i="1"/>
  <c r="R249" i="1"/>
  <c r="T249" i="1"/>
  <c r="V249" i="1"/>
  <c r="AB249" i="1"/>
  <c r="Z249" i="1"/>
  <c r="E249" i="1"/>
  <c r="AA248" i="1"/>
  <c r="AO248" i="1"/>
  <c r="G249" i="1"/>
  <c r="I249" i="1"/>
  <c r="AP248" i="1"/>
  <c r="AN248" i="1"/>
  <c r="R248" i="1"/>
  <c r="T248" i="1"/>
  <c r="V248" i="1"/>
  <c r="AB248" i="1"/>
  <c r="Z248" i="1"/>
  <c r="E248" i="1"/>
  <c r="AA247" i="1"/>
  <c r="AO247" i="1"/>
  <c r="G248" i="1"/>
  <c r="I248" i="1"/>
  <c r="AP247" i="1"/>
  <c r="AN247" i="1"/>
  <c r="R247" i="1"/>
  <c r="T247" i="1"/>
  <c r="Z247" i="1"/>
  <c r="V247" i="1"/>
  <c r="AB247" i="1"/>
  <c r="E247" i="1"/>
  <c r="AA246" i="1"/>
  <c r="AO246" i="1"/>
  <c r="G247" i="1"/>
  <c r="I247" i="1"/>
  <c r="AP246" i="1"/>
  <c r="AN246" i="1"/>
  <c r="R246" i="1"/>
  <c r="T246" i="1"/>
  <c r="Z246" i="1"/>
  <c r="V246" i="1"/>
  <c r="AB246" i="1"/>
  <c r="E246" i="1"/>
  <c r="AA245" i="1"/>
  <c r="AO245" i="1"/>
  <c r="G246" i="1"/>
  <c r="I246" i="1"/>
  <c r="AP245" i="1"/>
  <c r="AN245" i="1"/>
  <c r="R245" i="1"/>
  <c r="T245" i="1"/>
  <c r="V245" i="1"/>
  <c r="AB245" i="1"/>
  <c r="Z245" i="1"/>
  <c r="E245" i="1"/>
  <c r="AA244" i="1"/>
  <c r="AO244" i="1"/>
  <c r="G245" i="1"/>
  <c r="I245" i="1"/>
  <c r="AP244" i="1"/>
  <c r="AN244" i="1"/>
  <c r="R244" i="1"/>
  <c r="T244" i="1"/>
  <c r="V244" i="1"/>
  <c r="AB244" i="1"/>
  <c r="Z244" i="1"/>
  <c r="E244" i="1"/>
  <c r="AA243" i="1"/>
  <c r="AO243" i="1"/>
  <c r="G244" i="1"/>
  <c r="I244" i="1"/>
  <c r="AP243" i="1"/>
  <c r="AN243" i="1"/>
  <c r="R243" i="1"/>
  <c r="T243" i="1"/>
  <c r="Z243" i="1"/>
  <c r="V243" i="1"/>
  <c r="AB243" i="1"/>
  <c r="E243" i="1"/>
  <c r="AA242" i="1"/>
  <c r="AO242" i="1"/>
  <c r="G243" i="1"/>
  <c r="I243" i="1"/>
  <c r="AP242" i="1"/>
  <c r="AN242" i="1"/>
  <c r="R242" i="1"/>
  <c r="T242" i="1"/>
  <c r="V242" i="1"/>
  <c r="AB242" i="1"/>
  <c r="Z242" i="1"/>
  <c r="E242" i="1"/>
  <c r="AA241" i="1"/>
  <c r="AO241" i="1"/>
  <c r="G242" i="1"/>
  <c r="I242" i="1"/>
  <c r="AP241" i="1"/>
  <c r="AN241" i="1"/>
  <c r="R241" i="1"/>
  <c r="T241" i="1"/>
  <c r="Z241" i="1"/>
  <c r="V241" i="1"/>
  <c r="AB241" i="1"/>
  <c r="E241" i="1"/>
  <c r="AA240" i="1"/>
  <c r="AO240" i="1"/>
  <c r="G241" i="1"/>
  <c r="I241" i="1"/>
  <c r="AP240" i="1"/>
  <c r="AN240" i="1"/>
  <c r="R240" i="1"/>
  <c r="T240" i="1"/>
  <c r="Z240" i="1"/>
  <c r="V240" i="1"/>
  <c r="AB240" i="1"/>
  <c r="E240" i="1"/>
  <c r="AA239" i="1"/>
  <c r="AO239" i="1"/>
  <c r="G240" i="1"/>
  <c r="I240" i="1"/>
  <c r="AP239" i="1"/>
  <c r="AN239" i="1"/>
  <c r="R239" i="1"/>
  <c r="T239" i="1"/>
  <c r="Z239" i="1"/>
  <c r="V239" i="1"/>
  <c r="AB239" i="1"/>
  <c r="E239" i="1"/>
  <c r="AA238" i="1"/>
  <c r="AO238" i="1"/>
  <c r="G239" i="1"/>
  <c r="I239" i="1"/>
  <c r="AP238" i="1"/>
  <c r="AN238" i="1"/>
  <c r="R238" i="1"/>
  <c r="T238" i="1"/>
  <c r="Z238" i="1"/>
  <c r="V238" i="1"/>
  <c r="AB238" i="1"/>
  <c r="E238" i="1"/>
  <c r="AA237" i="1"/>
  <c r="AO237" i="1"/>
  <c r="G238" i="1"/>
  <c r="I238" i="1"/>
  <c r="AP237" i="1"/>
  <c r="AN237" i="1"/>
  <c r="R237" i="1"/>
  <c r="T237" i="1"/>
  <c r="V237" i="1"/>
  <c r="AB237" i="1"/>
  <c r="Z237" i="1"/>
  <c r="E237" i="1"/>
  <c r="AA236" i="1"/>
  <c r="AO236" i="1"/>
  <c r="G237" i="1"/>
  <c r="I237" i="1"/>
  <c r="AP236" i="1"/>
  <c r="AN236" i="1"/>
  <c r="R236" i="1"/>
  <c r="T236" i="1"/>
  <c r="Z236" i="1"/>
  <c r="V236" i="1"/>
  <c r="AB236" i="1"/>
  <c r="E236" i="1"/>
  <c r="AA235" i="1"/>
  <c r="AO235" i="1"/>
  <c r="G236" i="1"/>
  <c r="I236" i="1"/>
  <c r="AP235" i="1"/>
  <c r="AN235" i="1"/>
  <c r="R235" i="1"/>
  <c r="T235" i="1"/>
  <c r="Z235" i="1"/>
  <c r="V235" i="1"/>
  <c r="AB235" i="1"/>
  <c r="E235" i="1"/>
  <c r="AA234" i="1"/>
  <c r="AO234" i="1"/>
  <c r="G235" i="1"/>
  <c r="I235" i="1"/>
  <c r="AP234" i="1"/>
  <c r="AN234" i="1"/>
  <c r="R234" i="1"/>
  <c r="T234" i="1"/>
  <c r="V234" i="1"/>
  <c r="AB234" i="1"/>
  <c r="Z234" i="1"/>
  <c r="E234" i="1"/>
  <c r="AA233" i="1"/>
  <c r="AO233" i="1"/>
  <c r="G234" i="1"/>
  <c r="I234" i="1"/>
  <c r="AP233" i="1"/>
  <c r="AN233" i="1"/>
  <c r="R233" i="1"/>
  <c r="T233" i="1"/>
  <c r="Z233" i="1"/>
  <c r="V233" i="1"/>
  <c r="AB233" i="1"/>
  <c r="E233" i="1"/>
  <c r="AA232" i="1"/>
  <c r="AO232" i="1"/>
  <c r="G233" i="1"/>
  <c r="I233" i="1"/>
  <c r="AP232" i="1"/>
  <c r="AN232" i="1"/>
  <c r="R232" i="1"/>
  <c r="T232" i="1"/>
  <c r="V232" i="1"/>
  <c r="AB232" i="1"/>
  <c r="Z232" i="1"/>
  <c r="E232" i="1"/>
  <c r="AA231" i="1"/>
  <c r="AO231" i="1"/>
  <c r="G232" i="1"/>
  <c r="I232" i="1"/>
  <c r="AP231" i="1"/>
  <c r="AN231" i="1"/>
  <c r="R231" i="1"/>
  <c r="T231" i="1"/>
  <c r="Z231" i="1"/>
  <c r="V231" i="1"/>
  <c r="AB231" i="1"/>
  <c r="E231" i="1"/>
  <c r="AA230" i="1"/>
  <c r="AO230" i="1"/>
  <c r="G231" i="1"/>
  <c r="I231" i="1"/>
  <c r="AP230" i="1"/>
  <c r="AN230" i="1"/>
  <c r="R230" i="1"/>
  <c r="T230" i="1"/>
  <c r="Z230" i="1"/>
  <c r="V230" i="1"/>
  <c r="AB230" i="1"/>
  <c r="E230" i="1"/>
  <c r="AA229" i="1"/>
  <c r="AO229" i="1"/>
  <c r="G230" i="1"/>
  <c r="I230" i="1"/>
  <c r="AP229" i="1"/>
  <c r="AN229" i="1"/>
  <c r="R229" i="1"/>
  <c r="T229" i="1"/>
  <c r="Z229" i="1"/>
  <c r="V229" i="1"/>
  <c r="AB229" i="1"/>
  <c r="E229" i="1"/>
  <c r="AA228" i="1"/>
  <c r="AO228" i="1"/>
  <c r="G229" i="1"/>
  <c r="I229" i="1"/>
  <c r="AP228" i="1"/>
  <c r="AN228" i="1"/>
  <c r="R228" i="1"/>
  <c r="T228" i="1"/>
  <c r="V228" i="1"/>
  <c r="AB228" i="1"/>
  <c r="Z228" i="1"/>
  <c r="E228" i="1"/>
  <c r="AA227" i="1"/>
  <c r="AO227" i="1"/>
  <c r="G228" i="1"/>
  <c r="I228" i="1"/>
  <c r="AP227" i="1"/>
  <c r="AN227" i="1"/>
  <c r="R227" i="1"/>
  <c r="T227" i="1"/>
  <c r="Z227" i="1"/>
  <c r="V227" i="1"/>
  <c r="AB227" i="1"/>
  <c r="E227" i="1"/>
  <c r="AA226" i="1"/>
  <c r="AO226" i="1"/>
  <c r="G227" i="1"/>
  <c r="I227" i="1"/>
  <c r="AP226" i="1"/>
  <c r="AN226" i="1"/>
  <c r="R226" i="1"/>
  <c r="T226" i="1"/>
  <c r="Z226" i="1"/>
  <c r="V226" i="1"/>
  <c r="AB226" i="1"/>
  <c r="E226" i="1"/>
  <c r="AA225" i="1"/>
  <c r="AO225" i="1"/>
  <c r="G226" i="1"/>
  <c r="I226" i="1"/>
  <c r="AP225" i="1"/>
  <c r="AN225" i="1"/>
  <c r="R225" i="1"/>
  <c r="T225" i="1"/>
  <c r="V225" i="1"/>
  <c r="AB225" i="1"/>
  <c r="Z225" i="1"/>
  <c r="E225" i="1"/>
  <c r="AA224" i="1"/>
  <c r="AO224" i="1"/>
  <c r="G225" i="1"/>
  <c r="I225" i="1"/>
  <c r="AP224" i="1"/>
  <c r="AN224" i="1"/>
  <c r="R224" i="1"/>
  <c r="T224" i="1"/>
  <c r="V224" i="1"/>
  <c r="AB224" i="1"/>
  <c r="Z224" i="1"/>
  <c r="E224" i="1"/>
  <c r="AA223" i="1"/>
  <c r="AO223" i="1"/>
  <c r="G224" i="1"/>
  <c r="I224" i="1"/>
  <c r="AP223" i="1"/>
  <c r="AN223" i="1"/>
  <c r="R223" i="1"/>
  <c r="T223" i="1"/>
  <c r="Z223" i="1"/>
  <c r="V223" i="1"/>
  <c r="AB223" i="1"/>
  <c r="E223" i="1"/>
  <c r="AA222" i="1"/>
  <c r="AO222" i="1"/>
  <c r="G223" i="1"/>
  <c r="I223" i="1"/>
  <c r="AP222" i="1"/>
  <c r="AN222" i="1"/>
  <c r="R222" i="1"/>
  <c r="T222" i="1"/>
  <c r="Z222" i="1"/>
  <c r="V222" i="1"/>
  <c r="AB222" i="1"/>
  <c r="E222" i="1"/>
  <c r="AA221" i="1"/>
  <c r="AO221" i="1"/>
  <c r="G222" i="1"/>
  <c r="I222" i="1"/>
  <c r="AP221" i="1"/>
  <c r="AN221" i="1"/>
  <c r="R221" i="1"/>
  <c r="T221" i="1"/>
  <c r="V221" i="1"/>
  <c r="AB221" i="1"/>
  <c r="Z221" i="1"/>
  <c r="E221" i="1"/>
  <c r="AA220" i="1"/>
  <c r="AO220" i="1"/>
  <c r="G221" i="1"/>
  <c r="I221" i="1"/>
  <c r="AP220" i="1"/>
  <c r="AN220" i="1"/>
  <c r="R220" i="1"/>
  <c r="T220" i="1"/>
  <c r="Z220" i="1"/>
  <c r="V220" i="1"/>
  <c r="AB220" i="1"/>
  <c r="E220" i="1"/>
  <c r="AA219" i="1"/>
  <c r="AO219" i="1"/>
  <c r="G220" i="1"/>
  <c r="I220" i="1"/>
  <c r="AP219" i="1"/>
  <c r="AN219" i="1"/>
  <c r="R219" i="1"/>
  <c r="T219" i="1"/>
  <c r="V219" i="1"/>
  <c r="AB219" i="1"/>
  <c r="Z219" i="1"/>
  <c r="E219" i="1"/>
  <c r="AA218" i="1"/>
  <c r="AO218" i="1"/>
  <c r="G219" i="1"/>
  <c r="I219" i="1"/>
  <c r="AP218" i="1"/>
  <c r="AN218" i="1"/>
  <c r="R218" i="1"/>
  <c r="T218" i="1"/>
  <c r="E218" i="1"/>
  <c r="Z218" i="1"/>
  <c r="V218" i="1"/>
  <c r="AB218" i="1"/>
  <c r="AA217" i="1"/>
  <c r="AO217" i="1"/>
  <c r="G218" i="1"/>
  <c r="I218" i="1"/>
  <c r="AP217" i="1"/>
  <c r="AN217" i="1"/>
  <c r="R217" i="1"/>
  <c r="T217" i="1"/>
  <c r="Z217" i="1"/>
  <c r="V217" i="1"/>
  <c r="AB217" i="1"/>
  <c r="E217" i="1"/>
  <c r="AA216" i="1"/>
  <c r="AO216" i="1"/>
  <c r="G217" i="1"/>
  <c r="I217" i="1"/>
  <c r="AP216" i="1"/>
  <c r="AN216" i="1"/>
  <c r="R216" i="1"/>
  <c r="T216" i="1"/>
  <c r="Z216" i="1"/>
  <c r="V216" i="1"/>
  <c r="AB216" i="1"/>
  <c r="E216" i="1"/>
  <c r="AA215" i="1"/>
  <c r="AO215" i="1"/>
  <c r="G216" i="1"/>
  <c r="I216" i="1"/>
  <c r="AP215" i="1"/>
  <c r="AN215" i="1"/>
  <c r="R215" i="1"/>
  <c r="T215" i="1"/>
  <c r="Z215" i="1"/>
  <c r="V215" i="1"/>
  <c r="AB215" i="1"/>
  <c r="E215" i="1"/>
  <c r="AA214" i="1"/>
  <c r="AO214" i="1"/>
  <c r="G215" i="1"/>
  <c r="I215" i="1"/>
  <c r="AP214" i="1"/>
  <c r="AN214" i="1"/>
  <c r="R214" i="1"/>
  <c r="T214" i="1"/>
  <c r="Z214" i="1"/>
  <c r="V214" i="1"/>
  <c r="AB214" i="1"/>
  <c r="E214" i="1"/>
  <c r="AA213" i="1"/>
  <c r="AO213" i="1"/>
  <c r="G214" i="1"/>
  <c r="I214" i="1"/>
  <c r="AP213" i="1"/>
  <c r="AN213" i="1"/>
  <c r="R213" i="1"/>
  <c r="T213" i="1"/>
  <c r="Z213" i="1"/>
  <c r="V213" i="1"/>
  <c r="AB213" i="1"/>
  <c r="E213" i="1"/>
  <c r="AA212" i="1"/>
  <c r="AO212" i="1"/>
  <c r="G213" i="1"/>
  <c r="I213" i="1"/>
  <c r="AP212" i="1"/>
  <c r="AN212" i="1"/>
  <c r="R212" i="1"/>
  <c r="T212" i="1"/>
  <c r="Z212" i="1"/>
  <c r="V212" i="1"/>
  <c r="AB212" i="1"/>
  <c r="E212" i="1"/>
  <c r="AA211" i="1"/>
  <c r="AO211" i="1"/>
  <c r="G212" i="1"/>
  <c r="I212" i="1"/>
  <c r="AP211" i="1"/>
  <c r="AN211" i="1"/>
  <c r="R211" i="1"/>
  <c r="T211" i="1"/>
  <c r="V211" i="1"/>
  <c r="AB211" i="1"/>
  <c r="Z211" i="1"/>
  <c r="E211" i="1"/>
  <c r="AA210" i="1"/>
  <c r="AO210" i="1"/>
  <c r="G211" i="1"/>
  <c r="I211" i="1"/>
  <c r="AP210" i="1"/>
  <c r="AN210" i="1"/>
  <c r="R210" i="1"/>
  <c r="T210" i="1"/>
  <c r="Z210" i="1"/>
  <c r="V210" i="1"/>
  <c r="AB210" i="1"/>
  <c r="E210" i="1"/>
  <c r="AA209" i="1"/>
  <c r="AO209" i="1"/>
  <c r="G210" i="1"/>
  <c r="I210" i="1"/>
  <c r="AP209" i="1"/>
  <c r="AN209" i="1"/>
  <c r="R209" i="1"/>
  <c r="T209" i="1"/>
  <c r="V209" i="1"/>
  <c r="AB209" i="1"/>
  <c r="Z209" i="1"/>
  <c r="E209" i="1"/>
  <c r="AA208" i="1"/>
  <c r="AO208" i="1"/>
  <c r="G209" i="1"/>
  <c r="I209" i="1"/>
  <c r="AP208" i="1"/>
  <c r="AN208" i="1"/>
  <c r="R208" i="1"/>
  <c r="T208" i="1"/>
  <c r="Z208" i="1"/>
  <c r="V208" i="1"/>
  <c r="AB208" i="1"/>
  <c r="E208" i="1"/>
  <c r="AA207" i="1"/>
  <c r="AO207" i="1"/>
  <c r="G208" i="1"/>
  <c r="I208" i="1"/>
  <c r="AP207" i="1"/>
  <c r="AN207" i="1"/>
  <c r="R207" i="1"/>
  <c r="T207" i="1"/>
  <c r="Z207" i="1"/>
  <c r="V207" i="1"/>
  <c r="AB207" i="1"/>
  <c r="E207" i="1"/>
  <c r="AA206" i="1"/>
  <c r="AO206" i="1"/>
  <c r="G207" i="1"/>
  <c r="I207" i="1"/>
  <c r="AP206" i="1"/>
  <c r="AN206" i="1"/>
  <c r="R206" i="1"/>
  <c r="T206" i="1"/>
  <c r="Z206" i="1"/>
  <c r="V206" i="1"/>
  <c r="AB206" i="1"/>
  <c r="E206" i="1"/>
  <c r="AA205" i="1"/>
  <c r="AO205" i="1"/>
  <c r="G206" i="1"/>
  <c r="I206" i="1"/>
  <c r="AP205" i="1"/>
  <c r="AN205" i="1"/>
  <c r="R205" i="1"/>
  <c r="T205" i="1"/>
  <c r="Z205" i="1"/>
  <c r="V205" i="1"/>
  <c r="AB205" i="1"/>
  <c r="E205" i="1"/>
  <c r="AA204" i="1"/>
  <c r="AO204" i="1"/>
  <c r="G205" i="1"/>
  <c r="I205" i="1"/>
  <c r="AP204" i="1"/>
  <c r="AN204" i="1"/>
  <c r="R204" i="1"/>
  <c r="T204" i="1"/>
  <c r="Z204" i="1"/>
  <c r="V204" i="1"/>
  <c r="AB204" i="1"/>
  <c r="E204" i="1"/>
  <c r="AA203" i="1"/>
  <c r="AO203" i="1"/>
  <c r="G204" i="1"/>
  <c r="I204" i="1"/>
  <c r="AP203" i="1"/>
  <c r="AN203" i="1"/>
  <c r="R203" i="1"/>
  <c r="T203" i="1"/>
  <c r="V203" i="1"/>
  <c r="AB203" i="1"/>
  <c r="Z203" i="1"/>
  <c r="E203" i="1"/>
  <c r="AA202" i="1"/>
  <c r="AO202" i="1"/>
  <c r="G203" i="1"/>
  <c r="I203" i="1"/>
  <c r="AP202" i="1"/>
  <c r="AN202" i="1"/>
  <c r="R202" i="1"/>
  <c r="T202" i="1"/>
  <c r="Z202" i="1"/>
  <c r="V202" i="1"/>
  <c r="AB202" i="1"/>
  <c r="E202" i="1"/>
  <c r="AA201" i="1"/>
  <c r="AO201" i="1"/>
  <c r="G202" i="1"/>
  <c r="I202" i="1"/>
  <c r="AP201" i="1"/>
  <c r="AN201" i="1"/>
  <c r="R201" i="1"/>
  <c r="T201" i="1"/>
  <c r="V201" i="1"/>
  <c r="AB201" i="1"/>
  <c r="Z201" i="1"/>
  <c r="E201" i="1"/>
  <c r="AA200" i="1"/>
  <c r="AO200" i="1"/>
  <c r="G201" i="1"/>
  <c r="I201" i="1"/>
  <c r="AP200" i="1"/>
  <c r="AN200" i="1"/>
  <c r="R200" i="1"/>
  <c r="T200" i="1"/>
  <c r="V200" i="1"/>
  <c r="AB200" i="1"/>
  <c r="Z200" i="1"/>
  <c r="E200" i="1"/>
  <c r="AA199" i="1"/>
  <c r="AO199" i="1"/>
  <c r="G200" i="1"/>
  <c r="I200" i="1"/>
  <c r="AP199" i="1"/>
  <c r="AN199" i="1"/>
  <c r="R199" i="1"/>
  <c r="T199" i="1"/>
  <c r="V199" i="1"/>
  <c r="AB199" i="1"/>
  <c r="Z199" i="1"/>
  <c r="E199" i="1"/>
  <c r="AA198" i="1"/>
  <c r="AO198" i="1"/>
  <c r="G199" i="1"/>
  <c r="I199" i="1"/>
  <c r="AP198" i="1"/>
  <c r="AN198" i="1"/>
  <c r="R198" i="1"/>
  <c r="T198" i="1"/>
  <c r="V198" i="1"/>
  <c r="AB198" i="1"/>
  <c r="Z198" i="1"/>
  <c r="E198" i="1"/>
  <c r="AA197" i="1"/>
  <c r="AO197" i="1"/>
  <c r="G198" i="1"/>
  <c r="I198" i="1"/>
  <c r="AP197" i="1"/>
  <c r="AN197" i="1"/>
  <c r="R197" i="1"/>
  <c r="T197" i="1"/>
  <c r="Z197" i="1"/>
  <c r="V197" i="1"/>
  <c r="AB197" i="1"/>
  <c r="E197" i="1"/>
  <c r="AA196" i="1"/>
  <c r="AO196" i="1"/>
  <c r="G197" i="1"/>
  <c r="I197" i="1"/>
  <c r="AP196" i="1"/>
  <c r="AN196" i="1"/>
  <c r="R196" i="1"/>
  <c r="T196" i="1"/>
  <c r="V196" i="1"/>
  <c r="AB196" i="1"/>
  <c r="Z196" i="1"/>
  <c r="E196" i="1"/>
  <c r="AA195" i="1"/>
  <c r="AO195" i="1"/>
  <c r="G196" i="1"/>
  <c r="I196" i="1"/>
  <c r="AP195" i="1"/>
  <c r="AN195" i="1"/>
  <c r="R195" i="1"/>
  <c r="T195" i="1"/>
  <c r="Z195" i="1"/>
  <c r="V195" i="1"/>
  <c r="AB195" i="1"/>
  <c r="E195" i="1"/>
  <c r="AA194" i="1"/>
  <c r="AO194" i="1"/>
  <c r="G195" i="1"/>
  <c r="I195" i="1"/>
  <c r="AP194" i="1"/>
  <c r="AN194" i="1"/>
  <c r="R194" i="1"/>
  <c r="T194" i="1"/>
  <c r="V194" i="1"/>
  <c r="AB194" i="1"/>
  <c r="Z194" i="1"/>
  <c r="E194" i="1"/>
  <c r="AA193" i="1"/>
  <c r="AO193" i="1"/>
  <c r="G194" i="1"/>
  <c r="I194" i="1"/>
  <c r="AP193" i="1"/>
  <c r="AN193" i="1"/>
  <c r="R193" i="1"/>
  <c r="T193" i="1"/>
  <c r="Z193" i="1"/>
  <c r="V193" i="1"/>
  <c r="AB193" i="1"/>
  <c r="E193" i="1"/>
  <c r="AA192" i="1"/>
  <c r="AO192" i="1"/>
  <c r="G193" i="1"/>
  <c r="I193" i="1"/>
  <c r="AP192" i="1"/>
  <c r="AN192" i="1"/>
  <c r="R192" i="1"/>
  <c r="T192" i="1"/>
  <c r="Z192" i="1"/>
  <c r="V192" i="1"/>
  <c r="AB192" i="1"/>
  <c r="E192" i="1"/>
  <c r="AA191" i="1"/>
  <c r="AO191" i="1"/>
  <c r="G192" i="1"/>
  <c r="I192" i="1"/>
  <c r="AP191" i="1"/>
  <c r="AN191" i="1"/>
  <c r="R191" i="1"/>
  <c r="T191" i="1"/>
  <c r="V191" i="1"/>
  <c r="AB191" i="1"/>
  <c r="Z191" i="1"/>
  <c r="E191" i="1"/>
  <c r="AA190" i="1"/>
  <c r="R190" i="1"/>
  <c r="AO190" i="1"/>
  <c r="G191" i="1"/>
  <c r="I191" i="1"/>
  <c r="E190" i="1"/>
  <c r="T190" i="1"/>
  <c r="AP190" i="1"/>
  <c r="AN190" i="1"/>
  <c r="AA189" i="1"/>
  <c r="G190" i="1"/>
  <c r="I190" i="1"/>
  <c r="AO189" i="1"/>
  <c r="V190" i="1"/>
  <c r="AB190" i="1"/>
  <c r="Z190" i="1"/>
  <c r="AP189" i="1"/>
  <c r="AN189" i="1"/>
  <c r="R189" i="1"/>
  <c r="T189" i="1"/>
  <c r="Z189" i="1"/>
  <c r="V189" i="1"/>
  <c r="AB189" i="1"/>
  <c r="E189" i="1"/>
  <c r="AA188" i="1"/>
  <c r="AO188" i="1"/>
  <c r="G189" i="1"/>
  <c r="I189" i="1"/>
  <c r="AP188" i="1"/>
  <c r="AN188" i="1"/>
  <c r="R188" i="1"/>
  <c r="T188" i="1"/>
  <c r="Z188" i="1"/>
  <c r="V188" i="1"/>
  <c r="AB188" i="1"/>
  <c r="E188" i="1"/>
  <c r="AA187" i="1"/>
  <c r="AO187" i="1"/>
  <c r="G188" i="1"/>
  <c r="I188" i="1"/>
  <c r="AP187" i="1"/>
  <c r="AN187" i="1"/>
  <c r="R187" i="1"/>
  <c r="T187" i="1"/>
  <c r="Z187" i="1"/>
  <c r="V187" i="1"/>
  <c r="AB187" i="1"/>
  <c r="E187" i="1"/>
  <c r="AA186" i="1"/>
  <c r="AO186" i="1"/>
  <c r="G187" i="1"/>
  <c r="I187" i="1"/>
  <c r="AP186" i="1"/>
  <c r="AN186" i="1"/>
  <c r="R186" i="1"/>
  <c r="T186" i="1"/>
  <c r="Z186" i="1"/>
  <c r="V186" i="1"/>
  <c r="AB186" i="1"/>
  <c r="E186" i="1"/>
  <c r="AA185" i="1"/>
  <c r="AO185" i="1"/>
  <c r="G186" i="1"/>
  <c r="I186" i="1"/>
  <c r="AP185" i="1"/>
  <c r="AN185" i="1"/>
  <c r="R185" i="1"/>
  <c r="T185" i="1"/>
  <c r="Z185" i="1"/>
  <c r="V185" i="1"/>
  <c r="AB185" i="1"/>
  <c r="E185" i="1"/>
  <c r="AA184" i="1"/>
  <c r="AO184" i="1"/>
  <c r="G185" i="1"/>
  <c r="I185" i="1"/>
  <c r="AP184" i="1"/>
  <c r="AN184" i="1"/>
  <c r="R184" i="1"/>
  <c r="T184" i="1"/>
  <c r="Z184" i="1"/>
  <c r="V184" i="1"/>
  <c r="AB184" i="1"/>
  <c r="E184" i="1"/>
  <c r="AA183" i="1"/>
  <c r="AO183" i="1"/>
  <c r="G184" i="1"/>
  <c r="I184" i="1"/>
  <c r="AP183" i="1"/>
  <c r="AN183" i="1"/>
  <c r="R183" i="1"/>
  <c r="T183" i="1"/>
  <c r="V183" i="1"/>
  <c r="AB183" i="1"/>
  <c r="Z183" i="1"/>
  <c r="E183" i="1"/>
  <c r="AA182" i="1"/>
  <c r="AO182" i="1"/>
  <c r="G183" i="1"/>
  <c r="I183" i="1"/>
  <c r="AP182" i="1"/>
  <c r="AN182" i="1"/>
  <c r="R182" i="1"/>
  <c r="T182" i="1"/>
  <c r="Z182" i="1"/>
  <c r="V182" i="1"/>
  <c r="AB182" i="1"/>
  <c r="E182" i="1"/>
  <c r="AA181" i="1"/>
  <c r="AO181" i="1"/>
  <c r="G182" i="1"/>
  <c r="I182" i="1"/>
  <c r="AP181" i="1"/>
  <c r="AN181" i="1"/>
  <c r="R181" i="1"/>
  <c r="T181" i="1"/>
  <c r="Z181" i="1"/>
  <c r="V181" i="1"/>
  <c r="AB181" i="1"/>
  <c r="E181" i="1"/>
  <c r="AA180" i="1"/>
  <c r="AO180" i="1"/>
  <c r="G181" i="1"/>
  <c r="I181" i="1"/>
  <c r="AP180" i="1"/>
  <c r="AN180" i="1"/>
  <c r="R180" i="1"/>
  <c r="T180" i="1"/>
  <c r="Z180" i="1"/>
  <c r="V180" i="1"/>
  <c r="AB180" i="1"/>
  <c r="E180" i="1"/>
  <c r="AA179" i="1"/>
  <c r="AO179" i="1"/>
  <c r="G180" i="1"/>
  <c r="I180" i="1"/>
  <c r="AP179" i="1"/>
  <c r="AN179" i="1"/>
  <c r="R179" i="1"/>
  <c r="T179" i="1"/>
  <c r="V179" i="1"/>
  <c r="AB179" i="1"/>
  <c r="Z179" i="1"/>
  <c r="E179" i="1"/>
  <c r="AA178" i="1"/>
  <c r="AO178" i="1"/>
  <c r="G179" i="1"/>
  <c r="I179" i="1"/>
  <c r="AP178" i="1"/>
  <c r="AN178" i="1"/>
  <c r="R178" i="1"/>
  <c r="T178" i="1"/>
  <c r="V178" i="1"/>
  <c r="AB178" i="1"/>
  <c r="Z178" i="1"/>
  <c r="E178" i="1"/>
  <c r="AA177" i="1"/>
  <c r="AO177" i="1"/>
  <c r="G178" i="1"/>
  <c r="I178" i="1"/>
  <c r="AP177" i="1"/>
  <c r="AN177" i="1"/>
  <c r="R177" i="1"/>
  <c r="T177" i="1"/>
  <c r="Z177" i="1"/>
  <c r="V177" i="1"/>
  <c r="AB177" i="1"/>
  <c r="E177" i="1"/>
  <c r="AA176" i="1"/>
  <c r="AO176" i="1"/>
  <c r="G177" i="1"/>
  <c r="I177" i="1"/>
  <c r="AP176" i="1"/>
  <c r="AN176" i="1"/>
  <c r="R176" i="1"/>
  <c r="T176" i="1"/>
  <c r="Z176" i="1"/>
  <c r="V176" i="1"/>
  <c r="AB176" i="1"/>
  <c r="E176" i="1"/>
  <c r="AA175" i="1"/>
  <c r="AO175" i="1"/>
  <c r="G176" i="1"/>
  <c r="I176" i="1"/>
  <c r="AP175" i="1"/>
  <c r="AN175" i="1"/>
  <c r="R175" i="1"/>
  <c r="T175" i="1"/>
  <c r="V175" i="1"/>
  <c r="AB175" i="1"/>
  <c r="Z175" i="1"/>
  <c r="E175" i="1"/>
  <c r="AA174" i="1"/>
  <c r="AO174" i="1"/>
  <c r="G175" i="1"/>
  <c r="I175" i="1"/>
  <c r="AP174" i="1"/>
  <c r="AN174" i="1"/>
  <c r="R174" i="1"/>
  <c r="T174" i="1"/>
  <c r="Z174" i="1"/>
  <c r="V174" i="1"/>
  <c r="AB174" i="1"/>
  <c r="E174" i="1"/>
  <c r="AA173" i="1"/>
  <c r="AO173" i="1"/>
  <c r="G174" i="1"/>
  <c r="I174" i="1"/>
  <c r="AP173" i="1"/>
  <c r="AN173" i="1"/>
  <c r="R173" i="1"/>
  <c r="T173" i="1"/>
  <c r="Z173" i="1"/>
  <c r="V173" i="1"/>
  <c r="AB173" i="1"/>
  <c r="E173" i="1"/>
  <c r="AA172" i="1"/>
  <c r="AO172" i="1"/>
  <c r="G173" i="1"/>
  <c r="I173" i="1"/>
  <c r="AP172" i="1"/>
  <c r="AN172" i="1"/>
  <c r="R172" i="1"/>
  <c r="T172" i="1"/>
  <c r="V172" i="1"/>
  <c r="AB172" i="1"/>
  <c r="Z172" i="1"/>
  <c r="E172" i="1"/>
  <c r="AA171" i="1"/>
  <c r="AO171" i="1"/>
  <c r="G172" i="1"/>
  <c r="I172" i="1"/>
  <c r="AP171" i="1"/>
  <c r="AN171" i="1"/>
  <c r="R171" i="1"/>
  <c r="T171" i="1"/>
  <c r="V171" i="1"/>
  <c r="AB171" i="1"/>
  <c r="Z171" i="1"/>
  <c r="E171" i="1"/>
  <c r="AA170" i="1"/>
  <c r="AO170" i="1"/>
  <c r="G171" i="1"/>
  <c r="I171" i="1"/>
  <c r="AP170" i="1"/>
  <c r="AN170" i="1"/>
  <c r="R170" i="1"/>
  <c r="T170" i="1"/>
  <c r="Z170" i="1"/>
  <c r="V170" i="1"/>
  <c r="AB170" i="1"/>
  <c r="E170" i="1"/>
  <c r="AA169" i="1"/>
  <c r="AO169" i="1"/>
  <c r="G170" i="1"/>
  <c r="I170" i="1"/>
  <c r="AP169" i="1"/>
  <c r="AN169" i="1"/>
  <c r="R169" i="1"/>
  <c r="T169" i="1"/>
  <c r="Z169" i="1"/>
  <c r="V169" i="1"/>
  <c r="AB169" i="1"/>
  <c r="E169" i="1"/>
  <c r="AA168" i="1"/>
  <c r="AO168" i="1"/>
  <c r="G169" i="1"/>
  <c r="I169" i="1"/>
  <c r="AP168" i="1"/>
  <c r="AN168" i="1"/>
  <c r="R168" i="1"/>
  <c r="T168" i="1"/>
  <c r="Z168" i="1"/>
  <c r="V168" i="1"/>
  <c r="AB168" i="1"/>
  <c r="E168" i="1"/>
  <c r="AA167" i="1"/>
  <c r="AO167" i="1"/>
  <c r="G168" i="1"/>
  <c r="I168" i="1"/>
  <c r="AP167" i="1"/>
  <c r="AN167" i="1"/>
  <c r="R167" i="1"/>
  <c r="T167" i="1"/>
  <c r="V167" i="1"/>
  <c r="AB167" i="1"/>
  <c r="Z167" i="1"/>
  <c r="E167" i="1"/>
  <c r="AA166" i="1"/>
  <c r="AO166" i="1"/>
  <c r="G167" i="1"/>
  <c r="I167" i="1"/>
  <c r="AP166" i="1"/>
  <c r="AN166" i="1"/>
  <c r="R166" i="1"/>
  <c r="T166" i="1"/>
  <c r="V166" i="1"/>
  <c r="AB166" i="1"/>
  <c r="Z166" i="1"/>
  <c r="E166" i="1"/>
  <c r="AA165" i="1"/>
  <c r="AO165" i="1"/>
  <c r="G166" i="1"/>
  <c r="I166" i="1"/>
  <c r="AP165" i="1"/>
  <c r="AN165" i="1"/>
  <c r="R165" i="1"/>
  <c r="T165" i="1"/>
  <c r="Z165" i="1"/>
  <c r="V165" i="1"/>
  <c r="AB165" i="1"/>
  <c r="E165" i="1"/>
  <c r="AA164" i="1"/>
  <c r="AO164" i="1"/>
  <c r="G165" i="1"/>
  <c r="I165" i="1"/>
  <c r="AP164" i="1"/>
  <c r="AN164" i="1"/>
  <c r="R164" i="1"/>
  <c r="T164" i="1"/>
  <c r="Z164" i="1"/>
  <c r="V164" i="1"/>
  <c r="AB164" i="1"/>
  <c r="E164" i="1"/>
  <c r="AA163" i="1"/>
  <c r="AO163" i="1"/>
  <c r="G164" i="1"/>
  <c r="I164" i="1"/>
  <c r="AP163" i="1"/>
  <c r="AN163" i="1"/>
  <c r="R163" i="1"/>
  <c r="T163" i="1"/>
  <c r="V163" i="1"/>
  <c r="AB163" i="1"/>
  <c r="Z163" i="1"/>
  <c r="E163" i="1"/>
  <c r="AA162" i="1"/>
  <c r="AO162" i="1"/>
  <c r="G163" i="1"/>
  <c r="I163" i="1"/>
  <c r="AP162" i="1"/>
  <c r="AN162" i="1"/>
  <c r="R162" i="1"/>
  <c r="T162" i="1"/>
  <c r="Z162" i="1"/>
  <c r="V162" i="1"/>
  <c r="AB162" i="1"/>
  <c r="E162" i="1"/>
  <c r="AA161" i="1"/>
  <c r="AO161" i="1"/>
  <c r="G162" i="1"/>
  <c r="I162" i="1"/>
  <c r="AP161" i="1"/>
  <c r="AN161" i="1"/>
  <c r="R161" i="1"/>
  <c r="T161" i="1"/>
  <c r="Z161" i="1"/>
  <c r="V161" i="1"/>
  <c r="AB161" i="1"/>
  <c r="E161" i="1"/>
  <c r="AA160" i="1"/>
  <c r="AO160" i="1"/>
  <c r="G161" i="1"/>
  <c r="I161" i="1"/>
  <c r="AP160" i="1"/>
  <c r="AN160" i="1"/>
  <c r="R160" i="1"/>
  <c r="T160" i="1"/>
  <c r="Z160" i="1"/>
  <c r="V160" i="1"/>
  <c r="AB160" i="1"/>
  <c r="E160" i="1"/>
  <c r="AA159" i="1"/>
  <c r="AO159" i="1"/>
  <c r="G160" i="1"/>
  <c r="I160" i="1"/>
  <c r="AP159" i="1"/>
  <c r="AN159" i="1"/>
  <c r="R159" i="1"/>
  <c r="T159" i="1"/>
  <c r="V159" i="1"/>
  <c r="AB159" i="1"/>
  <c r="Z159" i="1"/>
  <c r="E159" i="1"/>
  <c r="AA158" i="1"/>
  <c r="AO158" i="1"/>
  <c r="G159" i="1"/>
  <c r="I159" i="1"/>
  <c r="AP158" i="1"/>
  <c r="AN158" i="1"/>
  <c r="R158" i="1"/>
  <c r="T158" i="1"/>
  <c r="Z158" i="1"/>
  <c r="V158" i="1"/>
  <c r="AB158" i="1"/>
  <c r="E158" i="1"/>
  <c r="AA157" i="1"/>
  <c r="AO157" i="1"/>
  <c r="G158" i="1"/>
  <c r="I158" i="1"/>
  <c r="AP157" i="1"/>
  <c r="AN157" i="1"/>
  <c r="R157" i="1"/>
  <c r="T157" i="1"/>
  <c r="Z157" i="1"/>
  <c r="V157" i="1"/>
  <c r="AB157" i="1"/>
  <c r="E157" i="1"/>
  <c r="AA156" i="1"/>
  <c r="AO156" i="1"/>
  <c r="G157" i="1"/>
  <c r="I157" i="1"/>
  <c r="AP156" i="1"/>
  <c r="AN156" i="1"/>
  <c r="R156" i="1"/>
  <c r="T156" i="1"/>
  <c r="Z156" i="1"/>
  <c r="V156" i="1"/>
  <c r="AB156" i="1"/>
  <c r="E156" i="1"/>
  <c r="AA155" i="1"/>
  <c r="AO155" i="1"/>
  <c r="G156" i="1"/>
  <c r="I156" i="1"/>
  <c r="AP155" i="1"/>
  <c r="AN155" i="1"/>
  <c r="R155" i="1"/>
  <c r="T155" i="1"/>
  <c r="V155" i="1"/>
  <c r="AB155" i="1"/>
  <c r="Z155" i="1"/>
  <c r="E155" i="1"/>
  <c r="AA154" i="1"/>
  <c r="AO154" i="1"/>
  <c r="G155" i="1"/>
  <c r="I155" i="1"/>
  <c r="AP154" i="1"/>
  <c r="AN154" i="1"/>
  <c r="R154" i="1"/>
  <c r="T154" i="1"/>
  <c r="Z154" i="1"/>
  <c r="V154" i="1"/>
  <c r="AB154" i="1"/>
  <c r="E154" i="1"/>
  <c r="AA153" i="1"/>
  <c r="AO153" i="1"/>
  <c r="G154" i="1"/>
  <c r="I154" i="1"/>
  <c r="AP153" i="1"/>
  <c r="AN153" i="1"/>
  <c r="R153" i="1"/>
  <c r="T153" i="1"/>
  <c r="Z153" i="1"/>
  <c r="V153" i="1"/>
  <c r="AB153" i="1"/>
  <c r="E153" i="1"/>
  <c r="AA152" i="1"/>
  <c r="AO152" i="1"/>
  <c r="G153" i="1"/>
  <c r="I153" i="1"/>
  <c r="AP152" i="1"/>
  <c r="AN152" i="1"/>
  <c r="R152" i="1"/>
  <c r="T152" i="1"/>
  <c r="Z152" i="1"/>
  <c r="V152" i="1"/>
  <c r="AB152" i="1"/>
  <c r="E152" i="1"/>
  <c r="AA151" i="1"/>
  <c r="AO151" i="1"/>
  <c r="G152" i="1"/>
  <c r="I152" i="1"/>
  <c r="AP151" i="1"/>
  <c r="AN151" i="1"/>
  <c r="R151" i="1"/>
  <c r="T151" i="1"/>
  <c r="Z151" i="1"/>
  <c r="V151" i="1"/>
  <c r="AB151" i="1"/>
  <c r="E151" i="1"/>
  <c r="AA150" i="1"/>
  <c r="AO150" i="1"/>
  <c r="G151" i="1"/>
  <c r="I151" i="1"/>
  <c r="AP150" i="1"/>
  <c r="AN150" i="1"/>
  <c r="R150" i="1"/>
  <c r="T150" i="1"/>
  <c r="Z150" i="1"/>
  <c r="V150" i="1"/>
  <c r="AB150" i="1"/>
  <c r="E150" i="1"/>
  <c r="AA149" i="1"/>
  <c r="AO149" i="1"/>
  <c r="G150" i="1"/>
  <c r="I150" i="1"/>
  <c r="AP149" i="1"/>
  <c r="AN149" i="1"/>
  <c r="R149" i="1"/>
  <c r="T149" i="1"/>
  <c r="Z149" i="1"/>
  <c r="V149" i="1"/>
  <c r="AB149" i="1"/>
  <c r="E149" i="1"/>
  <c r="AA148" i="1"/>
  <c r="AO148" i="1"/>
  <c r="G149" i="1"/>
  <c r="I149" i="1"/>
  <c r="AP148" i="1"/>
  <c r="AN148" i="1"/>
  <c r="R148" i="1"/>
  <c r="T148" i="1"/>
  <c r="V148" i="1"/>
  <c r="AB148" i="1"/>
  <c r="Z148" i="1"/>
  <c r="E148" i="1"/>
  <c r="AA147" i="1"/>
  <c r="AO147" i="1"/>
  <c r="G148" i="1"/>
  <c r="I148" i="1"/>
  <c r="AP147" i="1"/>
  <c r="AN147" i="1"/>
  <c r="R147" i="1"/>
  <c r="T147" i="1"/>
  <c r="Z147" i="1"/>
  <c r="V147" i="1"/>
  <c r="AB147" i="1"/>
  <c r="E147" i="1"/>
  <c r="AA146" i="1"/>
  <c r="AO146" i="1"/>
  <c r="G147" i="1"/>
  <c r="I147" i="1"/>
  <c r="AP146" i="1"/>
  <c r="AN146" i="1"/>
  <c r="R146" i="1"/>
  <c r="T146" i="1"/>
  <c r="Z146" i="1"/>
  <c r="V146" i="1"/>
  <c r="AB146" i="1"/>
  <c r="E146" i="1"/>
  <c r="AA145" i="1"/>
  <c r="AO145" i="1"/>
  <c r="G146" i="1"/>
  <c r="I146" i="1"/>
  <c r="AP145" i="1"/>
  <c r="AN145" i="1"/>
  <c r="R145" i="1"/>
  <c r="T145" i="1"/>
  <c r="V145" i="1"/>
  <c r="AB145" i="1"/>
  <c r="Z145" i="1"/>
  <c r="E145" i="1"/>
  <c r="AA144" i="1"/>
  <c r="AO144" i="1"/>
  <c r="G145" i="1"/>
  <c r="I145" i="1"/>
  <c r="AP144" i="1"/>
  <c r="AN144" i="1"/>
  <c r="R144" i="1"/>
  <c r="T144" i="1"/>
  <c r="V144" i="1"/>
  <c r="AB144" i="1"/>
  <c r="Z144" i="1"/>
  <c r="E144" i="1"/>
  <c r="AA143" i="1"/>
  <c r="AO143" i="1"/>
  <c r="G144" i="1"/>
  <c r="I144" i="1"/>
  <c r="AP143" i="1"/>
  <c r="AN143" i="1"/>
  <c r="R143" i="1"/>
  <c r="T143" i="1"/>
  <c r="Z143" i="1"/>
  <c r="V143" i="1"/>
  <c r="AB143" i="1"/>
  <c r="E143" i="1"/>
  <c r="AA142" i="1"/>
  <c r="AO142" i="1"/>
  <c r="G143" i="1"/>
  <c r="I143" i="1"/>
  <c r="AP142" i="1"/>
  <c r="AN142" i="1"/>
  <c r="R142" i="1"/>
  <c r="T142" i="1"/>
  <c r="V142" i="1"/>
  <c r="AB142" i="1"/>
  <c r="Z142" i="1"/>
  <c r="E142" i="1"/>
  <c r="AA141" i="1"/>
  <c r="AO141" i="1"/>
  <c r="G142" i="1"/>
  <c r="I142" i="1"/>
  <c r="AP141" i="1"/>
  <c r="AN141" i="1"/>
  <c r="R141" i="1"/>
  <c r="T141" i="1"/>
  <c r="Z141" i="1"/>
  <c r="V141" i="1"/>
  <c r="AB141" i="1"/>
  <c r="E141" i="1"/>
  <c r="AA140" i="1"/>
  <c r="AO140" i="1"/>
  <c r="G141" i="1"/>
  <c r="I141" i="1"/>
  <c r="AP140" i="1"/>
  <c r="AN140" i="1"/>
  <c r="R140" i="1"/>
  <c r="T140" i="1"/>
  <c r="Z140" i="1"/>
  <c r="V140" i="1"/>
  <c r="AB140" i="1"/>
  <c r="E140" i="1"/>
  <c r="AA139" i="1"/>
  <c r="AO139" i="1"/>
  <c r="G140" i="1"/>
  <c r="I140" i="1"/>
  <c r="AP139" i="1"/>
  <c r="AN139" i="1"/>
  <c r="R139" i="1"/>
  <c r="T139" i="1"/>
  <c r="Z139" i="1"/>
  <c r="V139" i="1"/>
  <c r="AB139" i="1"/>
  <c r="E139" i="1"/>
  <c r="AA138" i="1"/>
  <c r="AO138" i="1"/>
  <c r="G139" i="1"/>
  <c r="I139" i="1"/>
  <c r="AP138" i="1"/>
  <c r="AN138" i="1"/>
  <c r="R138" i="1"/>
  <c r="T138" i="1"/>
  <c r="Z138" i="1"/>
  <c r="V138" i="1"/>
  <c r="AB138" i="1"/>
  <c r="E138" i="1"/>
  <c r="AA137" i="1"/>
  <c r="AO137" i="1"/>
  <c r="G138" i="1"/>
  <c r="I138" i="1"/>
  <c r="AP137" i="1"/>
  <c r="AN137" i="1"/>
  <c r="R137" i="1"/>
  <c r="T137" i="1"/>
  <c r="Z137" i="1"/>
  <c r="V137" i="1"/>
  <c r="AB137" i="1"/>
  <c r="E137" i="1"/>
  <c r="AA136" i="1"/>
  <c r="AO136" i="1"/>
  <c r="G137" i="1"/>
  <c r="I137" i="1"/>
  <c r="AP136" i="1"/>
  <c r="AN136" i="1"/>
  <c r="R136" i="1"/>
  <c r="T136" i="1"/>
  <c r="V136" i="1"/>
  <c r="AB136" i="1"/>
  <c r="Z136" i="1"/>
  <c r="E136" i="1"/>
  <c r="AA135" i="1"/>
  <c r="AO135" i="1"/>
  <c r="G136" i="1"/>
  <c r="I136" i="1"/>
  <c r="AP135" i="1"/>
  <c r="AN135" i="1"/>
  <c r="R135" i="1"/>
  <c r="T135" i="1"/>
  <c r="Z135" i="1"/>
  <c r="V135" i="1"/>
  <c r="AB135" i="1"/>
  <c r="E135" i="1"/>
  <c r="AA134" i="1"/>
  <c r="AO134" i="1"/>
  <c r="G135" i="1"/>
  <c r="I135" i="1"/>
  <c r="AP134" i="1"/>
  <c r="AN134" i="1"/>
  <c r="R134" i="1"/>
  <c r="T134" i="1"/>
  <c r="Z134" i="1"/>
  <c r="V134" i="1"/>
  <c r="AB134" i="1"/>
  <c r="E134" i="1"/>
  <c r="AA133" i="1"/>
  <c r="AO133" i="1"/>
  <c r="G134" i="1"/>
  <c r="I134" i="1"/>
  <c r="AP133" i="1"/>
  <c r="AN133" i="1"/>
  <c r="R133" i="1"/>
  <c r="T133" i="1"/>
  <c r="Z133" i="1"/>
  <c r="V133" i="1"/>
  <c r="AB133" i="1"/>
  <c r="E133" i="1"/>
  <c r="AA132" i="1"/>
  <c r="AO132" i="1"/>
  <c r="G133" i="1"/>
  <c r="I133" i="1"/>
  <c r="AP132" i="1"/>
  <c r="AN132" i="1"/>
  <c r="R132" i="1"/>
  <c r="T132" i="1"/>
  <c r="Z132" i="1"/>
  <c r="V132" i="1"/>
  <c r="AB132" i="1"/>
  <c r="E132" i="1"/>
  <c r="AA131" i="1"/>
  <c r="AO131" i="1"/>
  <c r="G132" i="1"/>
  <c r="I132" i="1"/>
  <c r="AP131" i="1"/>
  <c r="AN131" i="1"/>
  <c r="R131" i="1"/>
  <c r="T131" i="1"/>
  <c r="Z131" i="1"/>
  <c r="V131" i="1"/>
  <c r="AB131" i="1"/>
  <c r="E131" i="1"/>
  <c r="AA130" i="1"/>
  <c r="AO130" i="1"/>
  <c r="G131" i="1"/>
  <c r="I131" i="1"/>
  <c r="AP130" i="1"/>
  <c r="AN130" i="1"/>
  <c r="R130" i="1"/>
  <c r="T130" i="1"/>
  <c r="Z130" i="1"/>
  <c r="V130" i="1"/>
  <c r="AB130" i="1"/>
  <c r="E130" i="1"/>
  <c r="AA129" i="1"/>
  <c r="AO129" i="1"/>
  <c r="G130" i="1"/>
  <c r="I130" i="1"/>
  <c r="AP129" i="1"/>
  <c r="AN129" i="1"/>
  <c r="R129" i="1"/>
  <c r="T129" i="1"/>
  <c r="V129" i="1"/>
  <c r="AB129" i="1"/>
  <c r="Z129" i="1"/>
  <c r="E129" i="1"/>
  <c r="AA128" i="1"/>
  <c r="AO128" i="1"/>
  <c r="G129" i="1"/>
  <c r="I129" i="1"/>
  <c r="AP128" i="1"/>
  <c r="AN128" i="1"/>
  <c r="R128" i="1"/>
  <c r="T128" i="1"/>
  <c r="Z128" i="1"/>
  <c r="V128" i="1"/>
  <c r="AB128" i="1"/>
  <c r="E128" i="1"/>
  <c r="AA127" i="1"/>
  <c r="AO127" i="1"/>
  <c r="G128" i="1"/>
  <c r="I128" i="1"/>
  <c r="AP127" i="1"/>
  <c r="AN127" i="1"/>
  <c r="R127" i="1"/>
  <c r="T127" i="1"/>
  <c r="V127" i="1"/>
  <c r="AB127" i="1"/>
  <c r="Z127" i="1"/>
  <c r="E127" i="1"/>
  <c r="AA126" i="1"/>
  <c r="AO126" i="1"/>
  <c r="G127" i="1"/>
  <c r="I127" i="1"/>
  <c r="AP126" i="1"/>
  <c r="AN126" i="1"/>
  <c r="R126" i="1"/>
  <c r="T126" i="1"/>
  <c r="Z126" i="1"/>
  <c r="V126" i="1"/>
  <c r="AB126" i="1"/>
  <c r="E126" i="1"/>
  <c r="AA125" i="1"/>
  <c r="AO125" i="1"/>
  <c r="G126" i="1"/>
  <c r="I126" i="1"/>
  <c r="AP125" i="1"/>
  <c r="AN125" i="1"/>
  <c r="R125" i="1"/>
  <c r="T125" i="1"/>
  <c r="V125" i="1"/>
  <c r="AB125" i="1"/>
  <c r="Z125" i="1"/>
  <c r="E125" i="1"/>
  <c r="AA124" i="1"/>
  <c r="AO124" i="1"/>
  <c r="G125" i="1"/>
  <c r="I125" i="1"/>
  <c r="AP124" i="1"/>
  <c r="AN124" i="1"/>
  <c r="R124" i="1"/>
  <c r="T124" i="1"/>
  <c r="V124" i="1"/>
  <c r="AB124" i="1"/>
  <c r="Z124" i="1"/>
  <c r="E124" i="1"/>
  <c r="AA123" i="1"/>
  <c r="AO123" i="1"/>
  <c r="G124" i="1"/>
  <c r="I124" i="1"/>
  <c r="AP123" i="1"/>
  <c r="AN123" i="1"/>
  <c r="R123" i="1"/>
  <c r="T123" i="1"/>
  <c r="Z123" i="1"/>
  <c r="V123" i="1"/>
  <c r="AB123" i="1"/>
  <c r="E123" i="1"/>
  <c r="AA122" i="1"/>
  <c r="AO122" i="1"/>
  <c r="G123" i="1"/>
  <c r="I123" i="1"/>
  <c r="AP122" i="1"/>
  <c r="AN122" i="1"/>
  <c r="R122" i="1"/>
  <c r="T122" i="1"/>
  <c r="Z122" i="1"/>
  <c r="V122" i="1"/>
  <c r="AB122" i="1"/>
  <c r="E122" i="1"/>
  <c r="AA121" i="1"/>
  <c r="AO121" i="1"/>
  <c r="G122" i="1"/>
  <c r="I122" i="1"/>
  <c r="AP121" i="1"/>
  <c r="AN121" i="1"/>
  <c r="R121" i="1"/>
  <c r="T121" i="1"/>
  <c r="Z121" i="1"/>
  <c r="V121" i="1"/>
  <c r="AB121" i="1"/>
  <c r="E121" i="1"/>
  <c r="AA120" i="1"/>
  <c r="AO120" i="1"/>
  <c r="G121" i="1"/>
  <c r="I121" i="1"/>
  <c r="AP120" i="1"/>
  <c r="AN120" i="1"/>
  <c r="R120" i="1"/>
  <c r="T120" i="1"/>
  <c r="V120" i="1"/>
  <c r="AB120" i="1"/>
  <c r="Z120" i="1"/>
  <c r="E120" i="1"/>
  <c r="AA119" i="1"/>
  <c r="AO119" i="1"/>
  <c r="G120" i="1"/>
  <c r="I120" i="1"/>
  <c r="AP119" i="1"/>
  <c r="AN119" i="1"/>
  <c r="R119" i="1"/>
  <c r="T119" i="1"/>
  <c r="Z119" i="1"/>
  <c r="V119" i="1"/>
  <c r="AB119" i="1"/>
  <c r="E119" i="1"/>
  <c r="AA118" i="1"/>
  <c r="AO118" i="1"/>
  <c r="G119" i="1"/>
  <c r="I119" i="1"/>
  <c r="AP118" i="1"/>
  <c r="AN118" i="1"/>
  <c r="R118" i="1"/>
  <c r="T118" i="1"/>
  <c r="Z118" i="1"/>
  <c r="V118" i="1"/>
  <c r="AB118" i="1"/>
  <c r="E118" i="1"/>
  <c r="AA117" i="1"/>
  <c r="AO117" i="1"/>
  <c r="G118" i="1"/>
  <c r="I118" i="1"/>
  <c r="AP117" i="1"/>
  <c r="AN117" i="1"/>
  <c r="R117" i="1"/>
  <c r="T117" i="1"/>
  <c r="V117" i="1"/>
  <c r="AB117" i="1"/>
  <c r="Z117" i="1"/>
  <c r="E117" i="1"/>
  <c r="AA116" i="1"/>
  <c r="AO116" i="1"/>
  <c r="G117" i="1"/>
  <c r="I117" i="1"/>
  <c r="AP116" i="1"/>
  <c r="AN116" i="1"/>
  <c r="R116" i="1"/>
  <c r="T116" i="1"/>
  <c r="Z116" i="1"/>
  <c r="V116" i="1"/>
  <c r="AB116" i="1"/>
  <c r="E116" i="1"/>
  <c r="AA115" i="1"/>
  <c r="AO115" i="1"/>
  <c r="G116" i="1"/>
  <c r="I116" i="1"/>
  <c r="AP115" i="1"/>
  <c r="AN115" i="1"/>
  <c r="R115" i="1"/>
  <c r="T115" i="1"/>
  <c r="Z115" i="1"/>
  <c r="V115" i="1"/>
  <c r="AB115" i="1"/>
  <c r="E115" i="1"/>
  <c r="AA114" i="1"/>
  <c r="AO114" i="1"/>
  <c r="G115" i="1"/>
  <c r="I115" i="1"/>
  <c r="AP114" i="1"/>
  <c r="AN114" i="1"/>
  <c r="R114" i="1"/>
  <c r="T114" i="1"/>
  <c r="Z114" i="1"/>
  <c r="V114" i="1"/>
  <c r="AB114" i="1"/>
  <c r="E114" i="1"/>
  <c r="AA113" i="1"/>
  <c r="AO113" i="1"/>
  <c r="G114" i="1"/>
  <c r="I114" i="1"/>
  <c r="AP113" i="1"/>
  <c r="AN113" i="1"/>
  <c r="R113" i="1"/>
  <c r="T113" i="1"/>
  <c r="V113" i="1"/>
  <c r="AB113" i="1"/>
  <c r="Z113" i="1"/>
  <c r="E113" i="1"/>
  <c r="AA112" i="1"/>
  <c r="AO112" i="1"/>
  <c r="G113" i="1"/>
  <c r="I113" i="1"/>
  <c r="AP112" i="1"/>
  <c r="AN112" i="1"/>
  <c r="R112" i="1"/>
  <c r="T112" i="1"/>
  <c r="Z112" i="1"/>
  <c r="V112" i="1"/>
  <c r="AB112" i="1"/>
  <c r="E112" i="1"/>
  <c r="AA111" i="1"/>
  <c r="AO111" i="1"/>
  <c r="G112" i="1"/>
  <c r="I112" i="1"/>
  <c r="AP111" i="1"/>
  <c r="AN111" i="1"/>
  <c r="R111" i="1"/>
  <c r="T111" i="1"/>
  <c r="Z111" i="1"/>
  <c r="V111" i="1"/>
  <c r="AB111" i="1"/>
  <c r="E111" i="1"/>
  <c r="AA110" i="1"/>
  <c r="AO110" i="1"/>
  <c r="G111" i="1"/>
  <c r="I111" i="1"/>
  <c r="AP110" i="1"/>
  <c r="AN110" i="1"/>
  <c r="R110" i="1"/>
  <c r="T110" i="1"/>
  <c r="V110" i="1"/>
  <c r="AB110" i="1"/>
  <c r="Z110" i="1"/>
  <c r="E110" i="1"/>
  <c r="AA109" i="1"/>
  <c r="AO109" i="1"/>
  <c r="G110" i="1"/>
  <c r="I110" i="1"/>
  <c r="AP109" i="1"/>
  <c r="AN109" i="1"/>
  <c r="R109" i="1"/>
  <c r="T109" i="1"/>
  <c r="Z109" i="1"/>
  <c r="V109" i="1"/>
  <c r="AB109" i="1"/>
  <c r="E109" i="1"/>
  <c r="AA108" i="1"/>
  <c r="AO108" i="1"/>
  <c r="G109" i="1"/>
  <c r="I109" i="1"/>
  <c r="AP108" i="1"/>
  <c r="AN108" i="1"/>
  <c r="R108" i="1"/>
  <c r="T108" i="1"/>
  <c r="Z108" i="1"/>
  <c r="V108" i="1"/>
  <c r="AB108" i="1"/>
  <c r="E108" i="1"/>
  <c r="AA107" i="1"/>
  <c r="AO107" i="1"/>
  <c r="G108" i="1"/>
  <c r="I108" i="1"/>
  <c r="AP107" i="1"/>
  <c r="AN107" i="1"/>
  <c r="R107" i="1"/>
  <c r="T107" i="1"/>
  <c r="Z107" i="1"/>
  <c r="V107" i="1"/>
  <c r="AB107" i="1"/>
  <c r="E107" i="1"/>
  <c r="AA106" i="1"/>
  <c r="AO106" i="1"/>
  <c r="G107" i="1"/>
  <c r="I107" i="1"/>
  <c r="AP106" i="1"/>
  <c r="AN106" i="1"/>
  <c r="R106" i="1"/>
  <c r="T106" i="1"/>
  <c r="Z106" i="1"/>
  <c r="V106" i="1"/>
  <c r="AB106" i="1"/>
  <c r="E106" i="1"/>
  <c r="AA105" i="1"/>
  <c r="AO105" i="1"/>
  <c r="G106" i="1"/>
  <c r="I106" i="1"/>
  <c r="AP105" i="1"/>
  <c r="AN105" i="1"/>
  <c r="R105" i="1"/>
  <c r="T105" i="1"/>
  <c r="Z105" i="1"/>
  <c r="V105" i="1"/>
  <c r="AB105" i="1"/>
  <c r="E105" i="1"/>
  <c r="AA104" i="1"/>
  <c r="AO104" i="1"/>
  <c r="G105" i="1"/>
  <c r="I105" i="1"/>
  <c r="AP104" i="1"/>
  <c r="AN104" i="1"/>
  <c r="R104" i="1"/>
  <c r="T104" i="1"/>
  <c r="Z104" i="1"/>
  <c r="V104" i="1"/>
  <c r="AB104" i="1"/>
  <c r="E104" i="1"/>
  <c r="AA103" i="1"/>
  <c r="AO103" i="1"/>
  <c r="G104" i="1"/>
  <c r="I104" i="1"/>
  <c r="AP103" i="1"/>
  <c r="AN103" i="1"/>
  <c r="R103" i="1"/>
  <c r="T103" i="1"/>
  <c r="Z103" i="1"/>
  <c r="V103" i="1"/>
  <c r="AB103" i="1"/>
  <c r="E103" i="1"/>
  <c r="AA102" i="1"/>
  <c r="AO102" i="1"/>
  <c r="G103" i="1"/>
  <c r="I103" i="1"/>
  <c r="AP102" i="1"/>
  <c r="AN102" i="1"/>
  <c r="R102" i="1"/>
  <c r="T102" i="1"/>
  <c r="V102" i="1"/>
  <c r="AB102" i="1"/>
  <c r="Z102" i="1"/>
  <c r="E102" i="1"/>
  <c r="AA101" i="1"/>
  <c r="AO101" i="1"/>
  <c r="G102" i="1"/>
  <c r="I102" i="1"/>
  <c r="AP101" i="1"/>
  <c r="AN101" i="1"/>
  <c r="R101" i="1"/>
  <c r="T101" i="1"/>
  <c r="Z101" i="1"/>
  <c r="V101" i="1"/>
  <c r="AB101" i="1"/>
  <c r="E101" i="1"/>
  <c r="AA100" i="1"/>
  <c r="AO100" i="1"/>
  <c r="G101" i="1"/>
  <c r="I101" i="1"/>
  <c r="AP100" i="1"/>
  <c r="AN100" i="1"/>
  <c r="R100" i="1"/>
  <c r="T100" i="1"/>
  <c r="V100" i="1"/>
  <c r="AB100" i="1"/>
  <c r="Z100" i="1"/>
  <c r="E100" i="1"/>
  <c r="AA99" i="1"/>
  <c r="AO99" i="1"/>
  <c r="G100" i="1"/>
  <c r="I100" i="1"/>
  <c r="AP99" i="1"/>
  <c r="AN99" i="1"/>
  <c r="R99" i="1"/>
  <c r="T99" i="1"/>
  <c r="Z99" i="1"/>
  <c r="V99" i="1"/>
  <c r="AB99" i="1"/>
  <c r="E99" i="1"/>
  <c r="AA98" i="1"/>
  <c r="AO98" i="1"/>
  <c r="G99" i="1"/>
  <c r="I99" i="1"/>
  <c r="AP98" i="1"/>
  <c r="AN98" i="1"/>
  <c r="R98" i="1"/>
  <c r="T98" i="1"/>
  <c r="Z98" i="1"/>
  <c r="V98" i="1"/>
  <c r="AB98" i="1"/>
  <c r="E98" i="1"/>
  <c r="AA97" i="1"/>
  <c r="AO97" i="1"/>
  <c r="G98" i="1"/>
  <c r="I98" i="1"/>
  <c r="AP97" i="1"/>
  <c r="AN97" i="1"/>
  <c r="R97" i="1"/>
  <c r="T97" i="1"/>
  <c r="V97" i="1"/>
  <c r="AB97" i="1"/>
  <c r="Z97" i="1"/>
  <c r="E97" i="1"/>
  <c r="AA96" i="1"/>
  <c r="AO96" i="1"/>
  <c r="G97" i="1"/>
  <c r="I97" i="1"/>
  <c r="AP96" i="1"/>
  <c r="AN96" i="1"/>
  <c r="R96" i="1"/>
  <c r="T96" i="1"/>
  <c r="V96" i="1"/>
  <c r="AB96" i="1"/>
  <c r="Z96" i="1"/>
  <c r="E96" i="1"/>
  <c r="AA95" i="1"/>
  <c r="AO95" i="1"/>
  <c r="G96" i="1"/>
  <c r="I96" i="1"/>
  <c r="AP95" i="1"/>
  <c r="AN95" i="1"/>
  <c r="R95" i="1"/>
  <c r="T95" i="1"/>
  <c r="Z95" i="1"/>
  <c r="V95" i="1"/>
  <c r="AB95" i="1"/>
  <c r="E95" i="1"/>
  <c r="AA94" i="1"/>
  <c r="AO94" i="1"/>
  <c r="G95" i="1"/>
  <c r="I95" i="1"/>
  <c r="AP94" i="1"/>
  <c r="AN94" i="1"/>
  <c r="R94" i="1"/>
  <c r="T94" i="1"/>
  <c r="Z94" i="1"/>
  <c r="V94" i="1"/>
  <c r="AB94" i="1"/>
  <c r="E94" i="1"/>
  <c r="AA93" i="1"/>
  <c r="AO93" i="1"/>
  <c r="G94" i="1"/>
  <c r="I94" i="1"/>
  <c r="AP93" i="1"/>
  <c r="AN93" i="1"/>
  <c r="R93" i="1"/>
  <c r="T93" i="1"/>
  <c r="V93" i="1"/>
  <c r="AB93" i="1"/>
  <c r="Z93" i="1"/>
  <c r="E93" i="1"/>
  <c r="AA92" i="1"/>
  <c r="AO92" i="1"/>
  <c r="G93" i="1"/>
  <c r="I93" i="1"/>
  <c r="AP92" i="1"/>
  <c r="AN92" i="1"/>
  <c r="R92" i="1"/>
  <c r="T92" i="1"/>
  <c r="Z92" i="1"/>
  <c r="V92" i="1"/>
  <c r="AB92" i="1"/>
  <c r="E92" i="1"/>
  <c r="AA91" i="1"/>
  <c r="AO91" i="1"/>
  <c r="G92" i="1"/>
  <c r="I92" i="1"/>
  <c r="AP91" i="1"/>
  <c r="AN91" i="1"/>
  <c r="R91" i="1"/>
  <c r="T91" i="1"/>
  <c r="Z91" i="1"/>
  <c r="V91" i="1"/>
  <c r="AB91" i="1"/>
  <c r="E91" i="1"/>
  <c r="AA90" i="1"/>
  <c r="AO90" i="1"/>
  <c r="G91" i="1"/>
  <c r="I91" i="1"/>
  <c r="AP90" i="1"/>
  <c r="AN90" i="1"/>
  <c r="R90" i="1"/>
  <c r="T90" i="1"/>
  <c r="V90" i="1"/>
  <c r="AB90" i="1"/>
  <c r="Z90" i="1"/>
  <c r="E90" i="1"/>
  <c r="AA89" i="1"/>
  <c r="AO89" i="1"/>
  <c r="G90" i="1"/>
  <c r="I90" i="1"/>
  <c r="AP89" i="1"/>
  <c r="AN89" i="1"/>
  <c r="R89" i="1"/>
  <c r="T89" i="1"/>
  <c r="Z89" i="1"/>
  <c r="V89" i="1"/>
  <c r="AB89" i="1"/>
  <c r="E89" i="1"/>
  <c r="AA88" i="1"/>
  <c r="AO88" i="1"/>
  <c r="G89" i="1"/>
  <c r="I89" i="1"/>
  <c r="AP88" i="1"/>
  <c r="AN88" i="1"/>
  <c r="R88" i="1"/>
  <c r="T88" i="1"/>
  <c r="Z88" i="1"/>
  <c r="V88" i="1"/>
  <c r="AB88" i="1"/>
  <c r="E88" i="1"/>
  <c r="AA87" i="1"/>
  <c r="AO87" i="1"/>
  <c r="G88" i="1"/>
  <c r="I88" i="1"/>
  <c r="AP87" i="1"/>
  <c r="AN87" i="1"/>
  <c r="R87" i="1"/>
  <c r="T87" i="1"/>
  <c r="V87" i="1"/>
  <c r="AB87" i="1"/>
  <c r="Z87" i="1"/>
  <c r="E87" i="1"/>
  <c r="AA86" i="1"/>
  <c r="AO86" i="1"/>
  <c r="G87" i="1"/>
  <c r="I87" i="1"/>
  <c r="AP86" i="1"/>
  <c r="AN86" i="1"/>
  <c r="R86" i="1"/>
  <c r="T86" i="1"/>
  <c r="V86" i="1"/>
  <c r="AB86" i="1"/>
  <c r="Z86" i="1"/>
  <c r="E86" i="1"/>
  <c r="AA85" i="1"/>
  <c r="AO85" i="1"/>
  <c r="G86" i="1"/>
  <c r="I86" i="1"/>
  <c r="AP85" i="1"/>
  <c r="AN85" i="1"/>
  <c r="R85" i="1"/>
  <c r="T85" i="1"/>
  <c r="Z85" i="1"/>
  <c r="V85" i="1"/>
  <c r="AB85" i="1"/>
  <c r="E85" i="1"/>
  <c r="AA84" i="1"/>
  <c r="AO84" i="1"/>
  <c r="G85" i="1"/>
  <c r="I85" i="1"/>
  <c r="AP84" i="1"/>
  <c r="AN84" i="1"/>
  <c r="R84" i="1"/>
  <c r="T84" i="1"/>
  <c r="Z84" i="1"/>
  <c r="V84" i="1"/>
  <c r="AB84" i="1"/>
  <c r="E84" i="1"/>
  <c r="AA83" i="1"/>
  <c r="AO83" i="1"/>
  <c r="G84" i="1"/>
  <c r="I84" i="1"/>
  <c r="AP83" i="1"/>
  <c r="AN83" i="1"/>
  <c r="R83" i="1"/>
  <c r="T83" i="1"/>
  <c r="V83" i="1"/>
  <c r="AB83" i="1"/>
  <c r="Z83" i="1"/>
  <c r="E83" i="1"/>
  <c r="AA82" i="1"/>
  <c r="AO82" i="1"/>
  <c r="G83" i="1"/>
  <c r="I83" i="1"/>
  <c r="AP82" i="1"/>
  <c r="AN82" i="1"/>
  <c r="R82" i="1"/>
  <c r="T82" i="1"/>
  <c r="Z82" i="1"/>
  <c r="V82" i="1"/>
  <c r="AB82" i="1"/>
  <c r="E82" i="1"/>
  <c r="AA81" i="1"/>
  <c r="AO81" i="1"/>
  <c r="G82" i="1"/>
  <c r="I82" i="1"/>
  <c r="AP81" i="1"/>
  <c r="AN81" i="1"/>
  <c r="R81" i="1"/>
  <c r="T81" i="1"/>
  <c r="Z81" i="1"/>
  <c r="V81" i="1"/>
  <c r="AB81" i="1"/>
  <c r="E81" i="1"/>
  <c r="AA80" i="1"/>
  <c r="AO80" i="1"/>
  <c r="G81" i="1"/>
  <c r="I81" i="1"/>
  <c r="AP80" i="1"/>
  <c r="AN80" i="1"/>
  <c r="R80" i="1"/>
  <c r="T80" i="1"/>
  <c r="V80" i="1"/>
  <c r="AB80" i="1"/>
  <c r="Z80" i="1"/>
  <c r="E80" i="1"/>
  <c r="AA79" i="1"/>
  <c r="AO79" i="1"/>
  <c r="G80" i="1"/>
  <c r="I80" i="1"/>
  <c r="AP79" i="1"/>
  <c r="AN79" i="1"/>
  <c r="R79" i="1"/>
  <c r="T79" i="1"/>
  <c r="Z79" i="1"/>
  <c r="V79" i="1"/>
  <c r="AB79" i="1"/>
  <c r="E79" i="1"/>
  <c r="AA78" i="1"/>
  <c r="AO78" i="1"/>
  <c r="G79" i="1"/>
  <c r="I79" i="1"/>
  <c r="AP78" i="1"/>
  <c r="AN78" i="1"/>
  <c r="R78" i="1"/>
  <c r="T78" i="1"/>
  <c r="V78" i="1"/>
  <c r="AB78" i="1"/>
  <c r="Z78" i="1"/>
  <c r="E78" i="1"/>
  <c r="AA77" i="1"/>
  <c r="AO77" i="1"/>
  <c r="G78" i="1"/>
  <c r="I78" i="1"/>
  <c r="AP77" i="1"/>
  <c r="AN77" i="1"/>
  <c r="R77" i="1"/>
  <c r="T77" i="1"/>
  <c r="Z77" i="1"/>
  <c r="V77" i="1"/>
  <c r="AB77" i="1"/>
  <c r="E77" i="1"/>
  <c r="AA76" i="1"/>
  <c r="AO76" i="1"/>
  <c r="G77" i="1"/>
  <c r="I77" i="1"/>
  <c r="AP76" i="1"/>
  <c r="AN76" i="1"/>
  <c r="R76" i="1"/>
  <c r="T76" i="1"/>
  <c r="V76" i="1"/>
  <c r="AB76" i="1"/>
  <c r="Z76" i="1"/>
  <c r="E76" i="1"/>
  <c r="AA75" i="1"/>
  <c r="AO75" i="1"/>
  <c r="G76" i="1"/>
  <c r="I76" i="1"/>
  <c r="AP75" i="1"/>
  <c r="AN75" i="1"/>
  <c r="R75" i="1"/>
  <c r="T75" i="1"/>
  <c r="Z75" i="1"/>
  <c r="V75" i="1"/>
  <c r="AB75" i="1"/>
  <c r="E75" i="1"/>
  <c r="AA74" i="1"/>
  <c r="AO74" i="1"/>
  <c r="G75" i="1"/>
  <c r="I75" i="1"/>
  <c r="AP74" i="1"/>
  <c r="AN74" i="1"/>
  <c r="R74" i="1"/>
  <c r="T74" i="1"/>
  <c r="Z74" i="1"/>
  <c r="V74" i="1"/>
  <c r="AB74" i="1"/>
  <c r="E74" i="1"/>
  <c r="AA73" i="1"/>
  <c r="AO73" i="1"/>
  <c r="G74" i="1"/>
  <c r="I74" i="1"/>
  <c r="AP73" i="1"/>
  <c r="AN73" i="1"/>
  <c r="R73" i="1"/>
  <c r="T73" i="1"/>
  <c r="Z73" i="1"/>
  <c r="V73" i="1"/>
  <c r="AB73" i="1"/>
  <c r="E73" i="1"/>
  <c r="AA72" i="1"/>
  <c r="AO72" i="1"/>
  <c r="G73" i="1"/>
  <c r="I73" i="1"/>
  <c r="AP72" i="1"/>
  <c r="AN72" i="1"/>
  <c r="R72" i="1"/>
  <c r="T72" i="1"/>
  <c r="V72" i="1"/>
  <c r="AB72" i="1"/>
  <c r="Z72" i="1"/>
  <c r="E72" i="1"/>
  <c r="AA71" i="1"/>
  <c r="AO71" i="1"/>
  <c r="G72" i="1"/>
  <c r="I72" i="1"/>
  <c r="AP71" i="1"/>
  <c r="AN71" i="1"/>
  <c r="R71" i="1"/>
  <c r="T71" i="1"/>
  <c r="V71" i="1"/>
  <c r="AB71" i="1"/>
  <c r="Z71" i="1"/>
  <c r="E71" i="1"/>
  <c r="AA70" i="1"/>
  <c r="AO70" i="1"/>
  <c r="G71" i="1"/>
  <c r="I71" i="1"/>
  <c r="AP70" i="1"/>
  <c r="AN70" i="1"/>
  <c r="R70" i="1"/>
  <c r="T70" i="1"/>
  <c r="V70" i="1"/>
  <c r="AB70" i="1"/>
  <c r="Z70" i="1"/>
  <c r="E70" i="1"/>
  <c r="AA69" i="1"/>
  <c r="AO69" i="1"/>
  <c r="G70" i="1"/>
  <c r="I70" i="1"/>
  <c r="AP69" i="1"/>
  <c r="AN69" i="1"/>
  <c r="R69" i="1"/>
  <c r="T69" i="1"/>
  <c r="V69" i="1"/>
  <c r="AB69" i="1"/>
  <c r="Z69" i="1"/>
  <c r="E69" i="1"/>
  <c r="AA68" i="1"/>
  <c r="AO68" i="1"/>
  <c r="G69" i="1"/>
  <c r="I69" i="1"/>
  <c r="AP68" i="1"/>
  <c r="AN68" i="1"/>
  <c r="R68" i="1"/>
  <c r="T68" i="1"/>
  <c r="V68" i="1"/>
  <c r="AB68" i="1"/>
  <c r="Z68" i="1"/>
  <c r="E68" i="1"/>
  <c r="AA67" i="1"/>
  <c r="AO67" i="1"/>
  <c r="G68" i="1"/>
  <c r="I68" i="1"/>
  <c r="AP67" i="1"/>
  <c r="AN67" i="1"/>
  <c r="R67" i="1"/>
  <c r="T67" i="1"/>
  <c r="Z67" i="1"/>
  <c r="V67" i="1"/>
  <c r="AB67" i="1"/>
  <c r="E67" i="1"/>
  <c r="AA66" i="1"/>
  <c r="AO66" i="1"/>
  <c r="G67" i="1"/>
  <c r="I67" i="1"/>
  <c r="AP66" i="1"/>
  <c r="AN66" i="1"/>
  <c r="R66" i="1"/>
  <c r="T66" i="1"/>
  <c r="Z66" i="1"/>
  <c r="V66" i="1"/>
  <c r="AB66" i="1"/>
  <c r="E66" i="1"/>
  <c r="AA65" i="1"/>
  <c r="AO65" i="1"/>
  <c r="G66" i="1"/>
  <c r="I66" i="1"/>
  <c r="AP65" i="1"/>
  <c r="AN65" i="1"/>
  <c r="R65" i="1"/>
  <c r="T65" i="1"/>
  <c r="Z65" i="1"/>
  <c r="V65" i="1"/>
  <c r="AB65" i="1"/>
  <c r="E65" i="1"/>
  <c r="AA64" i="1"/>
  <c r="AO64" i="1"/>
  <c r="G65" i="1"/>
  <c r="I65" i="1"/>
  <c r="AP64" i="1"/>
  <c r="AN64" i="1"/>
  <c r="R64" i="1"/>
  <c r="T64" i="1"/>
  <c r="V64" i="1"/>
  <c r="AB64" i="1"/>
  <c r="Z64" i="1"/>
  <c r="E64" i="1"/>
  <c r="AA63" i="1"/>
  <c r="AO63" i="1"/>
  <c r="G64" i="1"/>
  <c r="I64" i="1"/>
  <c r="AP63" i="1"/>
  <c r="AN63" i="1"/>
  <c r="R63" i="1"/>
  <c r="T63" i="1"/>
  <c r="V63" i="1"/>
  <c r="AB63" i="1"/>
  <c r="Z63" i="1"/>
  <c r="E63" i="1"/>
  <c r="AA62" i="1"/>
  <c r="AO62" i="1"/>
  <c r="G63" i="1"/>
  <c r="I63" i="1"/>
  <c r="AP62" i="1"/>
  <c r="AN62" i="1"/>
  <c r="R62" i="1"/>
  <c r="T62" i="1"/>
  <c r="Z62" i="1"/>
  <c r="V62" i="1"/>
  <c r="AB62" i="1"/>
  <c r="E62" i="1"/>
  <c r="AA61" i="1"/>
  <c r="AO61" i="1"/>
  <c r="G62" i="1"/>
  <c r="I62" i="1"/>
  <c r="AP61" i="1"/>
  <c r="AN61" i="1"/>
  <c r="R61" i="1"/>
  <c r="T61" i="1"/>
  <c r="Z61" i="1"/>
  <c r="V61" i="1"/>
  <c r="AB61" i="1"/>
  <c r="E61" i="1"/>
  <c r="AA60" i="1"/>
  <c r="AO60" i="1"/>
  <c r="G61" i="1"/>
  <c r="I61" i="1"/>
  <c r="AP60" i="1"/>
  <c r="AN60" i="1"/>
  <c r="R60" i="1"/>
  <c r="T60" i="1"/>
  <c r="Z60" i="1"/>
  <c r="V60" i="1"/>
  <c r="AB60" i="1"/>
  <c r="E60" i="1"/>
  <c r="AA59" i="1"/>
  <c r="AO59" i="1"/>
  <c r="G60" i="1"/>
  <c r="I60" i="1"/>
  <c r="AP59" i="1"/>
  <c r="AN59" i="1"/>
  <c r="R59" i="1"/>
  <c r="T59" i="1"/>
  <c r="Z59" i="1"/>
  <c r="V59" i="1"/>
  <c r="AB59" i="1"/>
  <c r="E59" i="1"/>
  <c r="AA58" i="1"/>
  <c r="AO58" i="1"/>
  <c r="G59" i="1"/>
  <c r="I59" i="1"/>
  <c r="AP58" i="1"/>
  <c r="AN58" i="1"/>
  <c r="R58" i="1"/>
  <c r="T58" i="1"/>
  <c r="Z58" i="1"/>
  <c r="V58" i="1"/>
  <c r="AB58" i="1"/>
  <c r="E58" i="1"/>
  <c r="AA57" i="1"/>
  <c r="AO57" i="1"/>
  <c r="G58" i="1"/>
  <c r="I58" i="1"/>
  <c r="AP57" i="1"/>
  <c r="AN57" i="1"/>
  <c r="R57" i="1"/>
  <c r="T57" i="1"/>
  <c r="Z57" i="1"/>
  <c r="V57" i="1"/>
  <c r="AB57" i="1"/>
  <c r="E57" i="1"/>
  <c r="AA56" i="1"/>
  <c r="AO56" i="1"/>
  <c r="G57" i="1"/>
  <c r="I57" i="1"/>
  <c r="AP56" i="1"/>
  <c r="AN56" i="1"/>
  <c r="R56" i="1"/>
  <c r="E56" i="1"/>
  <c r="T56" i="1"/>
  <c r="AA55" i="1"/>
  <c r="AO55" i="1"/>
  <c r="G56" i="1"/>
  <c r="I56" i="1"/>
  <c r="V56" i="1"/>
  <c r="AB56" i="1"/>
  <c r="Z56" i="1"/>
  <c r="AP55" i="1"/>
  <c r="AN55" i="1"/>
  <c r="R55" i="1"/>
  <c r="T55" i="1"/>
  <c r="V55" i="1"/>
  <c r="AB55" i="1"/>
  <c r="Z55" i="1"/>
  <c r="E55" i="1"/>
  <c r="AA54" i="1"/>
  <c r="AO54" i="1"/>
  <c r="G55" i="1"/>
  <c r="I55" i="1"/>
  <c r="AP54" i="1"/>
  <c r="AN54" i="1"/>
  <c r="R54" i="1"/>
  <c r="T54" i="1"/>
  <c r="Z54" i="1"/>
  <c r="V54" i="1"/>
  <c r="AB54" i="1"/>
  <c r="E54" i="1"/>
  <c r="AA53" i="1"/>
  <c r="AO53" i="1"/>
  <c r="G54" i="1"/>
  <c r="I54" i="1"/>
  <c r="AP53" i="1"/>
  <c r="AN53" i="1"/>
  <c r="R53" i="1"/>
  <c r="T53" i="1"/>
  <c r="Z53" i="1"/>
  <c r="V53" i="1"/>
  <c r="AB53" i="1"/>
  <c r="E53" i="1"/>
  <c r="AA52" i="1"/>
  <c r="AO52" i="1"/>
  <c r="G53" i="1"/>
  <c r="I53" i="1"/>
  <c r="AP52" i="1"/>
  <c r="AN52" i="1"/>
  <c r="R52" i="1"/>
  <c r="T52" i="1"/>
  <c r="Z52" i="1"/>
  <c r="V52" i="1"/>
  <c r="AB52" i="1"/>
  <c r="E52" i="1"/>
  <c r="AA51" i="1"/>
  <c r="AO51" i="1"/>
  <c r="G52" i="1"/>
  <c r="I52" i="1"/>
  <c r="AP51" i="1"/>
  <c r="AN51" i="1"/>
  <c r="R51" i="1"/>
  <c r="T51" i="1"/>
  <c r="V51" i="1"/>
  <c r="AB51" i="1"/>
  <c r="Z51" i="1"/>
  <c r="E51" i="1"/>
  <c r="AA50" i="1"/>
  <c r="AO50" i="1"/>
  <c r="G51" i="1"/>
  <c r="I51" i="1"/>
  <c r="AP50" i="1"/>
  <c r="AN50" i="1"/>
  <c r="R50" i="1"/>
  <c r="T50" i="1"/>
  <c r="V50" i="1"/>
  <c r="AB50" i="1"/>
  <c r="Z50" i="1"/>
  <c r="E50" i="1"/>
  <c r="AA49" i="1"/>
  <c r="AO49" i="1"/>
  <c r="G50" i="1"/>
  <c r="I50" i="1"/>
  <c r="AP49" i="1"/>
  <c r="AN49" i="1"/>
  <c r="R49" i="1"/>
  <c r="T49" i="1"/>
  <c r="V49" i="1"/>
  <c r="AB49" i="1"/>
  <c r="Z49" i="1"/>
  <c r="E49" i="1"/>
  <c r="AA48" i="1"/>
  <c r="AO48" i="1"/>
  <c r="G49" i="1"/>
  <c r="I49" i="1"/>
  <c r="AP48" i="1"/>
  <c r="AN48" i="1"/>
  <c r="R48" i="1"/>
  <c r="T48" i="1"/>
  <c r="V48" i="1"/>
  <c r="AB48" i="1"/>
  <c r="Z48" i="1"/>
  <c r="E48" i="1"/>
  <c r="AA47" i="1"/>
  <c r="AO47" i="1"/>
  <c r="G48" i="1"/>
  <c r="I48" i="1"/>
  <c r="AP47" i="1"/>
  <c r="AN47" i="1"/>
  <c r="R47" i="1"/>
  <c r="T47" i="1"/>
  <c r="V47" i="1"/>
  <c r="AB47" i="1"/>
  <c r="Z47" i="1"/>
  <c r="E47" i="1"/>
  <c r="AA46" i="1"/>
  <c r="AO46" i="1"/>
  <c r="G47" i="1"/>
  <c r="I47" i="1"/>
  <c r="AP46" i="1"/>
  <c r="AN46" i="1"/>
  <c r="R46" i="1"/>
  <c r="T46" i="1"/>
  <c r="V46" i="1"/>
  <c r="AB46" i="1"/>
  <c r="Z46" i="1"/>
  <c r="E46" i="1"/>
  <c r="AA45" i="1"/>
  <c r="AO45" i="1"/>
  <c r="G46" i="1"/>
  <c r="I46" i="1"/>
  <c r="AP45" i="1"/>
  <c r="AN45" i="1"/>
  <c r="R45" i="1"/>
  <c r="T45" i="1"/>
  <c r="Z45" i="1"/>
  <c r="V45" i="1"/>
  <c r="AB45" i="1"/>
  <c r="E45" i="1"/>
  <c r="AA44" i="1"/>
  <c r="AO44" i="1"/>
  <c r="G45" i="1"/>
  <c r="I45" i="1"/>
  <c r="AP44" i="1"/>
  <c r="AN44" i="1"/>
  <c r="R44" i="1"/>
  <c r="T44" i="1"/>
  <c r="V44" i="1"/>
  <c r="AB44" i="1"/>
  <c r="Z44" i="1"/>
  <c r="E44" i="1"/>
  <c r="AA43" i="1"/>
  <c r="AO43" i="1"/>
  <c r="G44" i="1"/>
  <c r="I44" i="1"/>
  <c r="AP43" i="1"/>
  <c r="AN43" i="1"/>
  <c r="R43" i="1"/>
  <c r="T43" i="1"/>
  <c r="V43" i="1"/>
  <c r="AB43" i="1"/>
  <c r="Z43" i="1"/>
  <c r="E43" i="1"/>
  <c r="AA42" i="1"/>
  <c r="AO42" i="1"/>
  <c r="G43" i="1"/>
  <c r="I43" i="1"/>
  <c r="AP42" i="1"/>
  <c r="AN42" i="1"/>
  <c r="R42" i="1"/>
  <c r="T42" i="1"/>
  <c r="V42" i="1"/>
  <c r="AB42" i="1"/>
  <c r="Z42" i="1"/>
  <c r="E42" i="1"/>
  <c r="AA41" i="1"/>
  <c r="AO41" i="1"/>
  <c r="G42" i="1"/>
  <c r="I42" i="1"/>
  <c r="AP41" i="1"/>
  <c r="AN41" i="1"/>
  <c r="R41" i="1"/>
  <c r="E41" i="1"/>
  <c r="T41" i="1"/>
  <c r="AA40" i="1"/>
  <c r="AO40" i="1"/>
  <c r="G41" i="1"/>
  <c r="I41" i="1"/>
  <c r="V41" i="1"/>
  <c r="AB41" i="1"/>
  <c r="Z41" i="1"/>
  <c r="AP40" i="1"/>
  <c r="AN40" i="1"/>
  <c r="R40" i="1"/>
  <c r="T40" i="1"/>
  <c r="V40" i="1"/>
  <c r="AB40" i="1"/>
  <c r="Z40" i="1"/>
  <c r="E40" i="1"/>
  <c r="AA39" i="1"/>
  <c r="AO39" i="1"/>
  <c r="G40" i="1"/>
  <c r="I40" i="1"/>
  <c r="AP39" i="1"/>
  <c r="AN39" i="1"/>
  <c r="R39" i="1"/>
  <c r="T39" i="1"/>
  <c r="Z39" i="1"/>
  <c r="V39" i="1"/>
  <c r="AB39" i="1"/>
  <c r="E39" i="1"/>
  <c r="AA38" i="1"/>
  <c r="AO38" i="1"/>
  <c r="G39" i="1"/>
  <c r="I39" i="1"/>
  <c r="AP38" i="1"/>
  <c r="AN38" i="1"/>
  <c r="R38" i="1"/>
  <c r="T38" i="1"/>
  <c r="V38" i="1"/>
  <c r="AB38" i="1"/>
  <c r="Z38" i="1"/>
  <c r="E38" i="1"/>
  <c r="AA37" i="1"/>
  <c r="AO37" i="1"/>
  <c r="G38" i="1"/>
  <c r="I38" i="1"/>
  <c r="AP37" i="1"/>
  <c r="AN37" i="1"/>
  <c r="R37" i="1"/>
  <c r="T37" i="1"/>
  <c r="Z37" i="1"/>
  <c r="V37" i="1"/>
  <c r="AB37" i="1"/>
  <c r="E37" i="1"/>
  <c r="AA36" i="1"/>
  <c r="AO36" i="1"/>
  <c r="G37" i="1"/>
  <c r="I37" i="1"/>
  <c r="AP36" i="1"/>
  <c r="AN36" i="1"/>
  <c r="R36" i="1"/>
  <c r="T36" i="1"/>
  <c r="Z36" i="1"/>
  <c r="V36" i="1"/>
  <c r="AB36" i="1"/>
  <c r="E36" i="1"/>
  <c r="AA35" i="1"/>
  <c r="AO35" i="1"/>
  <c r="G36" i="1"/>
  <c r="I36" i="1"/>
  <c r="AP35" i="1"/>
  <c r="AN35" i="1"/>
  <c r="R35" i="1"/>
  <c r="T35" i="1"/>
  <c r="V35" i="1"/>
  <c r="AB35" i="1"/>
  <c r="Z35" i="1"/>
  <c r="E35" i="1"/>
  <c r="AA34" i="1"/>
  <c r="AO34" i="1"/>
  <c r="G35" i="1"/>
  <c r="I35" i="1"/>
  <c r="AP34" i="1"/>
  <c r="AN34" i="1"/>
  <c r="R34" i="1"/>
  <c r="T34" i="1"/>
  <c r="V34" i="1"/>
  <c r="AB34" i="1"/>
  <c r="Z34" i="1"/>
  <c r="E34" i="1"/>
  <c r="AA33" i="1"/>
  <c r="AO33" i="1"/>
  <c r="G34" i="1"/>
  <c r="I34" i="1"/>
  <c r="AP33" i="1"/>
  <c r="AN33" i="1"/>
  <c r="R33" i="1"/>
  <c r="T33" i="1"/>
  <c r="V33" i="1"/>
  <c r="AB33" i="1"/>
  <c r="Z33" i="1"/>
  <c r="E33" i="1"/>
  <c r="AA32" i="1"/>
  <c r="AO32" i="1"/>
  <c r="G33" i="1"/>
  <c r="I33" i="1"/>
  <c r="AP32" i="1"/>
  <c r="AN32" i="1"/>
  <c r="R32" i="1"/>
  <c r="T32" i="1"/>
  <c r="V32" i="1"/>
  <c r="AB32" i="1"/>
  <c r="Z32" i="1"/>
  <c r="E32" i="1"/>
  <c r="AA31" i="1"/>
  <c r="AO31" i="1"/>
  <c r="G32" i="1"/>
  <c r="I32" i="1"/>
  <c r="AP31" i="1"/>
  <c r="AN31" i="1"/>
  <c r="R31" i="1"/>
  <c r="T31" i="1"/>
  <c r="Z31" i="1"/>
  <c r="V31" i="1"/>
  <c r="AB31" i="1"/>
  <c r="E31" i="1"/>
  <c r="AA30" i="1"/>
  <c r="AO30" i="1"/>
  <c r="G31" i="1"/>
  <c r="I31" i="1"/>
  <c r="AP30" i="1"/>
  <c r="AN30" i="1"/>
  <c r="R30" i="1"/>
  <c r="T30" i="1"/>
  <c r="Z30" i="1"/>
  <c r="V30" i="1"/>
  <c r="AB30" i="1"/>
  <c r="E30" i="1"/>
  <c r="AA29" i="1"/>
  <c r="AO29" i="1"/>
  <c r="G30" i="1"/>
  <c r="I30" i="1"/>
  <c r="AP29" i="1"/>
  <c r="AN29" i="1"/>
  <c r="R29" i="1"/>
  <c r="T29" i="1"/>
  <c r="Z29" i="1"/>
  <c r="V29" i="1"/>
  <c r="AB29" i="1"/>
  <c r="E29" i="1"/>
  <c r="AA28" i="1"/>
  <c r="AO28" i="1"/>
  <c r="G29" i="1"/>
  <c r="I29" i="1"/>
  <c r="AP28" i="1"/>
  <c r="AN28" i="1"/>
  <c r="R28" i="1"/>
  <c r="T28" i="1"/>
  <c r="Z28" i="1"/>
  <c r="V28" i="1"/>
  <c r="AB28" i="1"/>
  <c r="E28" i="1"/>
  <c r="AA27" i="1"/>
  <c r="AO27" i="1"/>
  <c r="G28" i="1"/>
  <c r="I28" i="1"/>
  <c r="AP27" i="1"/>
  <c r="AN27" i="1"/>
  <c r="R27" i="1"/>
  <c r="T27" i="1"/>
  <c r="V27" i="1"/>
  <c r="AB27" i="1"/>
  <c r="Z27" i="1"/>
  <c r="E27" i="1"/>
  <c r="AA26" i="1"/>
  <c r="AO26" i="1"/>
  <c r="G27" i="1"/>
  <c r="I27" i="1"/>
  <c r="AP26" i="1"/>
  <c r="AN26" i="1"/>
  <c r="R26" i="1"/>
  <c r="T26" i="1"/>
  <c r="Z26" i="1"/>
  <c r="V26" i="1"/>
  <c r="AB26" i="1"/>
  <c r="E26" i="1"/>
  <c r="AA25" i="1"/>
  <c r="AO25" i="1"/>
  <c r="G26" i="1"/>
  <c r="I26" i="1"/>
  <c r="AP25" i="1"/>
  <c r="AN25" i="1"/>
  <c r="R25" i="1"/>
  <c r="T25" i="1"/>
  <c r="V25" i="1"/>
  <c r="AB25" i="1"/>
  <c r="Z25" i="1"/>
  <c r="E25" i="1"/>
  <c r="AA24" i="1"/>
  <c r="AO24" i="1"/>
  <c r="G25" i="1"/>
  <c r="I25" i="1"/>
  <c r="AP24" i="1"/>
  <c r="AN24" i="1"/>
  <c r="R24" i="1"/>
  <c r="T24" i="1"/>
  <c r="Z24" i="1"/>
  <c r="V24" i="1"/>
  <c r="AB24" i="1"/>
  <c r="E24" i="1"/>
  <c r="G24" i="1"/>
  <c r="I24" i="1"/>
  <c r="E23" i="1"/>
  <c r="G23" i="1"/>
  <c r="I23" i="1"/>
  <c r="E22" i="1"/>
  <c r="G22" i="1"/>
  <c r="I22" i="1"/>
  <c r="E21" i="1"/>
  <c r="G21" i="1"/>
  <c r="I21" i="1"/>
  <c r="E20" i="1"/>
  <c r="G20" i="1"/>
  <c r="I20" i="1"/>
  <c r="E19" i="1"/>
  <c r="G19" i="1"/>
  <c r="I19" i="1"/>
  <c r="E18" i="1"/>
  <c r="AG17" i="1"/>
  <c r="AH653" i="1"/>
  <c r="AI653" i="1"/>
  <c r="AH664" i="1"/>
  <c r="AI664" i="1"/>
  <c r="AH666" i="1"/>
  <c r="AI666" i="1"/>
  <c r="AH665" i="1"/>
  <c r="AI665" i="1"/>
  <c r="AH651" i="1"/>
  <c r="AI651" i="1"/>
  <c r="AH663" i="1"/>
  <c r="AI663" i="1"/>
  <c r="AH661" i="1"/>
  <c r="AI661" i="1"/>
  <c r="AH662" i="1"/>
  <c r="AI662" i="1"/>
  <c r="AH659" i="1"/>
  <c r="AI659" i="1"/>
  <c r="AH654" i="1"/>
  <c r="AI654" i="1"/>
  <c r="AH655" i="1"/>
  <c r="AI655" i="1"/>
  <c r="AH660" i="1"/>
  <c r="AI660" i="1"/>
  <c r="AH648" i="1"/>
  <c r="AI648" i="1"/>
  <c r="AH650" i="1"/>
  <c r="AI650" i="1"/>
  <c r="AH658" i="1"/>
  <c r="AI658" i="1"/>
  <c r="AH652" i="1"/>
  <c r="AI652" i="1"/>
  <c r="AH656" i="1"/>
  <c r="AI656" i="1"/>
  <c r="AH649" i="1"/>
  <c r="AI649" i="1"/>
  <c r="AH657" i="1"/>
  <c r="AI657" i="1"/>
  <c r="AH618" i="1"/>
  <c r="AI618" i="1"/>
  <c r="AH630" i="1"/>
  <c r="AI630" i="1"/>
  <c r="AH621" i="1"/>
  <c r="AI621" i="1"/>
  <c r="AH597" i="1"/>
  <c r="AI597" i="1"/>
  <c r="AH639" i="1"/>
  <c r="AI639" i="1"/>
  <c r="AH634" i="1"/>
  <c r="AI634" i="1"/>
  <c r="AH610" i="1"/>
  <c r="AI610" i="1"/>
  <c r="AH603" i="1"/>
  <c r="AI603" i="1"/>
  <c r="AH632" i="1"/>
  <c r="AI632" i="1"/>
  <c r="AH607" i="1"/>
  <c r="AI607" i="1"/>
  <c r="AH620" i="1"/>
  <c r="AI620" i="1"/>
  <c r="AH638" i="1"/>
  <c r="AI638" i="1"/>
  <c r="AH616" i="1"/>
  <c r="AI616" i="1"/>
  <c r="AH631" i="1"/>
  <c r="AI631" i="1"/>
  <c r="AH637" i="1"/>
  <c r="AI637" i="1"/>
  <c r="AH644" i="1"/>
  <c r="AI644" i="1"/>
  <c r="AH605" i="1"/>
  <c r="AI605" i="1"/>
  <c r="AH612" i="1"/>
  <c r="AI612" i="1"/>
  <c r="AH608" i="1"/>
  <c r="AI608" i="1"/>
  <c r="AH614" i="1"/>
  <c r="AI614" i="1"/>
  <c r="AH633" i="1"/>
  <c r="AI633" i="1"/>
  <c r="AH611" i="1"/>
  <c r="AI611" i="1"/>
  <c r="AH609" i="1"/>
  <c r="AI609" i="1"/>
  <c r="AH636" i="1"/>
  <c r="AI636" i="1"/>
  <c r="AH602" i="1"/>
  <c r="AI602" i="1"/>
  <c r="AH604" i="1"/>
  <c r="AI604" i="1"/>
  <c r="AH601" i="1"/>
  <c r="AI601" i="1"/>
  <c r="AH598" i="1"/>
  <c r="AI598" i="1"/>
  <c r="AH635" i="1"/>
  <c r="AI635" i="1"/>
  <c r="AH599" i="1"/>
  <c r="AI599" i="1"/>
  <c r="AH628" i="1"/>
  <c r="AI628" i="1"/>
  <c r="AH625" i="1"/>
  <c r="AI625" i="1"/>
  <c r="AH623" i="1"/>
  <c r="AI623" i="1"/>
  <c r="AH622" i="1"/>
  <c r="AI622" i="1"/>
  <c r="AH619" i="1"/>
  <c r="AI619" i="1"/>
  <c r="AH642" i="1"/>
  <c r="AI642" i="1"/>
  <c r="AH617" i="1"/>
  <c r="AI617" i="1"/>
  <c r="AH645" i="1"/>
  <c r="AI645" i="1"/>
  <c r="AH600" i="1"/>
  <c r="AI600" i="1"/>
  <c r="AH647" i="1"/>
  <c r="AI647" i="1"/>
  <c r="AH606" i="1"/>
  <c r="AI606" i="1"/>
  <c r="AH615" i="1"/>
  <c r="AI615" i="1"/>
  <c r="AH613" i="1"/>
  <c r="AI613" i="1"/>
  <c r="AH643" i="1"/>
  <c r="AI643" i="1"/>
  <c r="AH640" i="1"/>
  <c r="AI640" i="1"/>
  <c r="AH624" i="1"/>
  <c r="AI624" i="1"/>
  <c r="AH629" i="1"/>
  <c r="AI629" i="1"/>
  <c r="AH646" i="1"/>
  <c r="AI646" i="1"/>
  <c r="AH627" i="1"/>
  <c r="AI627" i="1"/>
  <c r="AH626" i="1"/>
  <c r="AI626" i="1"/>
  <c r="AH641" i="1"/>
  <c r="AI641" i="1"/>
  <c r="AH595" i="1"/>
  <c r="AI595" i="1"/>
  <c r="AH592" i="1"/>
  <c r="AI592" i="1"/>
  <c r="AH594" i="1"/>
  <c r="AI594" i="1"/>
  <c r="AH596" i="1"/>
  <c r="AI596" i="1"/>
  <c r="AH593" i="1"/>
  <c r="AI593" i="1"/>
  <c r="AH591" i="1"/>
  <c r="AI591" i="1"/>
  <c r="AH587" i="1"/>
  <c r="AI587" i="1"/>
  <c r="AH588" i="1"/>
  <c r="AI588" i="1"/>
  <c r="AH589" i="1"/>
  <c r="AI589" i="1"/>
  <c r="AH590" i="1"/>
  <c r="AI590" i="1"/>
  <c r="AH584" i="1"/>
  <c r="AI584" i="1"/>
  <c r="AH585" i="1"/>
  <c r="AI585" i="1"/>
  <c r="AH586" i="1"/>
  <c r="AI586" i="1"/>
  <c r="AH582" i="1"/>
  <c r="AI582" i="1"/>
  <c r="AH583" i="1"/>
  <c r="AI583" i="1"/>
  <c r="AH581" i="1"/>
  <c r="AI581" i="1"/>
  <c r="AH570" i="1"/>
  <c r="AI570" i="1"/>
  <c r="AH572" i="1"/>
  <c r="AI572" i="1"/>
  <c r="AH566" i="1"/>
  <c r="AI566" i="1"/>
  <c r="AH575" i="1"/>
  <c r="AI575" i="1"/>
  <c r="AH574" i="1"/>
  <c r="AI574" i="1"/>
  <c r="AH568" i="1"/>
  <c r="AI568" i="1"/>
  <c r="AH576" i="1"/>
  <c r="AI576" i="1"/>
  <c r="AH578" i="1"/>
  <c r="AI578" i="1"/>
  <c r="AH580" i="1"/>
  <c r="AI580" i="1"/>
  <c r="AH577" i="1"/>
  <c r="AI577" i="1"/>
  <c r="AH573" i="1"/>
  <c r="AI573" i="1"/>
  <c r="AH579" i="1"/>
  <c r="AI579" i="1"/>
  <c r="AH571" i="1"/>
  <c r="AI571" i="1"/>
  <c r="AH567" i="1"/>
  <c r="AI567" i="1"/>
  <c r="AH569" i="1"/>
  <c r="AI569" i="1"/>
  <c r="AH565" i="1"/>
  <c r="AI565" i="1"/>
  <c r="AH564" i="1"/>
  <c r="AI564" i="1"/>
  <c r="AH561" i="1"/>
  <c r="AI561" i="1"/>
  <c r="AH563" i="1"/>
  <c r="AI563" i="1"/>
  <c r="AH558" i="1"/>
  <c r="AI558" i="1"/>
  <c r="AH560" i="1"/>
  <c r="AI560" i="1"/>
  <c r="AH559" i="1"/>
  <c r="AI559" i="1"/>
  <c r="AH556" i="1"/>
  <c r="AI556" i="1"/>
  <c r="AH557" i="1"/>
  <c r="AI557" i="1"/>
  <c r="AH555" i="1"/>
  <c r="AI555" i="1"/>
  <c r="AH553" i="1"/>
  <c r="AI553" i="1"/>
  <c r="AH554" i="1"/>
  <c r="AI554" i="1"/>
  <c r="AH552" i="1"/>
  <c r="AI552" i="1"/>
  <c r="AH551" i="1"/>
  <c r="AI551" i="1"/>
  <c r="AH546" i="1"/>
  <c r="AI546" i="1"/>
  <c r="AH549" i="1"/>
  <c r="AI549" i="1"/>
  <c r="AH543" i="1"/>
  <c r="AI543" i="1"/>
  <c r="AH548" i="1"/>
  <c r="AI548" i="1"/>
  <c r="AH545" i="1"/>
  <c r="AI545" i="1"/>
  <c r="AH547" i="1"/>
  <c r="AI547" i="1"/>
  <c r="AH550" i="1"/>
  <c r="AI550" i="1"/>
  <c r="AH544" i="1"/>
  <c r="AI544" i="1"/>
  <c r="AH541" i="1"/>
  <c r="AI541" i="1"/>
  <c r="AH540" i="1"/>
  <c r="AI540" i="1"/>
  <c r="AH539" i="1"/>
  <c r="AI539" i="1"/>
  <c r="AH538" i="1"/>
  <c r="AI538" i="1"/>
  <c r="AH537" i="1"/>
  <c r="AI537" i="1"/>
  <c r="AH536" i="1"/>
  <c r="AI536" i="1"/>
  <c r="AH535" i="1"/>
  <c r="AI535" i="1"/>
  <c r="AH534" i="1"/>
  <c r="AI534" i="1"/>
  <c r="AH533" i="1"/>
  <c r="AI533" i="1"/>
  <c r="AH532" i="1"/>
  <c r="AI532" i="1"/>
  <c r="AH531" i="1"/>
  <c r="AI531" i="1"/>
  <c r="AH530" i="1"/>
  <c r="AI530" i="1"/>
  <c r="AH529" i="1"/>
  <c r="AI529" i="1"/>
  <c r="AH528" i="1"/>
  <c r="AI528" i="1"/>
  <c r="AH527" i="1"/>
  <c r="AI527" i="1"/>
  <c r="AH526" i="1"/>
  <c r="AI526" i="1"/>
  <c r="AH525" i="1"/>
  <c r="AI525" i="1"/>
  <c r="AH524" i="1"/>
  <c r="AI524" i="1"/>
  <c r="AH523" i="1"/>
  <c r="AI523" i="1"/>
  <c r="AH522" i="1"/>
  <c r="AI522" i="1"/>
  <c r="AH521" i="1"/>
  <c r="AI521" i="1"/>
  <c r="AH520" i="1"/>
  <c r="AI520" i="1"/>
  <c r="AH519" i="1"/>
  <c r="AI519" i="1"/>
  <c r="AH518" i="1"/>
  <c r="AI518" i="1"/>
  <c r="AH517" i="1"/>
  <c r="AI517" i="1"/>
  <c r="AH516" i="1"/>
  <c r="AI516" i="1"/>
  <c r="AH515" i="1"/>
  <c r="AI515" i="1"/>
  <c r="AH514" i="1"/>
  <c r="AI514" i="1"/>
  <c r="AH513" i="1"/>
  <c r="AI513" i="1"/>
  <c r="AH512" i="1"/>
  <c r="AI512" i="1"/>
  <c r="AH511" i="1"/>
  <c r="AI511" i="1"/>
  <c r="AH510" i="1"/>
  <c r="AI510" i="1"/>
  <c r="AH509" i="1"/>
  <c r="AI509" i="1"/>
  <c r="AH507" i="1"/>
  <c r="AI507" i="1"/>
  <c r="AH506" i="1"/>
  <c r="AI506" i="1"/>
  <c r="AH505" i="1"/>
  <c r="AI505" i="1"/>
  <c r="AH504" i="1"/>
  <c r="AI504" i="1"/>
  <c r="AH503" i="1"/>
  <c r="AI503" i="1"/>
  <c r="AH502" i="1"/>
  <c r="AI502" i="1"/>
  <c r="AH501" i="1"/>
  <c r="AI501" i="1"/>
  <c r="AH500" i="1"/>
  <c r="AI500" i="1"/>
  <c r="AH499" i="1"/>
  <c r="AI499" i="1"/>
  <c r="AH498" i="1"/>
  <c r="AI498" i="1"/>
  <c r="AH497" i="1"/>
  <c r="AI497" i="1"/>
  <c r="AH496" i="1"/>
  <c r="AI496" i="1"/>
  <c r="AH495" i="1"/>
  <c r="AI495" i="1"/>
  <c r="AH494" i="1"/>
  <c r="AI494" i="1"/>
  <c r="AH493" i="1"/>
  <c r="AI493" i="1"/>
  <c r="AH492" i="1"/>
  <c r="AI492" i="1"/>
  <c r="AH491" i="1"/>
  <c r="AI491" i="1"/>
  <c r="AH490" i="1"/>
  <c r="AI490" i="1"/>
  <c r="AH489" i="1"/>
  <c r="AI489" i="1"/>
  <c r="AH488" i="1"/>
  <c r="AI488" i="1"/>
  <c r="AH487" i="1"/>
  <c r="AI487" i="1"/>
  <c r="AH486" i="1"/>
  <c r="AI486" i="1"/>
  <c r="AH485" i="1"/>
  <c r="AI485" i="1"/>
  <c r="AH484" i="1"/>
  <c r="AI484" i="1"/>
  <c r="AH483" i="1"/>
  <c r="AI483" i="1"/>
  <c r="AH482" i="1"/>
  <c r="AI482" i="1"/>
  <c r="AH481" i="1"/>
  <c r="AI481" i="1"/>
  <c r="AH480" i="1"/>
  <c r="AI480" i="1"/>
  <c r="AH479" i="1"/>
  <c r="AI479" i="1"/>
  <c r="AH478" i="1"/>
  <c r="AI478" i="1"/>
  <c r="AH477" i="1"/>
  <c r="AI477" i="1"/>
  <c r="AH476" i="1"/>
  <c r="AI476" i="1"/>
  <c r="AH475" i="1"/>
  <c r="AI475" i="1"/>
  <c r="AH474" i="1"/>
  <c r="AI474" i="1"/>
  <c r="AH473" i="1"/>
  <c r="AI473" i="1"/>
  <c r="AH472" i="1"/>
  <c r="AI472" i="1"/>
  <c r="AH471" i="1"/>
  <c r="AI471" i="1"/>
  <c r="AH470" i="1"/>
  <c r="AI470" i="1"/>
  <c r="AH469" i="1"/>
  <c r="AI469" i="1"/>
  <c r="AH468" i="1"/>
  <c r="AI468" i="1"/>
  <c r="AH467" i="1"/>
  <c r="AI467" i="1"/>
  <c r="AH466" i="1"/>
  <c r="AI466" i="1"/>
  <c r="AH465" i="1"/>
  <c r="AI465" i="1"/>
  <c r="AH464" i="1"/>
  <c r="AI464" i="1"/>
  <c r="AH463" i="1"/>
  <c r="AI463" i="1"/>
  <c r="AH462" i="1"/>
  <c r="AI462" i="1"/>
  <c r="AH461" i="1"/>
  <c r="AI461" i="1"/>
  <c r="AH460" i="1"/>
  <c r="AI460" i="1"/>
  <c r="AH459" i="1"/>
  <c r="AI459" i="1"/>
  <c r="AH458" i="1"/>
  <c r="AI458" i="1"/>
  <c r="AH457" i="1"/>
  <c r="AI457" i="1"/>
  <c r="AH456" i="1"/>
  <c r="AI456" i="1"/>
  <c r="AH455" i="1"/>
  <c r="AI455" i="1"/>
  <c r="AH454" i="1"/>
  <c r="AI454" i="1"/>
  <c r="AH453" i="1"/>
  <c r="AI453" i="1"/>
  <c r="AH452" i="1"/>
  <c r="AI452" i="1"/>
  <c r="AH451" i="1"/>
  <c r="AI451" i="1"/>
  <c r="AH450" i="1"/>
  <c r="AI450" i="1"/>
  <c r="AH449" i="1"/>
  <c r="AI449" i="1"/>
  <c r="AH448" i="1"/>
  <c r="AI448" i="1"/>
  <c r="AH447" i="1"/>
  <c r="AI447" i="1"/>
  <c r="AH445" i="1"/>
  <c r="AI445" i="1"/>
  <c r="AH444" i="1"/>
  <c r="AI444" i="1"/>
  <c r="AH443" i="1"/>
  <c r="AI443" i="1"/>
  <c r="AH442" i="1"/>
  <c r="AI442" i="1"/>
  <c r="AH441" i="1"/>
  <c r="AI441" i="1"/>
  <c r="AH440" i="1"/>
  <c r="AI440" i="1"/>
  <c r="AH439" i="1"/>
  <c r="AI439" i="1"/>
  <c r="AH438" i="1"/>
  <c r="AI438" i="1"/>
  <c r="AH437" i="1"/>
  <c r="AI437" i="1"/>
  <c r="AH436" i="1"/>
  <c r="AI436" i="1"/>
  <c r="AH435" i="1"/>
  <c r="AI435" i="1"/>
  <c r="AH434" i="1"/>
  <c r="AI434" i="1"/>
  <c r="AH433" i="1"/>
  <c r="AI433" i="1"/>
  <c r="AH432" i="1"/>
  <c r="AI432" i="1"/>
  <c r="AH431" i="1"/>
  <c r="AI431" i="1"/>
  <c r="AH430" i="1"/>
  <c r="AI430" i="1"/>
  <c r="AH429" i="1"/>
  <c r="AI429" i="1"/>
  <c r="AH428" i="1"/>
  <c r="AI428" i="1"/>
  <c r="AH427" i="1"/>
  <c r="AI427" i="1"/>
  <c r="AH426" i="1"/>
  <c r="AI426" i="1"/>
  <c r="AH425" i="1"/>
  <c r="AI425" i="1"/>
  <c r="AH424" i="1"/>
  <c r="AI424" i="1"/>
  <c r="AH423" i="1"/>
  <c r="AI423" i="1"/>
  <c r="AH422" i="1"/>
  <c r="AI422" i="1"/>
  <c r="AH421" i="1"/>
  <c r="AI421" i="1"/>
  <c r="AH420" i="1"/>
  <c r="AI420" i="1"/>
  <c r="AH419" i="1"/>
  <c r="AI419" i="1"/>
  <c r="AH418" i="1"/>
  <c r="AI418" i="1"/>
  <c r="AH417" i="1"/>
  <c r="AI417" i="1"/>
  <c r="AH416" i="1"/>
  <c r="AI416" i="1"/>
  <c r="AH415" i="1"/>
  <c r="AI415" i="1"/>
  <c r="AH414" i="1"/>
  <c r="AI414" i="1"/>
  <c r="AH413" i="1"/>
  <c r="AI413" i="1"/>
  <c r="AH412" i="1"/>
  <c r="AI412" i="1"/>
  <c r="AH411" i="1"/>
  <c r="AI411" i="1"/>
  <c r="AH410" i="1"/>
  <c r="AI410" i="1"/>
  <c r="AH409" i="1"/>
  <c r="AI409" i="1"/>
  <c r="AH408" i="1"/>
  <c r="AI408" i="1"/>
  <c r="AH407" i="1"/>
  <c r="AI407" i="1"/>
  <c r="AH406" i="1"/>
  <c r="AI406" i="1"/>
  <c r="AH405" i="1"/>
  <c r="AI405" i="1"/>
  <c r="AH404" i="1"/>
  <c r="AI404" i="1"/>
  <c r="AH403" i="1"/>
  <c r="AI403" i="1"/>
  <c r="AH402" i="1"/>
  <c r="AI402" i="1"/>
  <c r="AH401" i="1"/>
  <c r="AI401" i="1"/>
  <c r="AH400" i="1"/>
  <c r="AI400" i="1"/>
  <c r="AH399" i="1"/>
  <c r="AI399" i="1"/>
  <c r="AH398" i="1"/>
  <c r="AI398" i="1"/>
  <c r="AH397" i="1"/>
  <c r="AI397" i="1"/>
  <c r="AH396" i="1"/>
  <c r="AI396" i="1"/>
  <c r="AH395" i="1"/>
  <c r="AI395" i="1"/>
  <c r="AH394" i="1"/>
  <c r="AI394" i="1"/>
  <c r="AH392" i="1"/>
  <c r="AI392" i="1"/>
  <c r="AH391" i="1"/>
  <c r="AI391" i="1"/>
  <c r="AH390" i="1"/>
  <c r="AI390" i="1"/>
  <c r="AH389" i="1"/>
  <c r="AI389" i="1"/>
  <c r="AH388" i="1"/>
  <c r="AI388" i="1"/>
  <c r="AH387" i="1"/>
  <c r="AI387" i="1"/>
  <c r="AH386" i="1"/>
  <c r="AI386" i="1"/>
  <c r="AH385" i="1"/>
  <c r="AI385" i="1"/>
  <c r="AH384" i="1"/>
  <c r="AI384" i="1"/>
  <c r="AH383" i="1"/>
  <c r="AI383" i="1"/>
  <c r="AH382" i="1"/>
  <c r="AI382" i="1"/>
  <c r="AH381" i="1"/>
  <c r="AI381" i="1"/>
  <c r="AH380" i="1"/>
  <c r="AI380" i="1"/>
  <c r="AH379" i="1"/>
  <c r="AI379" i="1"/>
  <c r="AH378" i="1"/>
  <c r="AI378" i="1"/>
  <c r="AH377" i="1"/>
  <c r="AI377" i="1"/>
  <c r="AH375" i="1"/>
  <c r="AI375" i="1"/>
  <c r="AH374" i="1"/>
  <c r="AI374" i="1"/>
  <c r="AH373" i="1"/>
  <c r="AI373" i="1"/>
  <c r="AH372" i="1"/>
  <c r="AI372" i="1"/>
  <c r="AH371" i="1"/>
  <c r="AI371" i="1"/>
  <c r="AH370" i="1"/>
  <c r="AI370" i="1"/>
  <c r="AH369" i="1"/>
  <c r="AI369" i="1"/>
  <c r="AH368" i="1"/>
  <c r="AI368" i="1"/>
  <c r="AH367" i="1"/>
  <c r="AI367" i="1"/>
  <c r="AH366" i="1"/>
  <c r="AI366" i="1"/>
  <c r="AH365" i="1"/>
  <c r="AI365" i="1"/>
  <c r="AH364" i="1"/>
  <c r="AI364" i="1"/>
  <c r="AH363" i="1"/>
  <c r="AI363" i="1"/>
  <c r="AH362" i="1"/>
  <c r="AI362" i="1"/>
  <c r="AH361" i="1"/>
  <c r="AI361" i="1"/>
  <c r="AH360" i="1"/>
  <c r="AI360" i="1"/>
  <c r="AH359" i="1"/>
  <c r="AI359" i="1"/>
  <c r="AH358" i="1"/>
  <c r="AI358" i="1"/>
  <c r="AH357" i="1"/>
  <c r="AI357" i="1"/>
  <c r="AH356" i="1"/>
  <c r="AI356" i="1"/>
  <c r="AH355" i="1"/>
  <c r="AI355" i="1"/>
  <c r="AH354" i="1"/>
  <c r="AI354" i="1"/>
  <c r="AH353" i="1"/>
  <c r="AI353" i="1"/>
  <c r="AH352" i="1"/>
  <c r="AI352" i="1"/>
  <c r="AH351" i="1"/>
  <c r="AI351" i="1"/>
  <c r="AH350" i="1"/>
  <c r="AI350" i="1"/>
  <c r="AH349" i="1"/>
  <c r="AI349" i="1"/>
  <c r="AH348" i="1"/>
  <c r="AI348" i="1"/>
  <c r="AH347" i="1"/>
  <c r="AI347" i="1"/>
  <c r="AH346" i="1"/>
  <c r="AI346" i="1"/>
  <c r="AH345" i="1"/>
  <c r="AI345" i="1"/>
  <c r="AH344" i="1"/>
  <c r="AI344" i="1"/>
  <c r="AH343" i="1"/>
  <c r="AI343" i="1"/>
  <c r="AH342" i="1"/>
  <c r="AI342" i="1"/>
  <c r="AH341" i="1"/>
  <c r="AI341" i="1"/>
  <c r="AH340" i="1"/>
  <c r="AI340" i="1"/>
  <c r="AH339" i="1"/>
  <c r="AI339" i="1"/>
  <c r="AH338" i="1"/>
  <c r="AI338" i="1"/>
  <c r="AH337" i="1"/>
  <c r="AI337" i="1"/>
  <c r="AH336" i="1"/>
  <c r="AI336" i="1"/>
  <c r="AH335" i="1"/>
  <c r="AI335" i="1"/>
  <c r="AH334" i="1"/>
  <c r="AI334" i="1"/>
  <c r="AH333" i="1"/>
  <c r="AI333" i="1"/>
  <c r="AH332" i="1"/>
  <c r="AI332" i="1"/>
  <c r="AH331" i="1"/>
  <c r="AI331" i="1"/>
  <c r="AH330" i="1"/>
  <c r="AI330" i="1"/>
  <c r="AH329" i="1"/>
  <c r="AI329" i="1"/>
  <c r="AH328" i="1"/>
  <c r="AI328" i="1"/>
  <c r="AH327" i="1"/>
  <c r="AI327" i="1"/>
  <c r="AH326" i="1"/>
  <c r="AI326" i="1"/>
  <c r="AH325" i="1"/>
  <c r="AI325" i="1"/>
  <c r="AH324" i="1"/>
  <c r="AI324" i="1"/>
  <c r="AH323" i="1"/>
  <c r="AI323" i="1"/>
  <c r="AH322" i="1"/>
  <c r="AI322" i="1"/>
  <c r="AH321" i="1"/>
  <c r="AI321" i="1"/>
  <c r="AH320" i="1"/>
  <c r="AI320" i="1"/>
  <c r="AH319" i="1"/>
  <c r="AI319" i="1"/>
  <c r="AH318" i="1"/>
  <c r="AI318" i="1"/>
  <c r="AH317" i="1"/>
  <c r="AI317" i="1"/>
  <c r="AH316" i="1"/>
  <c r="AI316" i="1"/>
  <c r="AH315" i="1"/>
  <c r="AI315" i="1"/>
  <c r="AH314" i="1"/>
  <c r="AI314" i="1"/>
  <c r="AH313" i="1"/>
  <c r="AI313" i="1"/>
  <c r="AH312" i="1"/>
  <c r="AI312" i="1"/>
  <c r="AH311" i="1"/>
  <c r="AI311" i="1"/>
  <c r="AH310" i="1"/>
  <c r="AI310" i="1"/>
  <c r="AH309" i="1"/>
  <c r="AI309" i="1"/>
  <c r="AH307" i="1"/>
  <c r="AI307" i="1"/>
  <c r="AH306" i="1"/>
  <c r="AI306" i="1"/>
  <c r="AH305" i="1"/>
  <c r="AI305" i="1"/>
  <c r="AH304" i="1"/>
  <c r="AI304" i="1"/>
  <c r="AH303" i="1"/>
  <c r="AI303" i="1"/>
  <c r="AH302" i="1"/>
  <c r="AI302" i="1"/>
  <c r="AH301" i="1"/>
  <c r="AI301" i="1"/>
  <c r="AH300" i="1"/>
  <c r="AI300" i="1"/>
  <c r="AH299" i="1"/>
  <c r="AI299" i="1"/>
  <c r="AH298" i="1"/>
  <c r="AI298" i="1"/>
  <c r="AH297" i="1"/>
  <c r="AI297" i="1"/>
  <c r="AH296" i="1"/>
  <c r="AI296" i="1"/>
  <c r="AH295" i="1"/>
  <c r="AI295" i="1"/>
  <c r="AH294" i="1"/>
  <c r="AI294" i="1"/>
  <c r="AH293" i="1"/>
  <c r="AI293" i="1"/>
  <c r="AH292" i="1"/>
  <c r="AI292" i="1"/>
  <c r="AH291" i="1"/>
  <c r="AI291" i="1"/>
  <c r="AH290" i="1"/>
  <c r="AI290" i="1"/>
  <c r="AH289" i="1"/>
  <c r="AI289" i="1"/>
  <c r="AH288" i="1"/>
  <c r="AI288" i="1"/>
  <c r="AH287" i="1"/>
  <c r="AI287" i="1"/>
  <c r="AH286" i="1"/>
  <c r="AI286" i="1"/>
  <c r="AH285" i="1"/>
  <c r="AI285" i="1"/>
  <c r="AH284" i="1"/>
  <c r="AI284" i="1"/>
  <c r="AH283" i="1"/>
  <c r="AI283" i="1"/>
  <c r="AH282" i="1"/>
  <c r="AI282" i="1"/>
  <c r="AH281" i="1"/>
  <c r="AI281" i="1"/>
  <c r="AH280" i="1"/>
  <c r="AI280" i="1"/>
  <c r="AH279" i="1"/>
  <c r="AI279" i="1"/>
  <c r="AH278" i="1"/>
  <c r="AI278" i="1"/>
  <c r="AH277" i="1"/>
  <c r="AI277" i="1"/>
  <c r="AH276" i="1"/>
  <c r="AI276" i="1"/>
  <c r="AH275" i="1"/>
  <c r="AI275" i="1"/>
  <c r="AH274" i="1"/>
  <c r="AI274" i="1"/>
  <c r="AH273" i="1"/>
  <c r="AI273" i="1"/>
  <c r="AH272" i="1"/>
  <c r="AI272" i="1"/>
  <c r="AH271" i="1"/>
  <c r="AI271" i="1"/>
  <c r="AH270" i="1"/>
  <c r="AI270" i="1"/>
  <c r="AH269" i="1"/>
  <c r="AI269" i="1"/>
  <c r="AH268" i="1"/>
  <c r="AI268" i="1"/>
  <c r="AH267" i="1"/>
  <c r="AI267" i="1"/>
  <c r="AH266" i="1"/>
  <c r="AI266" i="1"/>
  <c r="AH265" i="1"/>
  <c r="AI265" i="1"/>
  <c r="AH264" i="1"/>
  <c r="AI264" i="1"/>
  <c r="AH263" i="1"/>
  <c r="AI263" i="1"/>
  <c r="AH262" i="1"/>
  <c r="AI262" i="1"/>
  <c r="AH261" i="1"/>
  <c r="AI261" i="1"/>
  <c r="AH260" i="1"/>
  <c r="AI260" i="1"/>
  <c r="AH259" i="1"/>
  <c r="AI259" i="1"/>
  <c r="AH258" i="1"/>
  <c r="AI258" i="1"/>
  <c r="AH257" i="1"/>
  <c r="AI257" i="1"/>
  <c r="AH256" i="1"/>
  <c r="AI256" i="1"/>
  <c r="AH255" i="1"/>
  <c r="AI255" i="1"/>
  <c r="AH254" i="1"/>
  <c r="AI254" i="1"/>
  <c r="AH253" i="1"/>
  <c r="AI253" i="1"/>
  <c r="AH252" i="1"/>
  <c r="AI252" i="1"/>
  <c r="AH251" i="1"/>
  <c r="AI251" i="1"/>
  <c r="AH250" i="1"/>
  <c r="AI250" i="1"/>
  <c r="AH249" i="1"/>
  <c r="AI249" i="1"/>
  <c r="AH248" i="1"/>
  <c r="AI248" i="1"/>
  <c r="AH247" i="1"/>
  <c r="AI247" i="1"/>
  <c r="AH246" i="1"/>
  <c r="AI246" i="1"/>
  <c r="AH245" i="1"/>
  <c r="AI245" i="1"/>
  <c r="AH244" i="1"/>
  <c r="AI244" i="1"/>
  <c r="AH243" i="1"/>
  <c r="AI243" i="1"/>
  <c r="AH242" i="1"/>
  <c r="AI242" i="1"/>
  <c r="AH241" i="1"/>
  <c r="AI241" i="1"/>
  <c r="AH240" i="1"/>
  <c r="AI240" i="1"/>
  <c r="AH239" i="1"/>
  <c r="AI239" i="1"/>
  <c r="AH238" i="1"/>
  <c r="AI238" i="1"/>
  <c r="AH237" i="1"/>
  <c r="AI237" i="1"/>
  <c r="AH236" i="1"/>
  <c r="AI236" i="1"/>
  <c r="AH235" i="1"/>
  <c r="AI235" i="1"/>
  <c r="AH234" i="1"/>
  <c r="AI234" i="1"/>
  <c r="AH233" i="1"/>
  <c r="AI233" i="1"/>
  <c r="AH232" i="1"/>
  <c r="AI232" i="1"/>
  <c r="AH231" i="1"/>
  <c r="AI231" i="1"/>
  <c r="AH230" i="1"/>
  <c r="AI230" i="1"/>
  <c r="AH229" i="1"/>
  <c r="AI229" i="1"/>
  <c r="AH228" i="1"/>
  <c r="AI228" i="1"/>
  <c r="AH227" i="1"/>
  <c r="AI227" i="1"/>
  <c r="AH226" i="1"/>
  <c r="AI226" i="1"/>
  <c r="AH225" i="1"/>
  <c r="AI225" i="1"/>
  <c r="AH224" i="1"/>
  <c r="AI224" i="1"/>
  <c r="AH223" i="1"/>
  <c r="AI223" i="1"/>
  <c r="AH222" i="1"/>
  <c r="AI222" i="1"/>
  <c r="AH221" i="1"/>
  <c r="AI221" i="1"/>
  <c r="AH220" i="1"/>
  <c r="AI220" i="1"/>
  <c r="AH219" i="1"/>
  <c r="AI219" i="1"/>
  <c r="AH218" i="1"/>
  <c r="AI218" i="1"/>
  <c r="AH217" i="1"/>
  <c r="AI217" i="1"/>
  <c r="AH216" i="1"/>
  <c r="AI216" i="1"/>
  <c r="AH215" i="1"/>
  <c r="AI215" i="1"/>
  <c r="AH214" i="1"/>
  <c r="AI214" i="1"/>
  <c r="AH213" i="1"/>
  <c r="AI213" i="1"/>
  <c r="AH212" i="1"/>
  <c r="AI212" i="1"/>
  <c r="AH211" i="1"/>
  <c r="AI211" i="1"/>
  <c r="AH210" i="1"/>
  <c r="AI210" i="1"/>
  <c r="AH209" i="1"/>
  <c r="AI209" i="1"/>
  <c r="AH208" i="1"/>
  <c r="AI208" i="1"/>
  <c r="AH207" i="1"/>
  <c r="AI207" i="1"/>
  <c r="AH206" i="1"/>
  <c r="AI206" i="1"/>
  <c r="AH205" i="1"/>
  <c r="AI205" i="1"/>
  <c r="AH204" i="1"/>
  <c r="AI204" i="1"/>
  <c r="AH203" i="1"/>
  <c r="AI203" i="1"/>
  <c r="AH202" i="1"/>
  <c r="AI202" i="1"/>
  <c r="AH201" i="1"/>
  <c r="AI201" i="1"/>
  <c r="AH200" i="1"/>
  <c r="AI200" i="1"/>
  <c r="AH199" i="1"/>
  <c r="AI199" i="1"/>
  <c r="AH198" i="1"/>
  <c r="AI198" i="1"/>
  <c r="AH197" i="1"/>
  <c r="AI197" i="1"/>
  <c r="AH196" i="1"/>
  <c r="AI196" i="1"/>
  <c r="AH195" i="1"/>
  <c r="AI195" i="1"/>
  <c r="AH194" i="1"/>
  <c r="AI194" i="1"/>
  <c r="AH193" i="1"/>
  <c r="AI193" i="1"/>
  <c r="AH192" i="1"/>
  <c r="AI192" i="1"/>
  <c r="AH191" i="1"/>
  <c r="AI191" i="1"/>
  <c r="AH190" i="1"/>
  <c r="AI190" i="1"/>
  <c r="AH189" i="1"/>
  <c r="AI189" i="1"/>
  <c r="AH188" i="1"/>
  <c r="AI188" i="1"/>
  <c r="AH187" i="1"/>
  <c r="AI187" i="1"/>
  <c r="AH186" i="1"/>
  <c r="AI186" i="1"/>
  <c r="AH185" i="1"/>
  <c r="AI185" i="1"/>
  <c r="AH184" i="1"/>
  <c r="AI184" i="1"/>
  <c r="AH183" i="1"/>
  <c r="AI183" i="1"/>
  <c r="AH182" i="1"/>
  <c r="AI182" i="1"/>
  <c r="AH181" i="1"/>
  <c r="AI181" i="1"/>
  <c r="AH180" i="1"/>
  <c r="AI180" i="1"/>
  <c r="AH179" i="1"/>
  <c r="AI179" i="1"/>
  <c r="AH178" i="1"/>
  <c r="AI178" i="1"/>
  <c r="AH177" i="1"/>
  <c r="AI177" i="1"/>
  <c r="AH176" i="1"/>
  <c r="AI176" i="1"/>
  <c r="AH175" i="1"/>
  <c r="AI175" i="1"/>
  <c r="AH174" i="1"/>
  <c r="AI174" i="1"/>
  <c r="AH173" i="1"/>
  <c r="AI173" i="1"/>
  <c r="AH172" i="1"/>
  <c r="AI172" i="1"/>
  <c r="AH171" i="1"/>
  <c r="AI171" i="1"/>
  <c r="AH170" i="1"/>
  <c r="AI170" i="1"/>
  <c r="AH169" i="1"/>
  <c r="AI169" i="1"/>
  <c r="AH168" i="1"/>
  <c r="AI168" i="1"/>
  <c r="AH167" i="1"/>
  <c r="AI167" i="1"/>
  <c r="AH166" i="1"/>
  <c r="AI166" i="1"/>
  <c r="AH165" i="1"/>
  <c r="AI165" i="1"/>
  <c r="AH164" i="1"/>
  <c r="AI164" i="1"/>
  <c r="AH163" i="1"/>
  <c r="AI163" i="1"/>
  <c r="AH162" i="1"/>
  <c r="AI162" i="1"/>
  <c r="AH161" i="1"/>
  <c r="AI161" i="1"/>
  <c r="AH160" i="1"/>
  <c r="AI160" i="1"/>
  <c r="AH159" i="1"/>
  <c r="AI159" i="1"/>
  <c r="AH158" i="1"/>
  <c r="AI158" i="1"/>
  <c r="AH157" i="1"/>
  <c r="AI157" i="1"/>
  <c r="AH156" i="1"/>
  <c r="AI156" i="1"/>
  <c r="AH155" i="1"/>
  <c r="AI155" i="1"/>
  <c r="AH154" i="1"/>
  <c r="AI154" i="1"/>
  <c r="AH153" i="1"/>
  <c r="AI153" i="1"/>
  <c r="AH152" i="1"/>
  <c r="AI152" i="1"/>
  <c r="AH151" i="1"/>
  <c r="AI151" i="1"/>
  <c r="AH150" i="1"/>
  <c r="AI150" i="1"/>
  <c r="AH149" i="1"/>
  <c r="AI149" i="1"/>
  <c r="AH148" i="1"/>
  <c r="AI148" i="1"/>
  <c r="AH147" i="1"/>
  <c r="AI147" i="1"/>
  <c r="AH146" i="1"/>
  <c r="AI146" i="1"/>
  <c r="AH145" i="1"/>
  <c r="AI145" i="1"/>
  <c r="AH144" i="1"/>
  <c r="AI144" i="1"/>
  <c r="AH143" i="1"/>
  <c r="AI143" i="1"/>
  <c r="AH142" i="1"/>
  <c r="AI142" i="1"/>
  <c r="AH141" i="1"/>
  <c r="AI141" i="1"/>
  <c r="AH140" i="1"/>
  <c r="AI140" i="1"/>
  <c r="AH139" i="1"/>
  <c r="AI139" i="1"/>
  <c r="AH138" i="1"/>
  <c r="AI138" i="1"/>
  <c r="AH137" i="1"/>
  <c r="AI137" i="1"/>
  <c r="AH136" i="1"/>
  <c r="AI136" i="1"/>
  <c r="AH135" i="1"/>
  <c r="AI135" i="1"/>
  <c r="AH134" i="1"/>
  <c r="AI134" i="1"/>
  <c r="AH133" i="1"/>
  <c r="AI133" i="1"/>
  <c r="AH132" i="1"/>
  <c r="AI132" i="1"/>
  <c r="AH131" i="1"/>
  <c r="AI131" i="1"/>
  <c r="AH130" i="1"/>
  <c r="AI130" i="1"/>
  <c r="AH129" i="1"/>
  <c r="AI129" i="1"/>
  <c r="AH128" i="1"/>
  <c r="AI128" i="1"/>
  <c r="AH127" i="1"/>
  <c r="AI127" i="1"/>
  <c r="AH126" i="1"/>
  <c r="AI126" i="1"/>
  <c r="AH125" i="1"/>
  <c r="AI125" i="1"/>
  <c r="AH124" i="1"/>
  <c r="AI124" i="1"/>
  <c r="AH123" i="1"/>
  <c r="AI123" i="1"/>
  <c r="AH122" i="1"/>
  <c r="AI122" i="1"/>
  <c r="AH121" i="1"/>
  <c r="AI121" i="1"/>
  <c r="AH120" i="1"/>
  <c r="AI120" i="1"/>
  <c r="AH119" i="1"/>
  <c r="AI119" i="1"/>
  <c r="AH118" i="1"/>
  <c r="AI118" i="1"/>
  <c r="AH117" i="1"/>
  <c r="AI117" i="1"/>
  <c r="AH116" i="1"/>
  <c r="AI116" i="1"/>
  <c r="AH115" i="1"/>
  <c r="AI115" i="1"/>
  <c r="AH114" i="1"/>
  <c r="AI114" i="1"/>
  <c r="AH113" i="1"/>
  <c r="AI113" i="1"/>
  <c r="AH112" i="1"/>
  <c r="AI112" i="1"/>
  <c r="AH111" i="1"/>
  <c r="AI111" i="1"/>
  <c r="AH110" i="1"/>
  <c r="AI110" i="1"/>
  <c r="AH109" i="1"/>
  <c r="AI109" i="1"/>
  <c r="AH108" i="1"/>
  <c r="AI108" i="1"/>
  <c r="AH107" i="1"/>
  <c r="AI107" i="1"/>
  <c r="AH106" i="1"/>
  <c r="AI106" i="1"/>
  <c r="AH105" i="1"/>
  <c r="AI105" i="1"/>
  <c r="AH104" i="1"/>
  <c r="AI104" i="1"/>
  <c r="AH103" i="1"/>
  <c r="AI103" i="1"/>
  <c r="AH102" i="1"/>
  <c r="AI102" i="1"/>
  <c r="AH101" i="1"/>
  <c r="AI101" i="1"/>
  <c r="AH100" i="1"/>
  <c r="AI100" i="1"/>
  <c r="AH99" i="1"/>
  <c r="AI99" i="1"/>
  <c r="AH98" i="1"/>
  <c r="AI98" i="1"/>
  <c r="AH97" i="1"/>
  <c r="AI97" i="1"/>
  <c r="AH96" i="1"/>
  <c r="AI96" i="1"/>
  <c r="AH95" i="1"/>
  <c r="AI95" i="1"/>
  <c r="AH94" i="1"/>
  <c r="AI94" i="1"/>
  <c r="AH93" i="1"/>
  <c r="AI93" i="1"/>
  <c r="AH92" i="1"/>
  <c r="AI92" i="1"/>
  <c r="AH91" i="1"/>
  <c r="AI91" i="1"/>
  <c r="AH90" i="1"/>
  <c r="AI90" i="1"/>
  <c r="AH89" i="1"/>
  <c r="AI89" i="1"/>
  <c r="AH88" i="1"/>
  <c r="AI88" i="1"/>
  <c r="AH87" i="1"/>
  <c r="AI87" i="1"/>
  <c r="AH86" i="1"/>
  <c r="AI86" i="1"/>
  <c r="AH85" i="1"/>
  <c r="AI85" i="1"/>
  <c r="AH84" i="1"/>
  <c r="AI84" i="1"/>
  <c r="AH83" i="1"/>
  <c r="AI83" i="1"/>
  <c r="AH82" i="1"/>
  <c r="AI82" i="1"/>
  <c r="AH81" i="1"/>
  <c r="AI81" i="1"/>
  <c r="AH80" i="1"/>
  <c r="AI80" i="1"/>
  <c r="AH79" i="1"/>
  <c r="AI79" i="1"/>
  <c r="AH78" i="1"/>
  <c r="AI78" i="1"/>
  <c r="AH77" i="1"/>
  <c r="AI77" i="1"/>
  <c r="AH76" i="1"/>
  <c r="AI76" i="1"/>
  <c r="AH75" i="1"/>
  <c r="AI75" i="1"/>
  <c r="AH74" i="1"/>
  <c r="AI74" i="1"/>
  <c r="AH73" i="1"/>
  <c r="AI73" i="1"/>
  <c r="AH72" i="1"/>
  <c r="AI72" i="1"/>
  <c r="AH71" i="1"/>
  <c r="AI71" i="1"/>
  <c r="AH70" i="1"/>
  <c r="AI70" i="1"/>
  <c r="AH69" i="1"/>
  <c r="AI69" i="1"/>
  <c r="AH68" i="1"/>
  <c r="AI68" i="1"/>
  <c r="AH67" i="1"/>
  <c r="AI67" i="1"/>
  <c r="AH66" i="1"/>
  <c r="AI66" i="1"/>
  <c r="AH65" i="1"/>
  <c r="AI65" i="1"/>
  <c r="AH64" i="1"/>
  <c r="AI64" i="1"/>
  <c r="AH63" i="1"/>
  <c r="AI63" i="1"/>
  <c r="AH62" i="1"/>
  <c r="AI62" i="1"/>
  <c r="AH61" i="1"/>
  <c r="AI61" i="1"/>
  <c r="AH60" i="1"/>
  <c r="AI60" i="1"/>
  <c r="AH59" i="1"/>
  <c r="AI59" i="1"/>
  <c r="AH58" i="1"/>
  <c r="AI58" i="1"/>
  <c r="AH57" i="1"/>
  <c r="AI57" i="1"/>
  <c r="AH56" i="1"/>
  <c r="AI56" i="1"/>
  <c r="AH55" i="1"/>
  <c r="AI55" i="1"/>
  <c r="AH54" i="1"/>
  <c r="AI54" i="1"/>
  <c r="AH53" i="1"/>
  <c r="AI53" i="1"/>
  <c r="AH52" i="1"/>
  <c r="AI52" i="1"/>
  <c r="AH51" i="1"/>
  <c r="AI51" i="1"/>
  <c r="AH50" i="1"/>
  <c r="AI50" i="1"/>
  <c r="AH49" i="1"/>
  <c r="AI49" i="1"/>
  <c r="AH48" i="1"/>
  <c r="AI48" i="1"/>
  <c r="AH47" i="1"/>
  <c r="AI47" i="1"/>
  <c r="AH46" i="1"/>
  <c r="AI46" i="1"/>
  <c r="AH45" i="1"/>
  <c r="AI45" i="1"/>
  <c r="AH44" i="1"/>
  <c r="AI44" i="1"/>
  <c r="AH43" i="1"/>
  <c r="AI43" i="1"/>
  <c r="AH42" i="1"/>
  <c r="AI42" i="1"/>
  <c r="AH41" i="1"/>
  <c r="AI41" i="1"/>
  <c r="AH40" i="1"/>
  <c r="AI40" i="1"/>
  <c r="AH39" i="1"/>
  <c r="AI39" i="1"/>
  <c r="AH38" i="1"/>
  <c r="AI38" i="1"/>
  <c r="AH37" i="1"/>
  <c r="AI37" i="1"/>
  <c r="AH36" i="1"/>
  <c r="AI36" i="1"/>
  <c r="AH35" i="1"/>
  <c r="AI35" i="1"/>
  <c r="AH34" i="1"/>
  <c r="AI34" i="1"/>
  <c r="AH33" i="1"/>
  <c r="AI33" i="1"/>
  <c r="AH32" i="1"/>
  <c r="AI32" i="1"/>
  <c r="AH31" i="1"/>
  <c r="AI31" i="1"/>
  <c r="AH30" i="1"/>
  <c r="AI30" i="1"/>
  <c r="AH29" i="1"/>
  <c r="AI29" i="1"/>
  <c r="AH28" i="1"/>
  <c r="AI28" i="1"/>
  <c r="AH27" i="1"/>
  <c r="AI27" i="1"/>
  <c r="AH26" i="1"/>
  <c r="AI26" i="1"/>
  <c r="AH25" i="1"/>
  <c r="AI25" i="1"/>
  <c r="AH24" i="1"/>
  <c r="AI24" i="1"/>
  <c r="G18" i="1"/>
  <c r="I18" i="1"/>
  <c r="E17" i="1"/>
  <c r="G17" i="1"/>
  <c r="I17" i="1"/>
  <c r="E16" i="1"/>
  <c r="G16" i="1"/>
  <c r="I16" i="1"/>
  <c r="E15" i="1"/>
  <c r="G15" i="1"/>
  <c r="I15" i="1"/>
  <c r="E14" i="1"/>
  <c r="G14" i="1"/>
  <c r="I14" i="1"/>
  <c r="E13" i="1"/>
  <c r="G13" i="1"/>
  <c r="I13" i="1"/>
  <c r="E12" i="1"/>
  <c r="G12" i="1"/>
  <c r="I12" i="1"/>
  <c r="E11" i="1"/>
  <c r="G11" i="1"/>
  <c r="I11" i="1"/>
  <c r="E10" i="1"/>
  <c r="G10" i="1"/>
  <c r="I10" i="1"/>
  <c r="E9" i="1"/>
  <c r="G9" i="1"/>
  <c r="I9" i="1"/>
  <c r="E8" i="1"/>
  <c r="G8" i="1"/>
  <c r="I8" i="1"/>
  <c r="E7" i="1"/>
  <c r="G7" i="1"/>
  <c r="I7" i="1"/>
  <c r="E6" i="1"/>
  <c r="G6" i="1"/>
  <c r="I6" i="1"/>
  <c r="E5" i="1"/>
  <c r="G5" i="1"/>
  <c r="I5" i="1"/>
  <c r="E4" i="1"/>
  <c r="H16" i="2"/>
  <c r="F16" i="2"/>
  <c r="C16" i="2"/>
  <c r="A16" i="2"/>
  <c r="H15" i="2"/>
  <c r="F15" i="2"/>
  <c r="C15" i="2"/>
  <c r="A15" i="2"/>
  <c r="H14" i="2"/>
  <c r="F14" i="2"/>
  <c r="C14" i="2"/>
  <c r="A14" i="2"/>
  <c r="H13" i="2"/>
  <c r="F13" i="2"/>
  <c r="C13" i="2"/>
  <c r="A13" i="2"/>
  <c r="H12" i="2"/>
  <c r="F12" i="2"/>
  <c r="C12" i="2"/>
  <c r="A12" i="2"/>
  <c r="H11" i="2"/>
  <c r="F11" i="2"/>
  <c r="C11" i="2"/>
  <c r="A11" i="2"/>
  <c r="H10" i="2"/>
  <c r="F10" i="2"/>
  <c r="C10" i="2"/>
  <c r="A10" i="2"/>
  <c r="H9" i="2"/>
  <c r="F9" i="2"/>
  <c r="C9" i="2"/>
  <c r="A9" i="2"/>
  <c r="H8" i="2"/>
  <c r="F8" i="2"/>
  <c r="C8" i="2"/>
  <c r="A8" i="2"/>
  <c r="H7" i="2"/>
  <c r="F7" i="2"/>
  <c r="C7" i="2"/>
  <c r="A7" i="2"/>
  <c r="H6" i="2"/>
  <c r="F6" i="2"/>
  <c r="C6" i="2"/>
  <c r="A6" i="2"/>
  <c r="H5" i="2"/>
  <c r="F5" i="2"/>
  <c r="C5" i="2"/>
  <c r="A5" i="2"/>
  <c r="H4" i="2"/>
  <c r="F4" i="2"/>
  <c r="C4" i="2"/>
  <c r="A4" i="2"/>
  <c r="H3" i="2"/>
  <c r="F3" i="2"/>
  <c r="C3" i="2"/>
  <c r="A3" i="2"/>
  <c r="H2" i="2"/>
  <c r="F2" i="2"/>
  <c r="C2" i="2"/>
  <c r="A2" i="2"/>
  <c r="I1" i="2"/>
  <c r="H1" i="2"/>
  <c r="G1" i="2"/>
  <c r="D1" i="2"/>
  <c r="C1" i="2"/>
  <c r="B1" i="2"/>
  <c r="G4" i="1"/>
  <c r="I4" i="1"/>
  <c r="B15" i="2"/>
  <c r="G15" i="2"/>
  <c r="G13" i="2"/>
  <c r="D5" i="2"/>
  <c r="D16" i="2"/>
  <c r="G7" i="2"/>
  <c r="D11" i="2"/>
  <c r="B11" i="2"/>
  <c r="G16" i="2"/>
  <c r="B2" i="2"/>
  <c r="D2" i="2"/>
  <c r="D15" i="2"/>
  <c r="G2" i="2"/>
  <c r="G9" i="2"/>
  <c r="B5" i="2"/>
  <c r="G6" i="2"/>
  <c r="I4" i="2"/>
  <c r="G4" i="2"/>
  <c r="G12" i="2"/>
  <c r="I15" i="2"/>
  <c r="I13" i="2"/>
  <c r="B16" i="2"/>
  <c r="I12" i="2"/>
  <c r="G3" i="2"/>
  <c r="B6" i="2"/>
  <c r="D6" i="2"/>
  <c r="B13" i="2"/>
  <c r="D13" i="2"/>
  <c r="B3" i="2"/>
  <c r="D3" i="2"/>
  <c r="G10" i="2"/>
  <c r="B9" i="2"/>
  <c r="D9" i="2"/>
  <c r="I7" i="2"/>
  <c r="D4" i="2"/>
  <c r="B4" i="2"/>
  <c r="I9" i="2"/>
  <c r="B7" i="2"/>
  <c r="D7" i="2"/>
  <c r="I16" i="2"/>
  <c r="G14" i="2"/>
  <c r="G8" i="2"/>
  <c r="D10" i="2"/>
  <c r="B10" i="2"/>
  <c r="I2" i="2"/>
  <c r="D12" i="2"/>
  <c r="B12" i="2"/>
  <c r="D8" i="2"/>
  <c r="B8" i="2"/>
  <c r="G11" i="2"/>
  <c r="G5" i="2"/>
  <c r="I6" i="2"/>
  <c r="B14" i="2"/>
  <c r="D14" i="2"/>
  <c r="I11" i="2"/>
  <c r="I10" i="2"/>
  <c r="I5" i="2"/>
  <c r="I8" i="2"/>
  <c r="I14" i="2"/>
  <c r="I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<sst xmlns="http://schemas.openxmlformats.org/spreadsheetml/2006/main" count="596" uniqueCount="62">
  <si>
    <t>Spot Date</t>
  </si>
  <si>
    <t>Date</t>
  </si>
  <si>
    <t>Spot</t>
  </si>
  <si>
    <t>Days to FND</t>
  </si>
  <si>
    <t>Swap Rate</t>
  </si>
  <si>
    <t>First Notice Day</t>
  </si>
  <si>
    <t>FUT_NOTICE_FIRST</t>
  </si>
  <si>
    <t>FUT_DLV_DT_FIRST</t>
  </si>
  <si>
    <t>First Delivery Date</t>
  </si>
  <si>
    <t>Days to FDD</t>
  </si>
  <si>
    <t>Implied in Cents</t>
  </si>
  <si>
    <t>EFP in cents</t>
  </si>
  <si>
    <t>Discount/Prem in Cents</t>
  </si>
  <si>
    <t>Swap Implied EFP</t>
  </si>
  <si>
    <t>Traded EFP</t>
  </si>
  <si>
    <t>XAU in $</t>
  </si>
  <si>
    <t>XAG in Cents</t>
  </si>
  <si>
    <t>x</t>
  </si>
  <si>
    <t>d</t>
  </si>
  <si>
    <t>Nearby Contract Discount/Premium EFP over Swaps</t>
  </si>
  <si>
    <t>$4 - 50% of Uncovered Position Outside Nearby</t>
  </si>
  <si>
    <t>$6 - 75% of Uncovered Position Outside Nearby</t>
  </si>
  <si>
    <t>$8 - 100% of Uncovered Position Outside Nearby</t>
  </si>
  <si>
    <t>Nearby Contract/Premium EFP over Swaps</t>
  </si>
  <si>
    <t>15c - Call to Assess Market Dynamics, Possible Sourcing Requirements, and Available Liquidity/Stock</t>
  </si>
  <si>
    <t>25c for 5 Consecutive Business Days - 100% Cover, 50% Utilisation from 1st and 2nd Active Contract</t>
  </si>
  <si>
    <t>20c for 5 Consecutive Business Days - 75% Cover, 50% Utilisation from 1st Active Contract</t>
  </si>
  <si>
    <t>Gold Active Contract</t>
  </si>
  <si>
    <t>Silver Active Contract</t>
  </si>
  <si>
    <t>Gold Aggregate OI</t>
  </si>
  <si>
    <t>Gold Aggregate OI (oz)</t>
  </si>
  <si>
    <t>Silver OI Contract</t>
  </si>
  <si>
    <t>Silver OI (oz)</t>
  </si>
  <si>
    <t>Silver COMEX Stocks</t>
  </si>
  <si>
    <t>Silver OI ('000 oz)</t>
  </si>
  <si>
    <t>Stocks/Agg OI</t>
  </si>
  <si>
    <t>Gold COMEX Stocks (oz)</t>
  </si>
  <si>
    <t>Silver COMEX Stocks ('000 oz)</t>
  </si>
  <si>
    <t xml:space="preserve">Stock/
Agg OI </t>
  </si>
  <si>
    <t>GCG4 Comdty</t>
  </si>
  <si>
    <t>SIG4 Comdty</t>
  </si>
  <si>
    <t>GCK4 Comdty</t>
  </si>
  <si>
    <t>SIK4 Comdty</t>
  </si>
  <si>
    <t>GCM4 Comdty</t>
  </si>
  <si>
    <t>SIM4 Comdty</t>
  </si>
  <si>
    <t>GCZ4 Comdty</t>
  </si>
  <si>
    <t>SIZ4 Comdty</t>
  </si>
  <si>
    <t>GCG5 Comdty</t>
  </si>
  <si>
    <t>SIH5 Comdty</t>
  </si>
  <si>
    <t>GCJ5 Comdty</t>
  </si>
  <si>
    <t>SIK5 Comdty</t>
  </si>
  <si>
    <t>GCM5 Comdty</t>
  </si>
  <si>
    <t>GCQ5 Comdty</t>
  </si>
  <si>
    <t>SIN5 Comdty</t>
  </si>
  <si>
    <t>SIU5 Comdty</t>
  </si>
  <si>
    <t>GCM24 Comdty</t>
  </si>
  <si>
    <t>SIM24 Comdty</t>
  </si>
  <si>
    <t>SIN24 Comdty</t>
  </si>
  <si>
    <t>GCM25 Comdty</t>
  </si>
  <si>
    <t xml:space="preserve">I </t>
  </si>
  <si>
    <t>GCZ5 Comdty</t>
  </si>
  <si>
    <t>GCQ24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</si>
</sst>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000"/>
    <numFmt numFmtId="166" formatCode="0.000"/>
    <numFmt numFmtId="167" formatCode="_-* #,##0_-;\-* #,##0_-;_-* &quot;-&quot;??_-;_-@_-"/>
    <numFmt numFmtId="168" formatCode="0.0%"/>
  </numFmts>
  <fonts count="5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48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19">
    <xf numFmtId="0" fontId="0" fillId="0" borderId="0" xfId="0"/>
    <xf numFmtId="14" fontId="0" fillId="0" borderId="0" xfId="0" applyNumberFormat="1"/>
    <xf numFmtId="14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2" fontId="49" fillId="2" borderId="0" xfId="0" applyNumberFormat="1" applyFont="1" applyFill="1"/>
    <xf numFmtId="166" fontId="49" fillId="2" borderId="0" xfId="0" applyNumberFormat="1" applyFont="1" applyFill="1"/>
    <xf numFmtId="2" fontId="0" fillId="0" borderId="0" xfId="0" applyNumberFormat="1" applyAlignment="1">
      <alignment horizontal="center"/>
    </xf>
    <xf numFmtId="14" fontId="0" fillId="0" borderId="3" xfId="0" applyNumberFormat="1" applyBorder="1"/>
    <xf numFmtId="0" fontId="50" fillId="0" borderId="1" xfId="0" applyFont="1" applyBorder="1" applyAlignment="1">
      <alignment horizontal="center" wrapText="1"/>
    </xf>
    <xf numFmtId="0" fontId="50" fillId="0" borderId="2" xfId="0" applyFont="1" applyBorder="1" applyAlignment="1">
      <alignment horizontal="center" wrapText="1"/>
    </xf>
    <xf numFmtId="165" fontId="0" fillId="0" borderId="0" xfId="1" applyNumberFormat="1" applyFont="1"/>
    <xf numFmtId="0" fontId="0" fillId="3" borderId="0" xfId="0" applyFill="1"/>
    <xf numFmtId="10" fontId="0" fillId="3" borderId="0" xfId="0" applyNumberFormat="1" applyFill="1"/>
    <xf numFmtId="10" fontId="0" fillId="3" borderId="0" xfId="1" applyNumberFormat="1" applyFont="1" applyFill="1"/>
    <xf numFmtId="0" fontId="0" fillId="0" borderId="0" xfId="0"/>
    <xf numFmtId="14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2" fontId="49" fillId="2" borderId="0" xfId="0" applyNumberFormat="1" applyFont="1" applyFill="1"/>
    <xf numFmtId="166" fontId="49" fillId="2" borderId="0" xfId="0" applyNumberFormat="1" applyFont="1" applyFill="1"/>
    <xf numFmtId="165" fontId="0" fillId="0" borderId="0" xfId="1" applyNumberFormat="1" applyFont="1"/>
    <xf numFmtId="0" fontId="0" fillId="3" borderId="0" xfId="0" applyFill="1"/>
    <xf numFmtId="10" fontId="0" fillId="3" borderId="0" xfId="0" applyNumberFormat="1" applyFill="1"/>
    <xf numFmtId="14" fontId="0" fillId="3" borderId="0" xfId="0" applyNumberFormat="1" applyFill="1"/>
    <xf numFmtId="14" fontId="0" fillId="0" borderId="0" xfId="0" applyNumberFormat="1" applyFont="1"/>
    <xf numFmtId="0" fontId="0" fillId="0" borderId="0" xfId="0" applyFont="1"/>
    <xf numFmtId="10" fontId="0" fillId="3" borderId="0" xfId="0" applyNumberFormat="1" applyFont="1" applyFill="1"/>
    <xf numFmtId="2" fontId="48" fillId="0" borderId="0" xfId="1" applyNumberFormat="1" applyFont="1"/>
    <xf numFmtId="0" fontId="0" fillId="3" borderId="0" xfId="0" applyFont="1" applyFill="1"/>
    <xf numFmtId="2" fontId="47" fillId="2" borderId="0" xfId="0" applyNumberFormat="1" applyFont="1" applyFill="1"/>
    <xf numFmtId="2" fontId="46" fillId="2" borderId="0" xfId="0" applyNumberFormat="1" applyFont="1" applyFill="1"/>
    <xf numFmtId="2" fontId="45" fillId="2" borderId="0" xfId="0" applyNumberFormat="1" applyFont="1" applyFill="1"/>
    <xf numFmtId="2" fontId="44" fillId="2" borderId="0" xfId="0" applyNumberFormat="1" applyFont="1" applyFill="1"/>
    <xf numFmtId="2" fontId="43" fillId="2" borderId="0" xfId="0" applyNumberFormat="1" applyFont="1" applyFill="1"/>
    <xf numFmtId="166" fontId="43" fillId="2" borderId="0" xfId="0" applyNumberFormat="1" applyFont="1" applyFill="1"/>
    <xf numFmtId="2" fontId="42" fillId="2" borderId="0" xfId="0" applyNumberFormat="1" applyFont="1" applyFill="1"/>
    <xf numFmtId="166" fontId="42" fillId="2" borderId="0" xfId="0" applyNumberFormat="1" applyFont="1" applyFill="1"/>
    <xf numFmtId="2" fontId="41" fillId="2" borderId="0" xfId="0" applyNumberFormat="1" applyFont="1" applyFill="1"/>
    <xf numFmtId="166" fontId="41" fillId="2" borderId="0" xfId="0" applyNumberFormat="1" applyFont="1" applyFill="1"/>
    <xf numFmtId="2" fontId="40" fillId="2" borderId="0" xfId="0" applyNumberFormat="1" applyFont="1" applyFill="1"/>
    <xf numFmtId="2" fontId="39" fillId="2" borderId="0" xfId="0" applyNumberFormat="1" applyFont="1" applyFill="1"/>
    <xf numFmtId="2" fontId="38" fillId="2" borderId="0" xfId="0" applyNumberFormat="1" applyFont="1" applyFill="1"/>
    <xf numFmtId="166" fontId="38" fillId="2" borderId="0" xfId="0" applyNumberFormat="1" applyFont="1" applyFill="1"/>
    <xf numFmtId="164" fontId="0" fillId="0" borderId="0" xfId="2" applyFont="1"/>
    <xf numFmtId="9" fontId="0" fillId="0" borderId="0" xfId="1" applyFont="1"/>
    <xf numFmtId="164" fontId="0" fillId="0" borderId="0" xfId="0" applyNumberFormat="1"/>
    <xf numFmtId="167" fontId="0" fillId="0" borderId="0" xfId="2" applyNumberFormat="1" applyFont="1"/>
    <xf numFmtId="168" fontId="0" fillId="0" borderId="0" xfId="1" applyNumberFormat="1" applyFont="1"/>
    <xf numFmtId="2" fontId="37" fillId="2" borderId="0" xfId="0" applyNumberFormat="1" applyFont="1" applyFill="1"/>
    <xf numFmtId="166" fontId="37" fillId="2" borderId="0" xfId="0" applyNumberFormat="1" applyFont="1" applyFill="1"/>
    <xf numFmtId="2" fontId="36" fillId="2" borderId="0" xfId="0" applyNumberFormat="1" applyFont="1" applyFill="1"/>
    <xf numFmtId="166" fontId="36" fillId="2" borderId="0" xfId="0" applyNumberFormat="1" applyFont="1" applyFill="1"/>
    <xf numFmtId="2" fontId="35" fillId="2" borderId="0" xfId="0" applyNumberFormat="1" applyFont="1" applyFill="1"/>
    <xf numFmtId="166" fontId="35" fillId="2" borderId="0" xfId="0" applyNumberFormat="1" applyFont="1" applyFill="1"/>
    <xf numFmtId="2" fontId="34" fillId="2" borderId="0" xfId="0" applyNumberFormat="1" applyFont="1" applyFill="1"/>
    <xf numFmtId="166" fontId="34" fillId="2" borderId="0" xfId="0" applyNumberFormat="1" applyFont="1" applyFill="1"/>
    <xf numFmtId="2" fontId="33" fillId="2" borderId="0" xfId="0" applyNumberFormat="1" applyFont="1" applyFill="1"/>
    <xf numFmtId="166" fontId="33" fillId="2" borderId="0" xfId="0" applyNumberFormat="1" applyFont="1" applyFill="1"/>
    <xf numFmtId="166" fontId="32" fillId="2" borderId="0" xfId="0" applyNumberFormat="1" applyFont="1" applyFill="1"/>
    <xf numFmtId="2" fontId="31" fillId="2" borderId="0" xfId="0" applyNumberFormat="1" applyFont="1" applyFill="1"/>
    <xf numFmtId="2" fontId="30" fillId="2" borderId="0" xfId="0" applyNumberFormat="1" applyFont="1" applyFill="1"/>
    <xf numFmtId="166" fontId="30" fillId="2" borderId="0" xfId="0" applyNumberFormat="1" applyFont="1" applyFill="1"/>
    <xf numFmtId="2" fontId="29" fillId="2" borderId="0" xfId="0" applyNumberFormat="1" applyFont="1" applyFill="1"/>
    <xf numFmtId="2" fontId="28" fillId="2" borderId="0" xfId="0" applyNumberFormat="1" applyFont="1" applyFill="1"/>
    <xf numFmtId="2" fontId="27" fillId="2" borderId="0" xfId="0" applyNumberFormat="1" applyFont="1" applyFill="1"/>
    <xf numFmtId="166" fontId="27" fillId="2" borderId="0" xfId="0" applyNumberFormat="1" applyFont="1" applyFill="1"/>
    <xf numFmtId="2" fontId="26" fillId="2" borderId="0" xfId="0" applyNumberFormat="1" applyFont="1" applyFill="1"/>
    <xf numFmtId="166" fontId="26" fillId="2" borderId="0" xfId="0" applyNumberFormat="1" applyFont="1" applyFill="1"/>
    <xf numFmtId="2" fontId="25" fillId="2" borderId="0" xfId="0" applyNumberFormat="1" applyFont="1" applyFill="1"/>
    <xf numFmtId="166" fontId="25" fillId="2" borderId="0" xfId="0" applyNumberFormat="1" applyFont="1" applyFill="1"/>
    <xf numFmtId="14" fontId="0" fillId="3" borderId="0" xfId="0" applyNumberFormat="1" applyFill="1"/>
    <xf numFmtId="2" fontId="24" fillId="2" borderId="0" xfId="0" applyNumberFormat="1" applyFont="1" applyFill="1"/>
    <xf numFmtId="166" fontId="24" fillId="2" borderId="0" xfId="0" applyNumberFormat="1" applyFont="1" applyFill="1"/>
    <xf numFmtId="0" fontId="0" fillId="4" borderId="0" xfId="0" applyFill="1"/>
    <xf numFmtId="0" fontId="0" fillId="4" borderId="0" xfId="0" applyFill="1" applyAlignment="1">
      <alignment wrapText="1"/>
    </xf>
    <xf numFmtId="2" fontId="23" fillId="2" borderId="0" xfId="0" applyNumberFormat="1" applyFont="1" applyFill="1"/>
    <xf numFmtId="166" fontId="23" fillId="2" borderId="0" xfId="0" applyNumberFormat="1" applyFont="1" applyFill="1"/>
    <xf numFmtId="2" fontId="22" fillId="2" borderId="0" xfId="0" applyNumberFormat="1" applyFont="1" applyFill="1"/>
    <xf numFmtId="2" fontId="21" fillId="2" borderId="0" xfId="0" applyNumberFormat="1" applyFont="1" applyFill="1"/>
    <xf numFmtId="166" fontId="21" fillId="2" borderId="0" xfId="0" applyNumberFormat="1" applyFont="1" applyFill="1"/>
    <xf numFmtId="2" fontId="20" fillId="2" borderId="0" xfId="0" applyNumberFormat="1" applyFont="1" applyFill="1"/>
    <xf numFmtId="166" fontId="20" fillId="2" borderId="0" xfId="0" applyNumberFormat="1" applyFont="1" applyFill="1"/>
    <xf numFmtId="166" fontId="0" fillId="3" borderId="0" xfId="0" applyNumberFormat="1" applyFill="1"/>
    <xf numFmtId="2" fontId="19" fillId="2" borderId="0" xfId="0" applyNumberFormat="1" applyFont="1" applyFill="1"/>
    <xf numFmtId="166" fontId="19" fillId="2" borderId="0" xfId="0" applyNumberFormat="1" applyFont="1" applyFill="1"/>
    <xf numFmtId="2" fontId="18" fillId="2" borderId="0" xfId="0" applyNumberFormat="1" applyFont="1" applyFill="1"/>
    <xf numFmtId="166" fontId="18" fillId="2" borderId="0" xfId="0" applyNumberFormat="1" applyFont="1" applyFill="1"/>
    <xf numFmtId="2" fontId="17" fillId="2" borderId="0" xfId="0" applyNumberFormat="1" applyFont="1" applyFill="1"/>
    <xf numFmtId="166" fontId="17" fillId="2" borderId="0" xfId="0" applyNumberFormat="1" applyFont="1" applyFill="1"/>
    <xf numFmtId="2" fontId="16" fillId="2" borderId="0" xfId="0" applyNumberFormat="1" applyFont="1" applyFill="1"/>
    <xf numFmtId="2" fontId="15" fillId="2" borderId="0" xfId="0" applyNumberFormat="1" applyFont="1" applyFill="1"/>
    <xf numFmtId="166" fontId="15" fillId="2" borderId="0" xfId="0" applyNumberFormat="1" applyFont="1" applyFill="1"/>
    <xf numFmtId="2" fontId="14" fillId="2" borderId="0" xfId="0" applyNumberFormat="1" applyFont="1" applyFill="1"/>
    <xf numFmtId="2" fontId="13" fillId="2" borderId="0" xfId="0" applyNumberFormat="1" applyFont="1" applyFill="1"/>
    <xf numFmtId="166" fontId="13" fillId="2" borderId="0" xfId="0" applyNumberFormat="1" applyFont="1" applyFill="1"/>
    <xf numFmtId="2" fontId="12" fillId="2" borderId="0" xfId="0" applyNumberFormat="1" applyFont="1" applyFill="1"/>
    <xf numFmtId="166" fontId="12" fillId="2" borderId="0" xfId="0" applyNumberFormat="1" applyFont="1" applyFill="1"/>
    <xf numFmtId="2" fontId="11" fillId="2" borderId="0" xfId="0" applyNumberFormat="1" applyFont="1" applyFill="1"/>
    <xf numFmtId="2" fontId="10" fillId="2" borderId="0" xfId="0" applyNumberFormat="1" applyFont="1" applyFill="1"/>
    <xf numFmtId="166" fontId="10" fillId="2" borderId="0" xfId="0" applyNumberFormat="1" applyFont="1" applyFill="1"/>
    <xf numFmtId="2" fontId="9" fillId="2" borderId="0" xfId="0" applyNumberFormat="1" applyFont="1" applyFill="1"/>
    <xf numFmtId="166" fontId="9" fillId="2" borderId="0" xfId="0" applyNumberFormat="1" applyFont="1" applyFill="1"/>
    <xf numFmtId="166" fontId="8" fillId="2" borderId="0" xfId="0" applyNumberFormat="1" applyFont="1" applyFill="1"/>
    <xf numFmtId="2" fontId="8" fillId="2" borderId="0" xfId="0" applyNumberFormat="1" applyFont="1" applyFill="1"/>
    <xf numFmtId="2" fontId="7" fillId="2" borderId="0" xfId="0" applyNumberFormat="1" applyFont="1" applyFill="1"/>
    <xf numFmtId="0" fontId="0" fillId="0" borderId="0" xfId="0" applyNumberFormat="1"/>
    <xf numFmtId="2" fontId="6" fillId="2" borderId="0" xfId="0" applyNumberFormat="1" applyFont="1" applyFill="1"/>
    <xf numFmtId="166" fontId="6" fillId="2" borderId="0" xfId="0" applyNumberFormat="1" applyFont="1" applyFill="1"/>
    <xf numFmtId="14" fontId="0" fillId="3" borderId="0" xfId="0" applyNumberFormat="1" applyFill="1"/>
    <xf numFmtId="2" fontId="5" fillId="2" borderId="0" xfId="0" applyNumberFormat="1" applyFont="1" applyFill="1"/>
    <xf numFmtId="166" fontId="5" fillId="2" borderId="0" xfId="0" applyNumberFormat="1" applyFont="1" applyFill="1"/>
    <xf numFmtId="2" fontId="4" fillId="2" borderId="0" xfId="0" applyNumberFormat="1" applyFont="1" applyFill="1"/>
    <xf numFmtId="2" fontId="3" fillId="2" borderId="0" xfId="0" applyNumberFormat="1" applyFont="1" applyFill="1"/>
    <xf numFmtId="166" fontId="3" fillId="2" borderId="0" xfId="0" applyNumberFormat="1" applyFont="1" applyFill="1"/>
    <xf numFmtId="2" fontId="2" fillId="2" borderId="0" xfId="0" applyNumberFormat="1" applyFont="1" applyFill="1"/>
    <xf numFmtId="166" fontId="2" fillId="2" borderId="0" xfId="0" applyNumberFormat="1" applyFont="1" applyFill="1"/>
    <xf numFmtId="2" fontId="1" fillId="2" borderId="0" xfId="0" applyNumberFormat="1" applyFont="1" applyFill="1"/>
    <xf numFmtId="166" fontId="1" fillId="2" borderId="0" xfId="0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6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XAU COMEX Stocks VS GCA Aggregate OI (oz) as of 11.07.25</a:t>
            </a:r>
          </a:p>
        </c:rich>
      </c:tx>
      <c:layout>
        <c:manualLayout>
          <c:xMode val="edge"/>
          <c:yMode val="edge"/>
          <c:x val="0.31832618223738457"/>
          <c:y val="4.32802621897836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83150355357277E-2"/>
          <c:y val="8.9713424585445831E-2"/>
          <c:w val="0.84026428353192795"/>
          <c:h val="0.76743323499220506"/>
        </c:manualLayout>
      </c:layout>
      <c:areaChart>
        <c:grouping val="standard"/>
        <c:varyColors val="0"/>
        <c:ser>
          <c:idx val="0"/>
          <c:order val="0"/>
          <c:tx>
            <c:strRef>
              <c:f>Info!$AE$1</c:f>
              <c:strCache>
                <c:ptCount val="1"/>
                <c:pt idx="0">
                  <c:v>Gold COMEX Stocks (oz)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Info!$A$275:$A$647</c15:sqref>
                  </c15:fullRef>
                </c:ext>
              </c:extLst>
              <c:f>(Info!$A$275:$A$283,Info!$A$285:$A$647)</c:f>
              <c:numCache>
                <c:formatCode>m/d/yy</c:formatCode>
                <c:ptCount val="37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45404</c:v>
                </c:pt>
                <c:pt idx="76">
                  <c:v>45405</c:v>
                </c:pt>
                <c:pt idx="77">
                  <c:v>45406</c:v>
                </c:pt>
                <c:pt idx="78">
                  <c:v>45407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45462</c:v>
                </c:pt>
                <c:pt idx="118">
                  <c:v>45463</c:v>
                </c:pt>
                <c:pt idx="119">
                  <c:v>45464</c:v>
                </c:pt>
                <c:pt idx="120">
                  <c:v>45467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45474</c:v>
                </c:pt>
                <c:pt idx="126">
                  <c:v>45475</c:v>
                </c:pt>
                <c:pt idx="127">
                  <c:v>45476</c:v>
                </c:pt>
                <c:pt idx="128">
                  <c:v>45477</c:v>
                </c:pt>
                <c:pt idx="129">
                  <c:v>45478</c:v>
                </c:pt>
                <c:pt idx="130">
                  <c:v>45481</c:v>
                </c:pt>
                <c:pt idx="131">
                  <c:v>45482</c:v>
                </c:pt>
                <c:pt idx="132">
                  <c:v>45483</c:v>
                </c:pt>
                <c:pt idx="133">
                  <c:v>45484</c:v>
                </c:pt>
                <c:pt idx="134">
                  <c:v>45485</c:v>
                </c:pt>
                <c:pt idx="135">
                  <c:v>45488</c:v>
                </c:pt>
                <c:pt idx="136">
                  <c:v>45489</c:v>
                </c:pt>
                <c:pt idx="137">
                  <c:v>45490</c:v>
                </c:pt>
                <c:pt idx="138">
                  <c:v>45491</c:v>
                </c:pt>
                <c:pt idx="139">
                  <c:v>45492</c:v>
                </c:pt>
                <c:pt idx="140">
                  <c:v>45495</c:v>
                </c:pt>
                <c:pt idx="141">
                  <c:v>45496</c:v>
                </c:pt>
                <c:pt idx="142">
                  <c:v>45497</c:v>
                </c:pt>
                <c:pt idx="143">
                  <c:v>45498</c:v>
                </c:pt>
                <c:pt idx="144">
                  <c:v>45499</c:v>
                </c:pt>
                <c:pt idx="145">
                  <c:v>45502</c:v>
                </c:pt>
                <c:pt idx="146">
                  <c:v>45503</c:v>
                </c:pt>
                <c:pt idx="147">
                  <c:v>45504</c:v>
                </c:pt>
                <c:pt idx="148">
                  <c:v>45505</c:v>
                </c:pt>
                <c:pt idx="149">
                  <c:v>45506</c:v>
                </c:pt>
                <c:pt idx="150">
                  <c:v>45509</c:v>
                </c:pt>
                <c:pt idx="151">
                  <c:v>45510</c:v>
                </c:pt>
                <c:pt idx="152">
                  <c:v>45511</c:v>
                </c:pt>
                <c:pt idx="153">
                  <c:v>45512</c:v>
                </c:pt>
                <c:pt idx="154">
                  <c:v>45513</c:v>
                </c:pt>
                <c:pt idx="155">
                  <c:v>45516</c:v>
                </c:pt>
                <c:pt idx="156">
                  <c:v>45517</c:v>
                </c:pt>
                <c:pt idx="157">
                  <c:v>45518</c:v>
                </c:pt>
                <c:pt idx="158">
                  <c:v>45519</c:v>
                </c:pt>
                <c:pt idx="159">
                  <c:v>45520</c:v>
                </c:pt>
                <c:pt idx="160">
                  <c:v>45523</c:v>
                </c:pt>
                <c:pt idx="161">
                  <c:v>45524</c:v>
                </c:pt>
                <c:pt idx="162">
                  <c:v>45525</c:v>
                </c:pt>
                <c:pt idx="163">
                  <c:v>45526</c:v>
                </c:pt>
                <c:pt idx="164">
                  <c:v>45527</c:v>
                </c:pt>
                <c:pt idx="165">
                  <c:v>45530</c:v>
                </c:pt>
                <c:pt idx="166">
                  <c:v>45531</c:v>
                </c:pt>
                <c:pt idx="167">
                  <c:v>45532</c:v>
                </c:pt>
                <c:pt idx="168">
                  <c:v>45533</c:v>
                </c:pt>
                <c:pt idx="169">
                  <c:v>45534</c:v>
                </c:pt>
                <c:pt idx="170">
                  <c:v>45537</c:v>
                </c:pt>
                <c:pt idx="171">
                  <c:v>45538</c:v>
                </c:pt>
                <c:pt idx="172">
                  <c:v>45539</c:v>
                </c:pt>
                <c:pt idx="173">
                  <c:v>45540</c:v>
                </c:pt>
                <c:pt idx="174">
                  <c:v>45541</c:v>
                </c:pt>
                <c:pt idx="175">
                  <c:v>45544</c:v>
                </c:pt>
                <c:pt idx="176">
                  <c:v>45545</c:v>
                </c:pt>
                <c:pt idx="177">
                  <c:v>45546</c:v>
                </c:pt>
                <c:pt idx="178">
                  <c:v>45547</c:v>
                </c:pt>
                <c:pt idx="179">
                  <c:v>45548</c:v>
                </c:pt>
                <c:pt idx="180">
                  <c:v>45551</c:v>
                </c:pt>
                <c:pt idx="181">
                  <c:v>45552</c:v>
                </c:pt>
                <c:pt idx="182">
                  <c:v>45553</c:v>
                </c:pt>
                <c:pt idx="183">
                  <c:v>45554</c:v>
                </c:pt>
                <c:pt idx="184">
                  <c:v>45555</c:v>
                </c:pt>
                <c:pt idx="185">
                  <c:v>45558</c:v>
                </c:pt>
                <c:pt idx="186">
                  <c:v>45559</c:v>
                </c:pt>
                <c:pt idx="187">
                  <c:v>45560</c:v>
                </c:pt>
                <c:pt idx="188">
                  <c:v>45561</c:v>
                </c:pt>
                <c:pt idx="189">
                  <c:v>45562</c:v>
                </c:pt>
                <c:pt idx="190">
                  <c:v>45565</c:v>
                </c:pt>
                <c:pt idx="191">
                  <c:v>45566</c:v>
                </c:pt>
                <c:pt idx="192">
                  <c:v>45567</c:v>
                </c:pt>
                <c:pt idx="193">
                  <c:v>45568</c:v>
                </c:pt>
                <c:pt idx="194">
                  <c:v>45569</c:v>
                </c:pt>
                <c:pt idx="195">
                  <c:v>45572</c:v>
                </c:pt>
                <c:pt idx="196">
                  <c:v>45573</c:v>
                </c:pt>
                <c:pt idx="197">
                  <c:v>45574</c:v>
                </c:pt>
                <c:pt idx="198">
                  <c:v>45575</c:v>
                </c:pt>
                <c:pt idx="199">
                  <c:v>45576</c:v>
                </c:pt>
                <c:pt idx="200">
                  <c:v>45579</c:v>
                </c:pt>
                <c:pt idx="201">
                  <c:v>45580</c:v>
                </c:pt>
                <c:pt idx="202">
                  <c:v>45581</c:v>
                </c:pt>
                <c:pt idx="203">
                  <c:v>45582</c:v>
                </c:pt>
                <c:pt idx="204">
                  <c:v>45583</c:v>
                </c:pt>
                <c:pt idx="205">
                  <c:v>45586</c:v>
                </c:pt>
                <c:pt idx="206">
                  <c:v>45587</c:v>
                </c:pt>
                <c:pt idx="207">
                  <c:v>45588</c:v>
                </c:pt>
                <c:pt idx="208">
                  <c:v>45589</c:v>
                </c:pt>
                <c:pt idx="209">
                  <c:v>45590</c:v>
                </c:pt>
                <c:pt idx="210">
                  <c:v>45593</c:v>
                </c:pt>
                <c:pt idx="211">
                  <c:v>45594</c:v>
                </c:pt>
                <c:pt idx="212">
                  <c:v>45595</c:v>
                </c:pt>
                <c:pt idx="213">
                  <c:v>45596</c:v>
                </c:pt>
                <c:pt idx="214">
                  <c:v>45597</c:v>
                </c:pt>
                <c:pt idx="215">
                  <c:v>45600</c:v>
                </c:pt>
                <c:pt idx="216">
                  <c:v>45601</c:v>
                </c:pt>
                <c:pt idx="217">
                  <c:v>45602</c:v>
                </c:pt>
                <c:pt idx="218">
                  <c:v>45603</c:v>
                </c:pt>
                <c:pt idx="219">
                  <c:v>45604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  <c:pt idx="254">
                  <c:v>45659</c:v>
                </c:pt>
                <c:pt idx="255">
                  <c:v>45660</c:v>
                </c:pt>
                <c:pt idx="256">
                  <c:v>45663</c:v>
                </c:pt>
                <c:pt idx="257">
                  <c:v>45664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45761</c:v>
                </c:pt>
                <c:pt idx="326">
                  <c:v>45762</c:v>
                </c:pt>
                <c:pt idx="327">
                  <c:v>45763</c:v>
                </c:pt>
                <c:pt idx="328">
                  <c:v>45764</c:v>
                </c:pt>
                <c:pt idx="329">
                  <c:v>45768</c:v>
                </c:pt>
                <c:pt idx="330">
                  <c:v>45771</c:v>
                </c:pt>
                <c:pt idx="331">
                  <c:v>45772</c:v>
                </c:pt>
                <c:pt idx="332">
                  <c:v>45775</c:v>
                </c:pt>
                <c:pt idx="333">
                  <c:v>45776</c:v>
                </c:pt>
                <c:pt idx="334">
                  <c:v>45784</c:v>
                </c:pt>
                <c:pt idx="335">
                  <c:v>45785</c:v>
                </c:pt>
                <c:pt idx="336">
                  <c:v>45789</c:v>
                </c:pt>
                <c:pt idx="337">
                  <c:v>45790</c:v>
                </c:pt>
                <c:pt idx="338">
                  <c:v>45796</c:v>
                </c:pt>
                <c:pt idx="339">
                  <c:v>45797</c:v>
                </c:pt>
                <c:pt idx="340">
                  <c:v>45798</c:v>
                </c:pt>
                <c:pt idx="341">
                  <c:v>45799</c:v>
                </c:pt>
                <c:pt idx="342">
                  <c:v>45800</c:v>
                </c:pt>
                <c:pt idx="343">
                  <c:v>45804</c:v>
                </c:pt>
                <c:pt idx="344">
                  <c:v>45805</c:v>
                </c:pt>
                <c:pt idx="345">
                  <c:v>45806</c:v>
                </c:pt>
                <c:pt idx="346">
                  <c:v>45807</c:v>
                </c:pt>
                <c:pt idx="347">
                  <c:v>45810</c:v>
                </c:pt>
                <c:pt idx="348">
                  <c:v>45811</c:v>
                </c:pt>
                <c:pt idx="349">
                  <c:v>45812</c:v>
                </c:pt>
                <c:pt idx="350">
                  <c:v>45813</c:v>
                </c:pt>
                <c:pt idx="351">
                  <c:v>45814</c:v>
                </c:pt>
                <c:pt idx="352">
                  <c:v>45817</c:v>
                </c:pt>
                <c:pt idx="353">
                  <c:v>45818</c:v>
                </c:pt>
                <c:pt idx="354">
                  <c:v>45819</c:v>
                </c:pt>
                <c:pt idx="355">
                  <c:v>45821</c:v>
                </c:pt>
                <c:pt idx="356">
                  <c:v>45824</c:v>
                </c:pt>
                <c:pt idx="357">
                  <c:v>45825</c:v>
                </c:pt>
                <c:pt idx="358">
                  <c:v>45826</c:v>
                </c:pt>
                <c:pt idx="359">
                  <c:v>45828</c:v>
                </c:pt>
                <c:pt idx="360">
                  <c:v>45831</c:v>
                </c:pt>
                <c:pt idx="361">
                  <c:v>45832</c:v>
                </c:pt>
                <c:pt idx="362">
                  <c:v>45833</c:v>
                </c:pt>
                <c:pt idx="363">
                  <c:v>45835</c:v>
                </c:pt>
                <c:pt idx="364">
                  <c:v>45838</c:v>
                </c:pt>
                <c:pt idx="365">
                  <c:v>45839</c:v>
                </c:pt>
                <c:pt idx="366">
                  <c:v>45840</c:v>
                </c:pt>
                <c:pt idx="367">
                  <c:v>45841</c:v>
                </c:pt>
                <c:pt idx="368">
                  <c:v>45845</c:v>
                </c:pt>
                <c:pt idx="369">
                  <c:v>45846</c:v>
                </c:pt>
                <c:pt idx="370">
                  <c:v>45847</c:v>
                </c:pt>
                <c:pt idx="371">
                  <c:v>45848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Info!$AE$275:$AE$647</c15:sqref>
                  </c15:fullRef>
                </c:ext>
              </c:extLst>
              <c:f>(Info!$AE$275:$AE$283,Info!$AE$285:$AE$647)</c:f>
              <c:numCache>
                <c:formatCode>_-* #,##0.00_-;\-* #,##0.00_-;_-* "-"??_-;_-@_-</c:formatCode>
                <c:ptCount val="372"/>
                <c:pt idx="0">
                  <c:v>20040436.013999999</c:v>
                </c:pt>
                <c:pt idx="1">
                  <c:v>20035709.723999999</c:v>
                </c:pt>
                <c:pt idx="2">
                  <c:v>20036481.348000001</c:v>
                </c:pt>
                <c:pt idx="3">
                  <c:v>20036481.348000001</c:v>
                </c:pt>
                <c:pt idx="4">
                  <c:v>20029150.920000002</c:v>
                </c:pt>
                <c:pt idx="5">
                  <c:v>20029150.920000002</c:v>
                </c:pt>
                <c:pt idx="6">
                  <c:v>20029150.920000002</c:v>
                </c:pt>
                <c:pt idx="7">
                  <c:v>20029150.920000002</c:v>
                </c:pt>
                <c:pt idx="8">
                  <c:v>20025614.309999999</c:v>
                </c:pt>
                <c:pt idx="9">
                  <c:v>20025132.045000002</c:v>
                </c:pt>
                <c:pt idx="10">
                  <c:v>20092349.294</c:v>
                </c:pt>
                <c:pt idx="11">
                  <c:v>19990691.682999998</c:v>
                </c:pt>
                <c:pt idx="12">
                  <c:v>19961540.592999998</c:v>
                </c:pt>
                <c:pt idx="13">
                  <c:v>19961283.385000002</c:v>
                </c:pt>
                <c:pt idx="14">
                  <c:v>19918297.504999999</c:v>
                </c:pt>
                <c:pt idx="15">
                  <c:v>19917108.754999999</c:v>
                </c:pt>
                <c:pt idx="16">
                  <c:v>19620150.805</c:v>
                </c:pt>
                <c:pt idx="17">
                  <c:v>19598245.765000001</c:v>
                </c:pt>
                <c:pt idx="18">
                  <c:v>19598245.765000001</c:v>
                </c:pt>
                <c:pt idx="19">
                  <c:v>19588271.903999999</c:v>
                </c:pt>
                <c:pt idx="20">
                  <c:v>19576936.515999999</c:v>
                </c:pt>
                <c:pt idx="21">
                  <c:v>19124379.085000001</c:v>
                </c:pt>
                <c:pt idx="22">
                  <c:v>19071972.954999998</c:v>
                </c:pt>
                <c:pt idx="23">
                  <c:v>19071972.954999998</c:v>
                </c:pt>
                <c:pt idx="24">
                  <c:v>19071908.653000001</c:v>
                </c:pt>
                <c:pt idx="25">
                  <c:v>19038641.594000001</c:v>
                </c:pt>
                <c:pt idx="26">
                  <c:v>19030314.484999999</c:v>
                </c:pt>
                <c:pt idx="27">
                  <c:v>18999449.783</c:v>
                </c:pt>
                <c:pt idx="28">
                  <c:v>18686635.241</c:v>
                </c:pt>
                <c:pt idx="29">
                  <c:v>18470836.934</c:v>
                </c:pt>
                <c:pt idx="30">
                  <c:v>18470836.934</c:v>
                </c:pt>
                <c:pt idx="31">
                  <c:v>18470354.669</c:v>
                </c:pt>
                <c:pt idx="32" formatCode="General">
                  <c:v>18470354.669</c:v>
                </c:pt>
                <c:pt idx="33">
                  <c:v>18460807.208999999</c:v>
                </c:pt>
                <c:pt idx="34">
                  <c:v>18423576.351</c:v>
                </c:pt>
                <c:pt idx="35">
                  <c:v>18289124.857999999</c:v>
                </c:pt>
                <c:pt idx="36">
                  <c:v>18237040.238000002</c:v>
                </c:pt>
                <c:pt idx="37">
                  <c:v>18235753.125999998</c:v>
                </c:pt>
                <c:pt idx="38">
                  <c:v>18188941.276000001</c:v>
                </c:pt>
                <c:pt idx="39">
                  <c:v>18120006.208000001</c:v>
                </c:pt>
                <c:pt idx="40">
                  <c:v>18259880.491</c:v>
                </c:pt>
                <c:pt idx="41">
                  <c:v>18250350.284000002</c:v>
                </c:pt>
                <c:pt idx="42">
                  <c:v>18225515.693999998</c:v>
                </c:pt>
                <c:pt idx="43">
                  <c:v>18159578.870000001</c:v>
                </c:pt>
                <c:pt idx="44">
                  <c:v>18147831.693999998</c:v>
                </c:pt>
                <c:pt idx="45">
                  <c:v>18093353.017000001</c:v>
                </c:pt>
                <c:pt idx="46">
                  <c:v>18093353.017000001</c:v>
                </c:pt>
                <c:pt idx="47">
                  <c:v>18037962.498</c:v>
                </c:pt>
                <c:pt idx="48">
                  <c:v>17889810.714000002</c:v>
                </c:pt>
                <c:pt idx="49">
                  <c:v>17887532.221000001</c:v>
                </c:pt>
                <c:pt idx="50">
                  <c:v>17874252.300000001</c:v>
                </c:pt>
                <c:pt idx="51">
                  <c:v>17874252.300000001</c:v>
                </c:pt>
                <c:pt idx="52">
                  <c:v>17875735.177999999</c:v>
                </c:pt>
                <c:pt idx="53">
                  <c:v>17818320.690000001</c:v>
                </c:pt>
                <c:pt idx="54">
                  <c:v>17779096.469999999</c:v>
                </c:pt>
                <c:pt idx="55">
                  <c:v>17733522.260000002</c:v>
                </c:pt>
                <c:pt idx="56">
                  <c:v>17733522.260000002</c:v>
                </c:pt>
                <c:pt idx="57">
                  <c:v>17733522.260000002</c:v>
                </c:pt>
                <c:pt idx="58">
                  <c:v>17653625.809</c:v>
                </c:pt>
                <c:pt idx="59">
                  <c:v>17653625.809</c:v>
                </c:pt>
                <c:pt idx="60">
                  <c:v>17653625.809</c:v>
                </c:pt>
                <c:pt idx="61">
                  <c:v>17653625.809</c:v>
                </c:pt>
                <c:pt idx="62">
                  <c:v>17779096.359999999</c:v>
                </c:pt>
                <c:pt idx="63">
                  <c:v>17778614.098000001</c:v>
                </c:pt>
                <c:pt idx="64">
                  <c:v>17778614.098000001</c:v>
                </c:pt>
                <c:pt idx="65">
                  <c:v>17778614.098000001</c:v>
                </c:pt>
                <c:pt idx="66">
                  <c:v>17583380.138</c:v>
                </c:pt>
                <c:pt idx="67">
                  <c:v>17582172.588</c:v>
                </c:pt>
                <c:pt idx="68">
                  <c:v>17582172.588</c:v>
                </c:pt>
                <c:pt idx="69">
                  <c:v>17582172.588</c:v>
                </c:pt>
                <c:pt idx="70">
                  <c:v>17582172.588</c:v>
                </c:pt>
                <c:pt idx="71">
                  <c:v>17484087.588</c:v>
                </c:pt>
                <c:pt idx="72">
                  <c:v>17570655.515999999</c:v>
                </c:pt>
                <c:pt idx="73">
                  <c:v>17586130.145</c:v>
                </c:pt>
                <c:pt idx="74">
                  <c:v>17586130.145</c:v>
                </c:pt>
                <c:pt idx="75">
                  <c:v>17585422.822999999</c:v>
                </c:pt>
                <c:pt idx="76">
                  <c:v>17585422.822999999</c:v>
                </c:pt>
                <c:pt idx="77">
                  <c:v>17590422.592999998</c:v>
                </c:pt>
                <c:pt idx="78">
                  <c:v>17622636.482999999</c:v>
                </c:pt>
                <c:pt idx="79">
                  <c:v>17622732.936000001</c:v>
                </c:pt>
                <c:pt idx="80">
                  <c:v>17622732.936000001</c:v>
                </c:pt>
                <c:pt idx="81">
                  <c:v>17653319.791000001</c:v>
                </c:pt>
                <c:pt idx="82">
                  <c:v>17720882.638999999</c:v>
                </c:pt>
                <c:pt idx="83">
                  <c:v>17720789.868000001</c:v>
                </c:pt>
                <c:pt idx="84">
                  <c:v>17720789.868000001</c:v>
                </c:pt>
                <c:pt idx="85">
                  <c:v>17714391.827</c:v>
                </c:pt>
                <c:pt idx="86">
                  <c:v>17617778.067000002</c:v>
                </c:pt>
                <c:pt idx="87">
                  <c:v>17617102.896000002</c:v>
                </c:pt>
                <c:pt idx="88">
                  <c:v>17617070.745000001</c:v>
                </c:pt>
                <c:pt idx="89">
                  <c:v>17617070.745000001</c:v>
                </c:pt>
                <c:pt idx="90">
                  <c:v>17462715.063000001</c:v>
                </c:pt>
                <c:pt idx="91">
                  <c:v>17459628.557999998</c:v>
                </c:pt>
                <c:pt idx="92">
                  <c:v>17459628.557999998</c:v>
                </c:pt>
                <c:pt idx="93">
                  <c:v>17459628.557999998</c:v>
                </c:pt>
                <c:pt idx="94">
                  <c:v>17459628.557999998</c:v>
                </c:pt>
                <c:pt idx="95">
                  <c:v>17491289.317000002</c:v>
                </c:pt>
                <c:pt idx="96">
                  <c:v>17491493.866999999</c:v>
                </c:pt>
                <c:pt idx="97">
                  <c:v>17555512.784000002</c:v>
                </c:pt>
                <c:pt idx="98">
                  <c:v>17563550.534000002</c:v>
                </c:pt>
                <c:pt idx="99">
                  <c:v>17563550.534000002</c:v>
                </c:pt>
                <c:pt idx="100">
                  <c:v>17563550.534000002</c:v>
                </c:pt>
                <c:pt idx="101">
                  <c:v>17577077.684999999</c:v>
                </c:pt>
                <c:pt idx="102">
                  <c:v>17609473.363000002</c:v>
                </c:pt>
                <c:pt idx="103">
                  <c:v>17641822.252999999</c:v>
                </c:pt>
                <c:pt idx="104">
                  <c:v>17673552.188999999</c:v>
                </c:pt>
                <c:pt idx="105">
                  <c:v>17673584.34</c:v>
                </c:pt>
                <c:pt idx="106">
                  <c:v>17673584.34</c:v>
                </c:pt>
                <c:pt idx="107">
                  <c:v>17673584.34</c:v>
                </c:pt>
                <c:pt idx="108">
                  <c:v>17676059.967</c:v>
                </c:pt>
                <c:pt idx="109">
                  <c:v>17666253.916999999</c:v>
                </c:pt>
                <c:pt idx="110">
                  <c:v>17662974.515000001</c:v>
                </c:pt>
                <c:pt idx="111">
                  <c:v>17662910.213</c:v>
                </c:pt>
                <c:pt idx="112">
                  <c:v>17656892.653000001</c:v>
                </c:pt>
                <c:pt idx="113">
                  <c:v>17656892.653000001</c:v>
                </c:pt>
                <c:pt idx="114">
                  <c:v>17643908.603999998</c:v>
                </c:pt>
                <c:pt idx="115">
                  <c:v>17616174.534000002</c:v>
                </c:pt>
                <c:pt idx="116">
                  <c:v>17615692.269000001</c:v>
                </c:pt>
                <c:pt idx="117">
                  <c:v>17615692.269000001</c:v>
                </c:pt>
                <c:pt idx="118">
                  <c:v>17579908.206</c:v>
                </c:pt>
                <c:pt idx="119">
                  <c:v>17576275.142999999</c:v>
                </c:pt>
                <c:pt idx="120">
                  <c:v>17576275.142999999</c:v>
                </c:pt>
                <c:pt idx="121">
                  <c:v>17576275.142999999</c:v>
                </c:pt>
                <c:pt idx="122">
                  <c:v>17598631.903000001</c:v>
                </c:pt>
                <c:pt idx="123">
                  <c:v>17566608.022999998</c:v>
                </c:pt>
                <c:pt idx="124">
                  <c:v>17580810.306000002</c:v>
                </c:pt>
                <c:pt idx="125">
                  <c:v>17566511.559999999</c:v>
                </c:pt>
                <c:pt idx="126">
                  <c:v>17566511.559999999</c:v>
                </c:pt>
                <c:pt idx="127">
                  <c:v>17501649.557999998</c:v>
                </c:pt>
                <c:pt idx="128">
                  <c:v>17501649.557999998</c:v>
                </c:pt>
                <c:pt idx="129">
                  <c:v>17615350.758000001</c:v>
                </c:pt>
                <c:pt idx="130">
                  <c:v>17699873.908</c:v>
                </c:pt>
                <c:pt idx="131">
                  <c:v>17699777.454999998</c:v>
                </c:pt>
                <c:pt idx="132">
                  <c:v>17699745.305</c:v>
                </c:pt>
                <c:pt idx="133">
                  <c:v>17699809.607000001</c:v>
                </c:pt>
                <c:pt idx="134">
                  <c:v>17699809.609999999</c:v>
                </c:pt>
                <c:pt idx="135">
                  <c:v>17699327.344999999</c:v>
                </c:pt>
                <c:pt idx="136">
                  <c:v>17699327.344999999</c:v>
                </c:pt>
                <c:pt idx="137">
                  <c:v>17699327.344999999</c:v>
                </c:pt>
                <c:pt idx="138">
                  <c:v>17568922.890000001</c:v>
                </c:pt>
                <c:pt idx="139">
                  <c:v>17822915.789999999</c:v>
                </c:pt>
                <c:pt idx="140">
                  <c:v>17822433.524999999</c:v>
                </c:pt>
                <c:pt idx="141">
                  <c:v>17918886.524999999</c:v>
                </c:pt>
                <c:pt idx="142">
                  <c:v>17915574.971999999</c:v>
                </c:pt>
                <c:pt idx="143">
                  <c:v>17964341.041999999</c:v>
                </c:pt>
                <c:pt idx="144">
                  <c:v>17964341.041999999</c:v>
                </c:pt>
                <c:pt idx="145">
                  <c:v>17964341.041999999</c:v>
                </c:pt>
                <c:pt idx="146">
                  <c:v>17835609.704</c:v>
                </c:pt>
                <c:pt idx="147">
                  <c:v>17900385.603</c:v>
                </c:pt>
                <c:pt idx="148">
                  <c:v>17868170.300999999</c:v>
                </c:pt>
                <c:pt idx="149">
                  <c:v>17868105.999000002</c:v>
                </c:pt>
                <c:pt idx="150">
                  <c:v>17868105.999000002</c:v>
                </c:pt>
                <c:pt idx="151">
                  <c:v>17834210.890000001</c:v>
                </c:pt>
                <c:pt idx="152">
                  <c:v>17729527.234000001</c:v>
                </c:pt>
                <c:pt idx="153">
                  <c:v>17729527.234000001</c:v>
                </c:pt>
                <c:pt idx="154">
                  <c:v>17724415.225000001</c:v>
                </c:pt>
                <c:pt idx="155">
                  <c:v>17702698.243999999</c:v>
                </c:pt>
                <c:pt idx="156">
                  <c:v>17602869.388999999</c:v>
                </c:pt>
                <c:pt idx="157">
                  <c:v>17602869.388999999</c:v>
                </c:pt>
                <c:pt idx="158">
                  <c:v>17525546.254000001</c:v>
                </c:pt>
                <c:pt idx="159">
                  <c:v>17493781.059</c:v>
                </c:pt>
                <c:pt idx="160">
                  <c:v>17493781.059</c:v>
                </c:pt>
                <c:pt idx="161">
                  <c:v>17378728.293000001</c:v>
                </c:pt>
                <c:pt idx="162">
                  <c:v>17308890.791000001</c:v>
                </c:pt>
                <c:pt idx="163">
                  <c:v>17259313.949000001</c:v>
                </c:pt>
                <c:pt idx="164">
                  <c:v>17256420.359000001</c:v>
                </c:pt>
                <c:pt idx="165">
                  <c:v>17219251.969000001</c:v>
                </c:pt>
                <c:pt idx="166">
                  <c:v>17182611.908</c:v>
                </c:pt>
                <c:pt idx="167">
                  <c:v>17183912.037999999</c:v>
                </c:pt>
                <c:pt idx="168">
                  <c:v>17183912.037999999</c:v>
                </c:pt>
                <c:pt idx="169">
                  <c:v>17086712.767999999</c:v>
                </c:pt>
                <c:pt idx="170">
                  <c:v>17086712.767999999</c:v>
                </c:pt>
                <c:pt idx="171">
                  <c:v>17012769.824000001</c:v>
                </c:pt>
                <c:pt idx="172">
                  <c:v>17031041.805</c:v>
                </c:pt>
                <c:pt idx="173">
                  <c:v>17011410.52</c:v>
                </c:pt>
                <c:pt idx="174">
                  <c:v>17037234.269000001</c:v>
                </c:pt>
                <c:pt idx="175">
                  <c:v>17037234.269000001</c:v>
                </c:pt>
                <c:pt idx="176">
                  <c:v>17067336.861000001</c:v>
                </c:pt>
                <c:pt idx="177">
                  <c:v>17067336.861000001</c:v>
                </c:pt>
                <c:pt idx="178">
                  <c:v>17038434.827</c:v>
                </c:pt>
                <c:pt idx="179">
                  <c:v>16970724.820999999</c:v>
                </c:pt>
                <c:pt idx="180">
                  <c:v>16970660.519000001</c:v>
                </c:pt>
                <c:pt idx="181">
                  <c:v>16973660.159000002</c:v>
                </c:pt>
                <c:pt idx="182">
                  <c:v>16962761.238000002</c:v>
                </c:pt>
                <c:pt idx="183">
                  <c:v>16934211.149999999</c:v>
                </c:pt>
                <c:pt idx="184">
                  <c:v>16898041.502999999</c:v>
                </c:pt>
                <c:pt idx="185">
                  <c:v>16921043.833999999</c:v>
                </c:pt>
                <c:pt idx="186">
                  <c:v>16953194.833999999</c:v>
                </c:pt>
                <c:pt idx="187">
                  <c:v>17017301.379999999</c:v>
                </c:pt>
                <c:pt idx="188">
                  <c:v>17153010.743999999</c:v>
                </c:pt>
                <c:pt idx="189">
                  <c:v>17177263.947000001</c:v>
                </c:pt>
                <c:pt idx="190">
                  <c:v>17242364.177000001</c:v>
                </c:pt>
                <c:pt idx="191">
                  <c:v>17241972.397</c:v>
                </c:pt>
                <c:pt idx="192">
                  <c:v>17112647.873</c:v>
                </c:pt>
                <c:pt idx="193">
                  <c:v>17048313.721999999</c:v>
                </c:pt>
                <c:pt idx="194">
                  <c:v>17048313.721999999</c:v>
                </c:pt>
                <c:pt idx="195">
                  <c:v>17048313.721999999</c:v>
                </c:pt>
                <c:pt idx="196">
                  <c:v>17048313.721999999</c:v>
                </c:pt>
                <c:pt idx="197">
                  <c:v>17048313.721999999</c:v>
                </c:pt>
                <c:pt idx="198">
                  <c:v>17048109.491999999</c:v>
                </c:pt>
                <c:pt idx="199">
                  <c:v>17048109.491999999</c:v>
                </c:pt>
                <c:pt idx="200">
                  <c:v>17047400.723000001</c:v>
                </c:pt>
                <c:pt idx="201">
                  <c:v>17045846.802999999</c:v>
                </c:pt>
                <c:pt idx="202">
                  <c:v>17045608.522</c:v>
                </c:pt>
                <c:pt idx="203">
                  <c:v>16992848.234999999</c:v>
                </c:pt>
                <c:pt idx="204">
                  <c:v>16992848.234999999</c:v>
                </c:pt>
                <c:pt idx="205">
                  <c:v>16992783.934999999</c:v>
                </c:pt>
                <c:pt idx="206">
                  <c:v>16992783.934999999</c:v>
                </c:pt>
                <c:pt idx="207">
                  <c:v>17043488.436000001</c:v>
                </c:pt>
                <c:pt idx="208">
                  <c:v>17043006.171</c:v>
                </c:pt>
                <c:pt idx="209">
                  <c:v>17043006.171</c:v>
                </c:pt>
                <c:pt idx="210">
                  <c:v>17043406.171</c:v>
                </c:pt>
                <c:pt idx="211">
                  <c:v>16978300.410999998</c:v>
                </c:pt>
                <c:pt idx="212">
                  <c:v>16978268.260000002</c:v>
                </c:pt>
                <c:pt idx="213">
                  <c:v>17066284.221000001</c:v>
                </c:pt>
                <c:pt idx="214">
                  <c:v>17133368.991999999</c:v>
                </c:pt>
                <c:pt idx="215">
                  <c:v>17133368.991999999</c:v>
                </c:pt>
                <c:pt idx="216">
                  <c:v>17133368.991999999</c:v>
                </c:pt>
                <c:pt idx="217">
                  <c:v>17133368.991999999</c:v>
                </c:pt>
                <c:pt idx="218">
                  <c:v>17134174.442000002</c:v>
                </c:pt>
                <c:pt idx="219">
                  <c:v>17199115.603</c:v>
                </c:pt>
                <c:pt idx="220">
                  <c:v>17344329.862</c:v>
                </c:pt>
                <c:pt idx="221">
                  <c:v>17417876.337000001</c:v>
                </c:pt>
                <c:pt idx="222">
                  <c:v>17488407.642000001</c:v>
                </c:pt>
                <c:pt idx="223">
                  <c:v>17488407.642000001</c:v>
                </c:pt>
                <c:pt idx="224">
                  <c:v>17488407.642000001</c:v>
                </c:pt>
                <c:pt idx="225">
                  <c:v>17481147.870999999</c:v>
                </c:pt>
                <c:pt idx="226">
                  <c:v>17529175.260000002</c:v>
                </c:pt>
                <c:pt idx="227">
                  <c:v>17561684.25</c:v>
                </c:pt>
                <c:pt idx="228">
                  <c:v>17547216.300000001</c:v>
                </c:pt>
                <c:pt idx="229">
                  <c:v>17546991.243000001</c:v>
                </c:pt>
                <c:pt idx="230">
                  <c:v>17757437.162</c:v>
                </c:pt>
                <c:pt idx="231">
                  <c:v>17789832.140999999</c:v>
                </c:pt>
                <c:pt idx="232">
                  <c:v>17789832.140999999</c:v>
                </c:pt>
                <c:pt idx="233">
                  <c:v>17940748.934999999</c:v>
                </c:pt>
                <c:pt idx="234">
                  <c:v>17940748.934999999</c:v>
                </c:pt>
                <c:pt idx="235">
                  <c:v>17874357.120000001</c:v>
                </c:pt>
                <c:pt idx="236">
                  <c:v>17829095.605</c:v>
                </c:pt>
                <c:pt idx="237">
                  <c:v>17833337.84</c:v>
                </c:pt>
                <c:pt idx="238">
                  <c:v>17845154.890000001</c:v>
                </c:pt>
                <c:pt idx="239">
                  <c:v>17827841.789999999</c:v>
                </c:pt>
                <c:pt idx="240">
                  <c:v>18081802.539000001</c:v>
                </c:pt>
                <c:pt idx="241">
                  <c:v>18339010.539000001</c:v>
                </c:pt>
                <c:pt idx="242">
                  <c:v>18418939.929000001</c:v>
                </c:pt>
                <c:pt idx="243">
                  <c:v>18643966.778999999</c:v>
                </c:pt>
                <c:pt idx="244">
                  <c:v>18675121.278000001</c:v>
                </c:pt>
                <c:pt idx="245">
                  <c:v>18874135.967999998</c:v>
                </c:pt>
                <c:pt idx="246">
                  <c:v>19259947.967999998</c:v>
                </c:pt>
                <c:pt idx="247">
                  <c:v>19266378.168000001</c:v>
                </c:pt>
                <c:pt idx="248">
                  <c:v>19453100.013</c:v>
                </c:pt>
                <c:pt idx="249">
                  <c:v>20034111.697000001</c:v>
                </c:pt>
                <c:pt idx="250">
                  <c:v>20583108.291000001</c:v>
                </c:pt>
                <c:pt idx="251">
                  <c:v>21372920.660999998</c:v>
                </c:pt>
                <c:pt idx="252">
                  <c:v>21739993.631999999</c:v>
                </c:pt>
                <c:pt idx="253">
                  <c:v>21900748.629000001</c:v>
                </c:pt>
                <c:pt idx="254">
                  <c:v>21908776.258000001</c:v>
                </c:pt>
                <c:pt idx="255">
                  <c:v>21940766.258000001</c:v>
                </c:pt>
                <c:pt idx="256">
                  <c:v>21972508.258000001</c:v>
                </c:pt>
                <c:pt idx="257">
                  <c:v>21972508.258000001</c:v>
                </c:pt>
                <c:pt idx="258">
                  <c:v>22106900.557</c:v>
                </c:pt>
                <c:pt idx="259">
                  <c:v>22248361.008000001</c:v>
                </c:pt>
                <c:pt idx="260">
                  <c:v>22404287.715</c:v>
                </c:pt>
                <c:pt idx="261">
                  <c:v>22468904.155000001</c:v>
                </c:pt>
                <c:pt idx="262">
                  <c:v>22598053.765000001</c:v>
                </c:pt>
                <c:pt idx="263">
                  <c:v>23274190.438999999</c:v>
                </c:pt>
                <c:pt idx="264">
                  <c:v>23617539.489999998</c:v>
                </c:pt>
                <c:pt idx="265">
                  <c:v>24581865</c:v>
                </c:pt>
                <c:pt idx="266">
                  <c:v>24581865</c:v>
                </c:pt>
                <c:pt idx="267">
                  <c:v>25885195.620000001</c:v>
                </c:pt>
                <c:pt idx="268">
                  <c:v>25877821.425999999</c:v>
                </c:pt>
                <c:pt idx="269">
                  <c:v>26999100.728999998</c:v>
                </c:pt>
                <c:pt idx="270">
                  <c:v>28072479.927000001</c:v>
                </c:pt>
                <c:pt idx="271">
                  <c:v>29259425.157000002</c:v>
                </c:pt>
                <c:pt idx="272">
                  <c:v>29787015.886</c:v>
                </c:pt>
                <c:pt idx="273">
                  <c:v>30438255.912</c:v>
                </c:pt>
                <c:pt idx="274">
                  <c:v>30980465.954999998</c:v>
                </c:pt>
                <c:pt idx="275">
                  <c:v>31316204.647999998</c:v>
                </c:pt>
                <c:pt idx="276">
                  <c:v>32290384.488000002</c:v>
                </c:pt>
                <c:pt idx="277">
                  <c:v>33248152.120999999</c:v>
                </c:pt>
                <c:pt idx="278">
                  <c:v>33381503.785</c:v>
                </c:pt>
                <c:pt idx="279">
                  <c:v>33860626.572999999</c:v>
                </c:pt>
                <c:pt idx="280">
                  <c:v>34595400.365999997</c:v>
                </c:pt>
                <c:pt idx="281">
                  <c:v>35492633.103</c:v>
                </c:pt>
                <c:pt idx="282">
                  <c:v>36108702.616999999</c:v>
                </c:pt>
                <c:pt idx="283">
                  <c:v>36454293.715999998</c:v>
                </c:pt>
                <c:pt idx="284">
                  <c:v>37055805.164999999</c:v>
                </c:pt>
                <c:pt idx="285">
                  <c:v>37448324.321999997</c:v>
                </c:pt>
                <c:pt idx="286">
                  <c:v>37448324.321999997</c:v>
                </c:pt>
                <c:pt idx="287">
                  <c:v>37608078.990000002</c:v>
                </c:pt>
                <c:pt idx="288">
                  <c:v>37983093.443999998</c:v>
                </c:pt>
                <c:pt idx="289">
                  <c:v>38314465.762999997</c:v>
                </c:pt>
                <c:pt idx="290">
                  <c:v>38590481.714000002</c:v>
                </c:pt>
                <c:pt idx="291">
                  <c:v>38811074.524999999</c:v>
                </c:pt>
                <c:pt idx="292">
                  <c:v>38882330.306999996</c:v>
                </c:pt>
                <c:pt idx="293">
                  <c:v>38961200.137999997</c:v>
                </c:pt>
                <c:pt idx="294">
                  <c:v>39068304.516000003</c:v>
                </c:pt>
                <c:pt idx="295">
                  <c:v>39261573.799000002</c:v>
                </c:pt>
                <c:pt idx="296">
                  <c:v>39414153.766999997</c:v>
                </c:pt>
                <c:pt idx="297">
                  <c:v>39454463.715999998</c:v>
                </c:pt>
                <c:pt idx="298">
                  <c:v>39672771.383000001</c:v>
                </c:pt>
                <c:pt idx="299">
                  <c:v>39670180.539999999</c:v>
                </c:pt>
                <c:pt idx="300">
                  <c:v>39766633.539999999</c:v>
                </c:pt>
                <c:pt idx="301">
                  <c:v>39948156.891000003</c:v>
                </c:pt>
                <c:pt idx="302">
                  <c:v>40117945.640000001</c:v>
                </c:pt>
                <c:pt idx="303">
                  <c:v>40150064.489</c:v>
                </c:pt>
                <c:pt idx="304">
                  <c:v>40559729.864</c:v>
                </c:pt>
                <c:pt idx="305">
                  <c:v>40431740.259999998</c:v>
                </c:pt>
                <c:pt idx="306">
                  <c:v>40465964.07</c:v>
                </c:pt>
                <c:pt idx="307">
                  <c:v>41124434.134000003</c:v>
                </c:pt>
                <c:pt idx="308">
                  <c:v>41446851.251000002</c:v>
                </c:pt>
                <c:pt idx="309">
                  <c:v>41594745.805</c:v>
                </c:pt>
                <c:pt idx="310">
                  <c:v>41891156.381999999</c:v>
                </c:pt>
                <c:pt idx="311">
                  <c:v>42364382.770999998</c:v>
                </c:pt>
                <c:pt idx="312">
                  <c:v>42553452.869999997</c:v>
                </c:pt>
                <c:pt idx="313">
                  <c:v>42936235.651000001</c:v>
                </c:pt>
                <c:pt idx="314">
                  <c:v>43168312.089000002</c:v>
                </c:pt>
                <c:pt idx="315">
                  <c:v>43347625.917999998</c:v>
                </c:pt>
                <c:pt idx="316">
                  <c:v>43806863.431000002</c:v>
                </c:pt>
                <c:pt idx="317">
                  <c:v>44111657.873000003</c:v>
                </c:pt>
                <c:pt idx="318">
                  <c:v>44463990.811999999</c:v>
                </c:pt>
                <c:pt idx="319">
                  <c:v>45046650.789999999</c:v>
                </c:pt>
                <c:pt idx="320">
                  <c:v>45071696.424999997</c:v>
                </c:pt>
                <c:pt idx="321">
                  <c:v>45064217.276000001</c:v>
                </c:pt>
                <c:pt idx="322">
                  <c:v>44953662.925999999</c:v>
                </c:pt>
                <c:pt idx="323">
                  <c:v>44872041.831</c:v>
                </c:pt>
                <c:pt idx="324">
                  <c:v>44792798.390000001</c:v>
                </c:pt>
                <c:pt idx="325">
                  <c:v>44511572.504000001</c:v>
                </c:pt>
                <c:pt idx="326">
                  <c:v>44012358.136</c:v>
                </c:pt>
                <c:pt idx="327">
                  <c:v>43617474.373000003</c:v>
                </c:pt>
                <c:pt idx="328">
                  <c:v>43209722.965000004</c:v>
                </c:pt>
                <c:pt idx="329">
                  <c:v>43094921.600000001</c:v>
                </c:pt>
                <c:pt idx="330">
                  <c:v>41949906.667999998</c:v>
                </c:pt>
                <c:pt idx="331">
                  <c:v>41705859.417999998</c:v>
                </c:pt>
                <c:pt idx="332">
                  <c:v>41619690.387000002</c:v>
                </c:pt>
                <c:pt idx="333">
                  <c:v>41577603.789999999</c:v>
                </c:pt>
                <c:pt idx="334">
                  <c:v>39681947.656999998</c:v>
                </c:pt>
                <c:pt idx="335">
                  <c:v>39131282.686999999</c:v>
                </c:pt>
                <c:pt idx="336">
                  <c:v>39117173.169</c:v>
                </c:pt>
                <c:pt idx="337">
                  <c:v>39270532.497000001</c:v>
                </c:pt>
                <c:pt idx="338">
                  <c:v>38815459.082999997</c:v>
                </c:pt>
                <c:pt idx="339">
                  <c:v>38984927.004000001</c:v>
                </c:pt>
                <c:pt idx="340">
                  <c:v>38951535.854999997</c:v>
                </c:pt>
                <c:pt idx="341">
                  <c:v>38793530.208999999</c:v>
                </c:pt>
                <c:pt idx="342">
                  <c:v>38788128.840999998</c:v>
                </c:pt>
                <c:pt idx="343">
                  <c:v>38787453.670000002</c:v>
                </c:pt>
                <c:pt idx="344">
                  <c:v>38814646.838</c:v>
                </c:pt>
                <c:pt idx="345">
                  <c:v>38789194.160999998</c:v>
                </c:pt>
                <c:pt idx="346">
                  <c:v>38789194.160999998</c:v>
                </c:pt>
                <c:pt idx="347">
                  <c:v>38349604.938000001</c:v>
                </c:pt>
                <c:pt idx="348">
                  <c:v>38327997.118000001</c:v>
                </c:pt>
                <c:pt idx="349">
                  <c:v>38353043.550999999</c:v>
                </c:pt>
                <c:pt idx="350">
                  <c:v>38299833.641000003</c:v>
                </c:pt>
                <c:pt idx="351">
                  <c:v>38117334.134000003</c:v>
                </c:pt>
                <c:pt idx="352">
                  <c:v>38098418.673</c:v>
                </c:pt>
                <c:pt idx="353">
                  <c:v>37929466.431999996</c:v>
                </c:pt>
                <c:pt idx="354">
                  <c:v>37929466.431999996</c:v>
                </c:pt>
                <c:pt idx="355">
                  <c:v>37789751.542999998</c:v>
                </c:pt>
                <c:pt idx="356">
                  <c:v>37796893.211000003</c:v>
                </c:pt>
                <c:pt idx="357">
                  <c:v>37784468.991999999</c:v>
                </c:pt>
                <c:pt idx="358">
                  <c:v>37784179.633000001</c:v>
                </c:pt>
                <c:pt idx="359">
                  <c:v>37573555.405000001</c:v>
                </c:pt>
                <c:pt idx="360">
                  <c:v>37560727.156000003</c:v>
                </c:pt>
                <c:pt idx="361">
                  <c:v>37454173.934</c:v>
                </c:pt>
                <c:pt idx="362">
                  <c:v>36984907.939999998</c:v>
                </c:pt>
                <c:pt idx="363">
                  <c:v>37048334.611000001</c:v>
                </c:pt>
                <c:pt idx="364">
                  <c:v>37048199.960000001</c:v>
                </c:pt>
                <c:pt idx="365">
                  <c:v>37048199.960000001</c:v>
                </c:pt>
                <c:pt idx="366">
                  <c:v>37048199.960000001</c:v>
                </c:pt>
                <c:pt idx="367">
                  <c:v>36785582.642999999</c:v>
                </c:pt>
                <c:pt idx="368">
                  <c:v>36717101.012999997</c:v>
                </c:pt>
                <c:pt idx="369">
                  <c:v>36876794.424999997</c:v>
                </c:pt>
                <c:pt idx="370">
                  <c:v>36876794.424999997</c:v>
                </c:pt>
                <c:pt idx="371">
                  <c:v>36779205.498999998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0-4169-8B95-6389A2899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852912"/>
        <c:axId val="279846256"/>
      </c:areaChart>
      <c:lineChart>
        <c:grouping val="standard"/>
        <c:varyColors val="0"/>
        <c:ser>
          <c:idx val="1"/>
          <c:order val="2"/>
          <c:tx>
            <c:strRef>
              <c:f>Info!$AH$1</c:f>
              <c:strCache>
                <c:ptCount val="1"/>
                <c:pt idx="0">
                  <c:v>Gold Aggregate OI (oz)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Info!$A$275:$A$667</c15:sqref>
                  </c15:fullRef>
                </c:ext>
              </c:extLst>
              <c:f>(Info!$A$275:$A$283,Info!$A$285:$A$667)</c:f>
              <c:numCache>
                <c:formatCode>m/d/yy</c:formatCode>
                <c:ptCount val="39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45404</c:v>
                </c:pt>
                <c:pt idx="76">
                  <c:v>45405</c:v>
                </c:pt>
                <c:pt idx="77">
                  <c:v>45406</c:v>
                </c:pt>
                <c:pt idx="78">
                  <c:v>45407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45462</c:v>
                </c:pt>
                <c:pt idx="118">
                  <c:v>45463</c:v>
                </c:pt>
                <c:pt idx="119">
                  <c:v>45464</c:v>
                </c:pt>
                <c:pt idx="120">
                  <c:v>45467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45474</c:v>
                </c:pt>
                <c:pt idx="126">
                  <c:v>45475</c:v>
                </c:pt>
                <c:pt idx="127">
                  <c:v>45476</c:v>
                </c:pt>
                <c:pt idx="128">
                  <c:v>45477</c:v>
                </c:pt>
                <c:pt idx="129">
                  <c:v>45478</c:v>
                </c:pt>
                <c:pt idx="130">
                  <c:v>45481</c:v>
                </c:pt>
                <c:pt idx="131">
                  <c:v>45482</c:v>
                </c:pt>
                <c:pt idx="132">
                  <c:v>45483</c:v>
                </c:pt>
                <c:pt idx="133">
                  <c:v>45484</c:v>
                </c:pt>
                <c:pt idx="134">
                  <c:v>45485</c:v>
                </c:pt>
                <c:pt idx="135">
                  <c:v>45488</c:v>
                </c:pt>
                <c:pt idx="136">
                  <c:v>45489</c:v>
                </c:pt>
                <c:pt idx="137">
                  <c:v>45490</c:v>
                </c:pt>
                <c:pt idx="138">
                  <c:v>45491</c:v>
                </c:pt>
                <c:pt idx="139">
                  <c:v>45492</c:v>
                </c:pt>
                <c:pt idx="140">
                  <c:v>45495</c:v>
                </c:pt>
                <c:pt idx="141">
                  <c:v>45496</c:v>
                </c:pt>
                <c:pt idx="142">
                  <c:v>45497</c:v>
                </c:pt>
                <c:pt idx="143">
                  <c:v>45498</c:v>
                </c:pt>
                <c:pt idx="144">
                  <c:v>45499</c:v>
                </c:pt>
                <c:pt idx="145">
                  <c:v>45502</c:v>
                </c:pt>
                <c:pt idx="146">
                  <c:v>45503</c:v>
                </c:pt>
                <c:pt idx="147">
                  <c:v>45504</c:v>
                </c:pt>
                <c:pt idx="148">
                  <c:v>45505</c:v>
                </c:pt>
                <c:pt idx="149">
                  <c:v>45506</c:v>
                </c:pt>
                <c:pt idx="150">
                  <c:v>45509</c:v>
                </c:pt>
                <c:pt idx="151">
                  <c:v>45510</c:v>
                </c:pt>
                <c:pt idx="152">
                  <c:v>45511</c:v>
                </c:pt>
                <c:pt idx="153">
                  <c:v>45512</c:v>
                </c:pt>
                <c:pt idx="154">
                  <c:v>45513</c:v>
                </c:pt>
                <c:pt idx="155">
                  <c:v>45516</c:v>
                </c:pt>
                <c:pt idx="156">
                  <c:v>45517</c:v>
                </c:pt>
                <c:pt idx="157">
                  <c:v>45518</c:v>
                </c:pt>
                <c:pt idx="158">
                  <c:v>45519</c:v>
                </c:pt>
                <c:pt idx="159">
                  <c:v>45520</c:v>
                </c:pt>
                <c:pt idx="160">
                  <c:v>45523</c:v>
                </c:pt>
                <c:pt idx="161">
                  <c:v>45524</c:v>
                </c:pt>
                <c:pt idx="162">
                  <c:v>45525</c:v>
                </c:pt>
                <c:pt idx="163">
                  <c:v>45526</c:v>
                </c:pt>
                <c:pt idx="164">
                  <c:v>45527</c:v>
                </c:pt>
                <c:pt idx="165">
                  <c:v>45530</c:v>
                </c:pt>
                <c:pt idx="166">
                  <c:v>45531</c:v>
                </c:pt>
                <c:pt idx="167">
                  <c:v>45532</c:v>
                </c:pt>
                <c:pt idx="168">
                  <c:v>45533</c:v>
                </c:pt>
                <c:pt idx="169">
                  <c:v>45534</c:v>
                </c:pt>
                <c:pt idx="170">
                  <c:v>45537</c:v>
                </c:pt>
                <c:pt idx="171">
                  <c:v>45538</c:v>
                </c:pt>
                <c:pt idx="172">
                  <c:v>45539</c:v>
                </c:pt>
                <c:pt idx="173">
                  <c:v>45540</c:v>
                </c:pt>
                <c:pt idx="174">
                  <c:v>45541</c:v>
                </c:pt>
                <c:pt idx="175">
                  <c:v>45544</c:v>
                </c:pt>
                <c:pt idx="176">
                  <c:v>45545</c:v>
                </c:pt>
                <c:pt idx="177">
                  <c:v>45546</c:v>
                </c:pt>
                <c:pt idx="178">
                  <c:v>45547</c:v>
                </c:pt>
                <c:pt idx="179">
                  <c:v>45548</c:v>
                </c:pt>
                <c:pt idx="180">
                  <c:v>45551</c:v>
                </c:pt>
                <c:pt idx="181">
                  <c:v>45552</c:v>
                </c:pt>
                <c:pt idx="182">
                  <c:v>45553</c:v>
                </c:pt>
                <c:pt idx="183">
                  <c:v>45554</c:v>
                </c:pt>
                <c:pt idx="184">
                  <c:v>45555</c:v>
                </c:pt>
                <c:pt idx="185">
                  <c:v>45558</c:v>
                </c:pt>
                <c:pt idx="186">
                  <c:v>45559</c:v>
                </c:pt>
                <c:pt idx="187">
                  <c:v>45560</c:v>
                </c:pt>
                <c:pt idx="188">
                  <c:v>45561</c:v>
                </c:pt>
                <c:pt idx="189">
                  <c:v>45562</c:v>
                </c:pt>
                <c:pt idx="190">
                  <c:v>45565</c:v>
                </c:pt>
                <c:pt idx="191">
                  <c:v>45566</c:v>
                </c:pt>
                <c:pt idx="192">
                  <c:v>45567</c:v>
                </c:pt>
                <c:pt idx="193">
                  <c:v>45568</c:v>
                </c:pt>
                <c:pt idx="194">
                  <c:v>45569</c:v>
                </c:pt>
                <c:pt idx="195">
                  <c:v>45572</c:v>
                </c:pt>
                <c:pt idx="196">
                  <c:v>45573</c:v>
                </c:pt>
                <c:pt idx="197">
                  <c:v>45574</c:v>
                </c:pt>
                <c:pt idx="198">
                  <c:v>45575</c:v>
                </c:pt>
                <c:pt idx="199">
                  <c:v>45576</c:v>
                </c:pt>
                <c:pt idx="200">
                  <c:v>45579</c:v>
                </c:pt>
                <c:pt idx="201">
                  <c:v>45580</c:v>
                </c:pt>
                <c:pt idx="202">
                  <c:v>45581</c:v>
                </c:pt>
                <c:pt idx="203">
                  <c:v>45582</c:v>
                </c:pt>
                <c:pt idx="204">
                  <c:v>45583</c:v>
                </c:pt>
                <c:pt idx="205">
                  <c:v>45586</c:v>
                </c:pt>
                <c:pt idx="206">
                  <c:v>45587</c:v>
                </c:pt>
                <c:pt idx="207">
                  <c:v>45588</c:v>
                </c:pt>
                <c:pt idx="208">
                  <c:v>45589</c:v>
                </c:pt>
                <c:pt idx="209">
                  <c:v>45590</c:v>
                </c:pt>
                <c:pt idx="210">
                  <c:v>45593</c:v>
                </c:pt>
                <c:pt idx="211">
                  <c:v>45594</c:v>
                </c:pt>
                <c:pt idx="212">
                  <c:v>45595</c:v>
                </c:pt>
                <c:pt idx="213">
                  <c:v>45596</c:v>
                </c:pt>
                <c:pt idx="214">
                  <c:v>45597</c:v>
                </c:pt>
                <c:pt idx="215">
                  <c:v>45600</c:v>
                </c:pt>
                <c:pt idx="216">
                  <c:v>45601</c:v>
                </c:pt>
                <c:pt idx="217">
                  <c:v>45602</c:v>
                </c:pt>
                <c:pt idx="218">
                  <c:v>45603</c:v>
                </c:pt>
                <c:pt idx="219">
                  <c:v>45604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  <c:pt idx="254">
                  <c:v>45659</c:v>
                </c:pt>
                <c:pt idx="255">
                  <c:v>45660</c:v>
                </c:pt>
                <c:pt idx="256">
                  <c:v>45663</c:v>
                </c:pt>
                <c:pt idx="257">
                  <c:v>45664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45761</c:v>
                </c:pt>
                <c:pt idx="326">
                  <c:v>45762</c:v>
                </c:pt>
                <c:pt idx="327">
                  <c:v>45763</c:v>
                </c:pt>
                <c:pt idx="328">
                  <c:v>45764</c:v>
                </c:pt>
                <c:pt idx="329">
                  <c:v>45768</c:v>
                </c:pt>
                <c:pt idx="330">
                  <c:v>45771</c:v>
                </c:pt>
                <c:pt idx="331">
                  <c:v>45772</c:v>
                </c:pt>
                <c:pt idx="332">
                  <c:v>45775</c:v>
                </c:pt>
                <c:pt idx="333">
                  <c:v>45776</c:v>
                </c:pt>
                <c:pt idx="334">
                  <c:v>45784</c:v>
                </c:pt>
                <c:pt idx="335">
                  <c:v>45785</c:v>
                </c:pt>
                <c:pt idx="336">
                  <c:v>45789</c:v>
                </c:pt>
                <c:pt idx="337">
                  <c:v>45790</c:v>
                </c:pt>
                <c:pt idx="338">
                  <c:v>45796</c:v>
                </c:pt>
                <c:pt idx="339">
                  <c:v>45797</c:v>
                </c:pt>
                <c:pt idx="340">
                  <c:v>45798</c:v>
                </c:pt>
                <c:pt idx="341">
                  <c:v>45799</c:v>
                </c:pt>
                <c:pt idx="342">
                  <c:v>45800</c:v>
                </c:pt>
                <c:pt idx="343">
                  <c:v>45804</c:v>
                </c:pt>
                <c:pt idx="344">
                  <c:v>45805</c:v>
                </c:pt>
                <c:pt idx="345">
                  <c:v>45806</c:v>
                </c:pt>
                <c:pt idx="346">
                  <c:v>45807</c:v>
                </c:pt>
                <c:pt idx="347">
                  <c:v>45810</c:v>
                </c:pt>
                <c:pt idx="348">
                  <c:v>45811</c:v>
                </c:pt>
                <c:pt idx="349">
                  <c:v>45812</c:v>
                </c:pt>
                <c:pt idx="350">
                  <c:v>45813</c:v>
                </c:pt>
                <c:pt idx="351">
                  <c:v>45814</c:v>
                </c:pt>
                <c:pt idx="352">
                  <c:v>45817</c:v>
                </c:pt>
                <c:pt idx="353">
                  <c:v>45818</c:v>
                </c:pt>
                <c:pt idx="354">
                  <c:v>45819</c:v>
                </c:pt>
                <c:pt idx="355">
                  <c:v>45821</c:v>
                </c:pt>
                <c:pt idx="356">
                  <c:v>45824</c:v>
                </c:pt>
                <c:pt idx="357">
                  <c:v>45825</c:v>
                </c:pt>
                <c:pt idx="358">
                  <c:v>45826</c:v>
                </c:pt>
                <c:pt idx="359">
                  <c:v>45828</c:v>
                </c:pt>
                <c:pt idx="360">
                  <c:v>45831</c:v>
                </c:pt>
                <c:pt idx="361">
                  <c:v>45832</c:v>
                </c:pt>
                <c:pt idx="362">
                  <c:v>45833</c:v>
                </c:pt>
                <c:pt idx="363">
                  <c:v>45835</c:v>
                </c:pt>
                <c:pt idx="364">
                  <c:v>45838</c:v>
                </c:pt>
                <c:pt idx="365">
                  <c:v>45839</c:v>
                </c:pt>
                <c:pt idx="366">
                  <c:v>45840</c:v>
                </c:pt>
                <c:pt idx="367">
                  <c:v>45841</c:v>
                </c:pt>
                <c:pt idx="368">
                  <c:v>45845</c:v>
                </c:pt>
                <c:pt idx="369">
                  <c:v>45846</c:v>
                </c:pt>
                <c:pt idx="370">
                  <c:v>45847</c:v>
                </c:pt>
                <c:pt idx="371">
                  <c:v>45848</c:v>
                </c:pt>
                <c:pt idx="372">
                  <c:v>45849</c:v>
                </c:pt>
                <c:pt idx="373">
                  <c:v>45852</c:v>
                </c:pt>
                <c:pt idx="374">
                  <c:v>45853</c:v>
                </c:pt>
                <c:pt idx="375">
                  <c:v>45854</c:v>
                </c:pt>
                <c:pt idx="376">
                  <c:v>45855</c:v>
                </c:pt>
                <c:pt idx="377">
                  <c:v>45856</c:v>
                </c:pt>
                <c:pt idx="378">
                  <c:v>45859</c:v>
                </c:pt>
                <c:pt idx="379">
                  <c:v>45860</c:v>
                </c:pt>
                <c:pt idx="380">
                  <c:v>45861</c:v>
                </c:pt>
                <c:pt idx="381">
                  <c:v>45862</c:v>
                </c:pt>
                <c:pt idx="382">
                  <c:v>45863</c:v>
                </c:pt>
                <c:pt idx="383">
                  <c:v>45866</c:v>
                </c:pt>
                <c:pt idx="384">
                  <c:v>45867</c:v>
                </c:pt>
                <c:pt idx="385">
                  <c:v>45868</c:v>
                </c:pt>
                <c:pt idx="386">
                  <c:v>45869</c:v>
                </c:pt>
                <c:pt idx="387">
                  <c:v>45870</c:v>
                </c:pt>
                <c:pt idx="388">
                  <c:v>45873</c:v>
                </c:pt>
                <c:pt idx="389">
                  <c:v>45874</c:v>
                </c:pt>
                <c:pt idx="390">
                  <c:v>45875</c:v>
                </c:pt>
                <c:pt idx="391">
                  <c:v>45876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Info!$AH$275:$AH$646</c15:sqref>
                  </c15:fullRef>
                </c:ext>
              </c:extLst>
              <c:f>(Info!$AH$275:$AH$283,Info!$AH$285:$AH$646)</c:f>
              <c:numCache>
                <c:formatCode>_-* #,##0.00_-;\-* #,##0.00_-;_-* "-"??_-;_-@_-</c:formatCode>
                <c:ptCount val="371"/>
                <c:pt idx="0">
                  <c:v>50036400</c:v>
                </c:pt>
                <c:pt idx="1">
                  <c:v>49708900</c:v>
                </c:pt>
                <c:pt idx="2">
                  <c:v>49604500</c:v>
                </c:pt>
                <c:pt idx="3">
                  <c:v>49467300</c:v>
                </c:pt>
                <c:pt idx="4">
                  <c:v>49145500</c:v>
                </c:pt>
                <c:pt idx="5">
                  <c:v>48984900</c:v>
                </c:pt>
                <c:pt idx="6">
                  <c:v>48644600</c:v>
                </c:pt>
                <c:pt idx="7">
                  <c:v>47824400</c:v>
                </c:pt>
                <c:pt idx="8">
                  <c:v>49833400</c:v>
                </c:pt>
                <c:pt idx="9">
                  <c:v>48933400</c:v>
                </c:pt>
                <c:pt idx="10">
                  <c:v>48206800</c:v>
                </c:pt>
                <c:pt idx="11">
                  <c:v>47447200</c:v>
                </c:pt>
                <c:pt idx="12">
                  <c:v>46586000</c:v>
                </c:pt>
                <c:pt idx="13">
                  <c:v>46706900</c:v>
                </c:pt>
                <c:pt idx="14">
                  <c:v>46587200</c:v>
                </c:pt>
                <c:pt idx="15">
                  <c:v>46720500</c:v>
                </c:pt>
                <c:pt idx="16">
                  <c:v>46132400</c:v>
                </c:pt>
                <c:pt idx="17">
                  <c:v>45301400</c:v>
                </c:pt>
                <c:pt idx="18">
                  <c:v>43476600</c:v>
                </c:pt>
                <c:pt idx="19">
                  <c:v>43032800</c:v>
                </c:pt>
                <c:pt idx="20">
                  <c:v>43279300</c:v>
                </c:pt>
                <c:pt idx="21">
                  <c:v>43003600</c:v>
                </c:pt>
                <c:pt idx="22">
                  <c:v>41992300</c:v>
                </c:pt>
                <c:pt idx="23">
                  <c:v>41802900</c:v>
                </c:pt>
                <c:pt idx="24">
                  <c:v>41912100</c:v>
                </c:pt>
                <c:pt idx="25">
                  <c:v>42142900</c:v>
                </c:pt>
                <c:pt idx="26">
                  <c:v>42039800</c:v>
                </c:pt>
                <c:pt idx="27">
                  <c:v>41760700</c:v>
                </c:pt>
                <c:pt idx="28">
                  <c:v>41729800</c:v>
                </c:pt>
                <c:pt idx="29">
                  <c:v>42081200</c:v>
                </c:pt>
                <c:pt idx="30">
                  <c:v>41917200</c:v>
                </c:pt>
                <c:pt idx="31">
                  <c:v>41245400</c:v>
                </c:pt>
                <c:pt idx="32" formatCode="General">
                  <c:v>41245400</c:v>
                </c:pt>
                <c:pt idx="33">
                  <c:v>40711100</c:v>
                </c:pt>
                <c:pt idx="34">
                  <c:v>40706300</c:v>
                </c:pt>
                <c:pt idx="35">
                  <c:v>40716900</c:v>
                </c:pt>
                <c:pt idx="36">
                  <c:v>40804300</c:v>
                </c:pt>
                <c:pt idx="37">
                  <c:v>41372400</c:v>
                </c:pt>
                <c:pt idx="38">
                  <c:v>41032400</c:v>
                </c:pt>
                <c:pt idx="39">
                  <c:v>41119500</c:v>
                </c:pt>
                <c:pt idx="40">
                  <c:v>41168900</c:v>
                </c:pt>
                <c:pt idx="41">
                  <c:v>42408200</c:v>
                </c:pt>
                <c:pt idx="42">
                  <c:v>45438300</c:v>
                </c:pt>
                <c:pt idx="43">
                  <c:v>46769300</c:v>
                </c:pt>
                <c:pt idx="44">
                  <c:v>47161600</c:v>
                </c:pt>
                <c:pt idx="45">
                  <c:v>48733200</c:v>
                </c:pt>
                <c:pt idx="46">
                  <c:v>50692700</c:v>
                </c:pt>
                <c:pt idx="47">
                  <c:v>53411900</c:v>
                </c:pt>
                <c:pt idx="48">
                  <c:v>52947400</c:v>
                </c:pt>
                <c:pt idx="49">
                  <c:v>51605700</c:v>
                </c:pt>
                <c:pt idx="50">
                  <c:v>54065400</c:v>
                </c:pt>
                <c:pt idx="51">
                  <c:v>53957100</c:v>
                </c:pt>
                <c:pt idx="52">
                  <c:v>53527400</c:v>
                </c:pt>
                <c:pt idx="53">
                  <c:v>53942000</c:v>
                </c:pt>
                <c:pt idx="54">
                  <c:v>53504700</c:v>
                </c:pt>
                <c:pt idx="55">
                  <c:v>53761400</c:v>
                </c:pt>
                <c:pt idx="56">
                  <c:v>53867700</c:v>
                </c:pt>
                <c:pt idx="57">
                  <c:v>52841000</c:v>
                </c:pt>
                <c:pt idx="58">
                  <c:v>51545800</c:v>
                </c:pt>
                <c:pt idx="59">
                  <c:v>50364200</c:v>
                </c:pt>
                <c:pt idx="60">
                  <c:v>50074100</c:v>
                </c:pt>
                <c:pt idx="61">
                  <c:v>50783400</c:v>
                </c:pt>
                <c:pt idx="62">
                  <c:v>50004500</c:v>
                </c:pt>
                <c:pt idx="63">
                  <c:v>49960600</c:v>
                </c:pt>
                <c:pt idx="64">
                  <c:v>49925700</c:v>
                </c:pt>
                <c:pt idx="65">
                  <c:v>50924700</c:v>
                </c:pt>
                <c:pt idx="66">
                  <c:v>50353700</c:v>
                </c:pt>
                <c:pt idx="67">
                  <c:v>50521400</c:v>
                </c:pt>
                <c:pt idx="68">
                  <c:v>50560100</c:v>
                </c:pt>
                <c:pt idx="69">
                  <c:v>52327700</c:v>
                </c:pt>
                <c:pt idx="70">
                  <c:v>51387000</c:v>
                </c:pt>
                <c:pt idx="71">
                  <c:v>51315000</c:v>
                </c:pt>
                <c:pt idx="72">
                  <c:v>51719300</c:v>
                </c:pt>
                <c:pt idx="73">
                  <c:v>51546300</c:v>
                </c:pt>
                <c:pt idx="74">
                  <c:v>52048400</c:v>
                </c:pt>
                <c:pt idx="75">
                  <c:v>51493700</c:v>
                </c:pt>
                <c:pt idx="76">
                  <c:v>51624900</c:v>
                </c:pt>
                <c:pt idx="77">
                  <c:v>51759000</c:v>
                </c:pt>
                <c:pt idx="78">
                  <c:v>52091400</c:v>
                </c:pt>
                <c:pt idx="79">
                  <c:v>52131700</c:v>
                </c:pt>
                <c:pt idx="80">
                  <c:v>52485200</c:v>
                </c:pt>
                <c:pt idx="81">
                  <c:v>51979100</c:v>
                </c:pt>
                <c:pt idx="82">
                  <c:v>52258800</c:v>
                </c:pt>
                <c:pt idx="83">
                  <c:v>52609700</c:v>
                </c:pt>
                <c:pt idx="84">
                  <c:v>52554200</c:v>
                </c:pt>
                <c:pt idx="85">
                  <c:v>53033500</c:v>
                </c:pt>
                <c:pt idx="86">
                  <c:v>52983500</c:v>
                </c:pt>
                <c:pt idx="87">
                  <c:v>52688800</c:v>
                </c:pt>
                <c:pt idx="88">
                  <c:v>53985300</c:v>
                </c:pt>
                <c:pt idx="89">
                  <c:v>52936700</c:v>
                </c:pt>
                <c:pt idx="90">
                  <c:v>52233100</c:v>
                </c:pt>
                <c:pt idx="91">
                  <c:v>52295200</c:v>
                </c:pt>
                <c:pt idx="92">
                  <c:v>53227500</c:v>
                </c:pt>
                <c:pt idx="93">
                  <c:v>52884700</c:v>
                </c:pt>
                <c:pt idx="94">
                  <c:v>53879000</c:v>
                </c:pt>
                <c:pt idx="95">
                  <c:v>52778200</c:v>
                </c:pt>
                <c:pt idx="96">
                  <c:v>53059100</c:v>
                </c:pt>
                <c:pt idx="97">
                  <c:v>51466900</c:v>
                </c:pt>
                <c:pt idx="98">
                  <c:v>50566500</c:v>
                </c:pt>
                <c:pt idx="99">
                  <c:v>49800000</c:v>
                </c:pt>
                <c:pt idx="100">
                  <c:v>49800000</c:v>
                </c:pt>
                <c:pt idx="101">
                  <c:v>48543000</c:v>
                </c:pt>
                <c:pt idx="102">
                  <c:v>47519100</c:v>
                </c:pt>
                <c:pt idx="103">
                  <c:v>48003900</c:v>
                </c:pt>
                <c:pt idx="104">
                  <c:v>45925100</c:v>
                </c:pt>
                <c:pt idx="105">
                  <c:v>45508600</c:v>
                </c:pt>
                <c:pt idx="106">
                  <c:v>44748800</c:v>
                </c:pt>
                <c:pt idx="107">
                  <c:v>45340900</c:v>
                </c:pt>
                <c:pt idx="108">
                  <c:v>45635400</c:v>
                </c:pt>
                <c:pt idx="109">
                  <c:v>44180800</c:v>
                </c:pt>
                <c:pt idx="110">
                  <c:v>43500300</c:v>
                </c:pt>
                <c:pt idx="111">
                  <c:v>43685700</c:v>
                </c:pt>
                <c:pt idx="112">
                  <c:v>43656300</c:v>
                </c:pt>
                <c:pt idx="113">
                  <c:v>43394600</c:v>
                </c:pt>
                <c:pt idx="114">
                  <c:v>44205000</c:v>
                </c:pt>
                <c:pt idx="115">
                  <c:v>43921100</c:v>
                </c:pt>
                <c:pt idx="116">
                  <c:v>44466300</c:v>
                </c:pt>
                <c:pt idx="117">
                  <c:v>44466300</c:v>
                </c:pt>
                <c:pt idx="118">
                  <c:v>45742300</c:v>
                </c:pt>
                <c:pt idx="119">
                  <c:v>45353500</c:v>
                </c:pt>
                <c:pt idx="120">
                  <c:v>45335300</c:v>
                </c:pt>
                <c:pt idx="121">
                  <c:v>45219000</c:v>
                </c:pt>
                <c:pt idx="122">
                  <c:v>44229000</c:v>
                </c:pt>
                <c:pt idx="123">
                  <c:v>44808600</c:v>
                </c:pt>
                <c:pt idx="124">
                  <c:v>44835400</c:v>
                </c:pt>
                <c:pt idx="125">
                  <c:v>45170800</c:v>
                </c:pt>
                <c:pt idx="126">
                  <c:v>45473000</c:v>
                </c:pt>
                <c:pt idx="127">
                  <c:v>47311400</c:v>
                </c:pt>
                <c:pt idx="128">
                  <c:v>47311400</c:v>
                </c:pt>
                <c:pt idx="129">
                  <c:v>50764200</c:v>
                </c:pt>
                <c:pt idx="130">
                  <c:v>51006700</c:v>
                </c:pt>
                <c:pt idx="131">
                  <c:v>51632400</c:v>
                </c:pt>
                <c:pt idx="132">
                  <c:v>52874100</c:v>
                </c:pt>
                <c:pt idx="133">
                  <c:v>55696700</c:v>
                </c:pt>
                <c:pt idx="134">
                  <c:v>54949600</c:v>
                </c:pt>
                <c:pt idx="135">
                  <c:v>56412100</c:v>
                </c:pt>
                <c:pt idx="136">
                  <c:v>57986200</c:v>
                </c:pt>
                <c:pt idx="137">
                  <c:v>59225900</c:v>
                </c:pt>
                <c:pt idx="138">
                  <c:v>59801300</c:v>
                </c:pt>
                <c:pt idx="139">
                  <c:v>58467300</c:v>
                </c:pt>
                <c:pt idx="140">
                  <c:v>58506700</c:v>
                </c:pt>
                <c:pt idx="141">
                  <c:v>57230600</c:v>
                </c:pt>
                <c:pt idx="142">
                  <c:v>57094100</c:v>
                </c:pt>
                <c:pt idx="143">
                  <c:v>53701400</c:v>
                </c:pt>
                <c:pt idx="144">
                  <c:v>51960300</c:v>
                </c:pt>
                <c:pt idx="145">
                  <c:v>50922000</c:v>
                </c:pt>
                <c:pt idx="146">
                  <c:v>51091400</c:v>
                </c:pt>
                <c:pt idx="147">
                  <c:v>50420400</c:v>
                </c:pt>
                <c:pt idx="148">
                  <c:v>51232900</c:v>
                </c:pt>
                <c:pt idx="149">
                  <c:v>50751700</c:v>
                </c:pt>
                <c:pt idx="150">
                  <c:v>48784900</c:v>
                </c:pt>
                <c:pt idx="151">
                  <c:v>48064500</c:v>
                </c:pt>
                <c:pt idx="152">
                  <c:v>47861800</c:v>
                </c:pt>
                <c:pt idx="153">
                  <c:v>48012000</c:v>
                </c:pt>
                <c:pt idx="154">
                  <c:v>48259600</c:v>
                </c:pt>
                <c:pt idx="155">
                  <c:v>49570800</c:v>
                </c:pt>
                <c:pt idx="156">
                  <c:v>50587200</c:v>
                </c:pt>
                <c:pt idx="157">
                  <c:v>50166700</c:v>
                </c:pt>
                <c:pt idx="158">
                  <c:v>50184600</c:v>
                </c:pt>
                <c:pt idx="159">
                  <c:v>52595700</c:v>
                </c:pt>
                <c:pt idx="160">
                  <c:v>52696300</c:v>
                </c:pt>
                <c:pt idx="161">
                  <c:v>53286700</c:v>
                </c:pt>
                <c:pt idx="162">
                  <c:v>53169900</c:v>
                </c:pt>
                <c:pt idx="163">
                  <c:v>52226900</c:v>
                </c:pt>
                <c:pt idx="164">
                  <c:v>52429000</c:v>
                </c:pt>
                <c:pt idx="165">
                  <c:v>52587300</c:v>
                </c:pt>
                <c:pt idx="166">
                  <c:v>52175900</c:v>
                </c:pt>
                <c:pt idx="167">
                  <c:v>52178800</c:v>
                </c:pt>
                <c:pt idx="168">
                  <c:v>52518800</c:v>
                </c:pt>
                <c:pt idx="169">
                  <c:v>51995000</c:v>
                </c:pt>
                <c:pt idx="170">
                  <c:v>51995000</c:v>
                </c:pt>
                <c:pt idx="171">
                  <c:v>51113600</c:v>
                </c:pt>
                <c:pt idx="172">
                  <c:v>51072100</c:v>
                </c:pt>
                <c:pt idx="173">
                  <c:v>51128200</c:v>
                </c:pt>
                <c:pt idx="174">
                  <c:v>50778700</c:v>
                </c:pt>
                <c:pt idx="175">
                  <c:v>50647600</c:v>
                </c:pt>
                <c:pt idx="176">
                  <c:v>51150100</c:v>
                </c:pt>
                <c:pt idx="177">
                  <c:v>51346900</c:v>
                </c:pt>
                <c:pt idx="178">
                  <c:v>53602500</c:v>
                </c:pt>
                <c:pt idx="179">
                  <c:v>54434800</c:v>
                </c:pt>
                <c:pt idx="180">
                  <c:v>54333000</c:v>
                </c:pt>
                <c:pt idx="181">
                  <c:v>53762700</c:v>
                </c:pt>
                <c:pt idx="182">
                  <c:v>53826900</c:v>
                </c:pt>
                <c:pt idx="183">
                  <c:v>53883200</c:v>
                </c:pt>
                <c:pt idx="184">
                  <c:v>55530300</c:v>
                </c:pt>
                <c:pt idx="185">
                  <c:v>55672000</c:v>
                </c:pt>
                <c:pt idx="186">
                  <c:v>56464000</c:v>
                </c:pt>
                <c:pt idx="187">
                  <c:v>55398600</c:v>
                </c:pt>
                <c:pt idx="188">
                  <c:v>55036000</c:v>
                </c:pt>
                <c:pt idx="189">
                  <c:v>54402600</c:v>
                </c:pt>
                <c:pt idx="190">
                  <c:v>52839200</c:v>
                </c:pt>
                <c:pt idx="191">
                  <c:v>53310700</c:v>
                </c:pt>
                <c:pt idx="192">
                  <c:v>52982700</c:v>
                </c:pt>
                <c:pt idx="193">
                  <c:v>52844000</c:v>
                </c:pt>
                <c:pt idx="194">
                  <c:v>52991900</c:v>
                </c:pt>
                <c:pt idx="195">
                  <c:v>52682200</c:v>
                </c:pt>
                <c:pt idx="196">
                  <c:v>52031600</c:v>
                </c:pt>
                <c:pt idx="197">
                  <c:v>52183600</c:v>
                </c:pt>
                <c:pt idx="198">
                  <c:v>53110600</c:v>
                </c:pt>
                <c:pt idx="199">
                  <c:v>53873400</c:v>
                </c:pt>
                <c:pt idx="200">
                  <c:v>53662400</c:v>
                </c:pt>
                <c:pt idx="201">
                  <c:v>54123200</c:v>
                </c:pt>
                <c:pt idx="202">
                  <c:v>54742100</c:v>
                </c:pt>
                <c:pt idx="203">
                  <c:v>55775800</c:v>
                </c:pt>
                <c:pt idx="204">
                  <c:v>56671400</c:v>
                </c:pt>
                <c:pt idx="205">
                  <c:v>56744400</c:v>
                </c:pt>
                <c:pt idx="206">
                  <c:v>57376000</c:v>
                </c:pt>
                <c:pt idx="207">
                  <c:v>56536900</c:v>
                </c:pt>
                <c:pt idx="208">
                  <c:v>56513100</c:v>
                </c:pt>
                <c:pt idx="209">
                  <c:v>56539700</c:v>
                </c:pt>
                <c:pt idx="210">
                  <c:v>56140600</c:v>
                </c:pt>
                <c:pt idx="211">
                  <c:v>57946800</c:v>
                </c:pt>
                <c:pt idx="212">
                  <c:v>58444500</c:v>
                </c:pt>
                <c:pt idx="213">
                  <c:v>56859200</c:v>
                </c:pt>
                <c:pt idx="214">
                  <c:v>56225300</c:v>
                </c:pt>
                <c:pt idx="215">
                  <c:v>55812500</c:v>
                </c:pt>
                <c:pt idx="216">
                  <c:v>55803400</c:v>
                </c:pt>
                <c:pt idx="217">
                  <c:v>54762500</c:v>
                </c:pt>
                <c:pt idx="218">
                  <c:v>55356600</c:v>
                </c:pt>
                <c:pt idx="219">
                  <c:v>55270600</c:v>
                </c:pt>
                <c:pt idx="220">
                  <c:v>53598100</c:v>
                </c:pt>
                <c:pt idx="221">
                  <c:v>54124300</c:v>
                </c:pt>
                <c:pt idx="222">
                  <c:v>53589100</c:v>
                </c:pt>
                <c:pt idx="223">
                  <c:v>51518100</c:v>
                </c:pt>
                <c:pt idx="224">
                  <c:v>51518100</c:v>
                </c:pt>
                <c:pt idx="225">
                  <c:v>50295200</c:v>
                </c:pt>
                <c:pt idx="226">
                  <c:v>50131500</c:v>
                </c:pt>
                <c:pt idx="227">
                  <c:v>49619200</c:v>
                </c:pt>
                <c:pt idx="228">
                  <c:v>50390400</c:v>
                </c:pt>
                <c:pt idx="229">
                  <c:v>48116100</c:v>
                </c:pt>
                <c:pt idx="230">
                  <c:v>47266000</c:v>
                </c:pt>
                <c:pt idx="231">
                  <c:v>46842300</c:v>
                </c:pt>
                <c:pt idx="232">
                  <c:v>46842300</c:v>
                </c:pt>
                <c:pt idx="233">
                  <c:v>45776500</c:v>
                </c:pt>
                <c:pt idx="234">
                  <c:v>45938300</c:v>
                </c:pt>
                <c:pt idx="235">
                  <c:v>46204000</c:v>
                </c:pt>
                <c:pt idx="236">
                  <c:v>46886400</c:v>
                </c:pt>
                <c:pt idx="237">
                  <c:v>46949100</c:v>
                </c:pt>
                <c:pt idx="238">
                  <c:v>46797500</c:v>
                </c:pt>
                <c:pt idx="239">
                  <c:v>47611900</c:v>
                </c:pt>
                <c:pt idx="240">
                  <c:v>48334600</c:v>
                </c:pt>
                <c:pt idx="241">
                  <c:v>49549700</c:v>
                </c:pt>
                <c:pt idx="242">
                  <c:v>49058900</c:v>
                </c:pt>
                <c:pt idx="243">
                  <c:v>47806700</c:v>
                </c:pt>
                <c:pt idx="244">
                  <c:v>47109800</c:v>
                </c:pt>
                <c:pt idx="245">
                  <c:v>46657100</c:v>
                </c:pt>
                <c:pt idx="246">
                  <c:v>46187600</c:v>
                </c:pt>
                <c:pt idx="247">
                  <c:v>45781400</c:v>
                </c:pt>
                <c:pt idx="248">
                  <c:v>45864400</c:v>
                </c:pt>
                <c:pt idx="249">
                  <c:v>45555800</c:v>
                </c:pt>
                <c:pt idx="250">
                  <c:v>45423200</c:v>
                </c:pt>
                <c:pt idx="251">
                  <c:v>44855400</c:v>
                </c:pt>
                <c:pt idx="252">
                  <c:v>45097000</c:v>
                </c:pt>
                <c:pt idx="253">
                  <c:v>45942200</c:v>
                </c:pt>
                <c:pt idx="254">
                  <c:v>46733500</c:v>
                </c:pt>
                <c:pt idx="255">
                  <c:v>46712900</c:v>
                </c:pt>
                <c:pt idx="256">
                  <c:v>46400000</c:v>
                </c:pt>
                <c:pt idx="257">
                  <c:v>47704300</c:v>
                </c:pt>
                <c:pt idx="258">
                  <c:v>48185800</c:v>
                </c:pt>
                <c:pt idx="259">
                  <c:v>48974500</c:v>
                </c:pt>
                <c:pt idx="260">
                  <c:v>49910500</c:v>
                </c:pt>
                <c:pt idx="261">
                  <c:v>50488900</c:v>
                </c:pt>
                <c:pt idx="262">
                  <c:v>52646700</c:v>
                </c:pt>
                <c:pt idx="263">
                  <c:v>53603500</c:v>
                </c:pt>
                <c:pt idx="264">
                  <c:v>55246400</c:v>
                </c:pt>
                <c:pt idx="265">
                  <c:v>55793300</c:v>
                </c:pt>
                <c:pt idx="266">
                  <c:v>55793300</c:v>
                </c:pt>
                <c:pt idx="267">
                  <c:v>57138700</c:v>
                </c:pt>
                <c:pt idx="268">
                  <c:v>58198900</c:v>
                </c:pt>
                <c:pt idx="269">
                  <c:v>58655500</c:v>
                </c:pt>
                <c:pt idx="270">
                  <c:v>59729500</c:v>
                </c:pt>
                <c:pt idx="271">
                  <c:v>58277800</c:v>
                </c:pt>
                <c:pt idx="272">
                  <c:v>57750500</c:v>
                </c:pt>
                <c:pt idx="273">
                  <c:v>56645900</c:v>
                </c:pt>
                <c:pt idx="274">
                  <c:v>57470700</c:v>
                </c:pt>
                <c:pt idx="275">
                  <c:v>54864200</c:v>
                </c:pt>
                <c:pt idx="276">
                  <c:v>54368100</c:v>
                </c:pt>
                <c:pt idx="277">
                  <c:v>54200400</c:v>
                </c:pt>
                <c:pt idx="278">
                  <c:v>54035100</c:v>
                </c:pt>
                <c:pt idx="279">
                  <c:v>53405400</c:v>
                </c:pt>
                <c:pt idx="280">
                  <c:v>53073800</c:v>
                </c:pt>
                <c:pt idx="281">
                  <c:v>53620200</c:v>
                </c:pt>
                <c:pt idx="282">
                  <c:v>52871900</c:v>
                </c:pt>
                <c:pt idx="283">
                  <c:v>52805100</c:v>
                </c:pt>
                <c:pt idx="284">
                  <c:v>53029300</c:v>
                </c:pt>
                <c:pt idx="285">
                  <c:v>52293200</c:v>
                </c:pt>
                <c:pt idx="286">
                  <c:v>52293200</c:v>
                </c:pt>
                <c:pt idx="287">
                  <c:v>52233000</c:v>
                </c:pt>
                <c:pt idx="288">
                  <c:v>52418400</c:v>
                </c:pt>
                <c:pt idx="289">
                  <c:v>52662500</c:v>
                </c:pt>
                <c:pt idx="290">
                  <c:v>52532100</c:v>
                </c:pt>
                <c:pt idx="291">
                  <c:v>52978500</c:v>
                </c:pt>
                <c:pt idx="292">
                  <c:v>51217900</c:v>
                </c:pt>
                <c:pt idx="293">
                  <c:v>51312800</c:v>
                </c:pt>
                <c:pt idx="294">
                  <c:v>50772200</c:v>
                </c:pt>
                <c:pt idx="295">
                  <c:v>48962900</c:v>
                </c:pt>
                <c:pt idx="296">
                  <c:v>48884200</c:v>
                </c:pt>
                <c:pt idx="297">
                  <c:v>48927000</c:v>
                </c:pt>
                <c:pt idx="298">
                  <c:v>49235300</c:v>
                </c:pt>
                <c:pt idx="299">
                  <c:v>49360800</c:v>
                </c:pt>
                <c:pt idx="300">
                  <c:v>49977600</c:v>
                </c:pt>
                <c:pt idx="301">
                  <c:v>50514900</c:v>
                </c:pt>
                <c:pt idx="302">
                  <c:v>51127600</c:v>
                </c:pt>
                <c:pt idx="303">
                  <c:v>50871400</c:v>
                </c:pt>
                <c:pt idx="304">
                  <c:v>52614500</c:v>
                </c:pt>
                <c:pt idx="305">
                  <c:v>53234800</c:v>
                </c:pt>
                <c:pt idx="306">
                  <c:v>53121100</c:v>
                </c:pt>
                <c:pt idx="307">
                  <c:v>53356600</c:v>
                </c:pt>
                <c:pt idx="308">
                  <c:v>53783600</c:v>
                </c:pt>
                <c:pt idx="309">
                  <c:v>53273100</c:v>
                </c:pt>
                <c:pt idx="310">
                  <c:v>51914000</c:v>
                </c:pt>
                <c:pt idx="311">
                  <c:v>50699900</c:v>
                </c:pt>
                <c:pt idx="312">
                  <c:v>51148200</c:v>
                </c:pt>
                <c:pt idx="313">
                  <c:v>50808300</c:v>
                </c:pt>
                <c:pt idx="314">
                  <c:v>51263700</c:v>
                </c:pt>
                <c:pt idx="315">
                  <c:v>57482400</c:v>
                </c:pt>
                <c:pt idx="316">
                  <c:v>50577200</c:v>
                </c:pt>
                <c:pt idx="317">
                  <c:v>49874600</c:v>
                </c:pt>
                <c:pt idx="318">
                  <c:v>49372000</c:v>
                </c:pt>
                <c:pt idx="319">
                  <c:v>48500800</c:v>
                </c:pt>
                <c:pt idx="320">
                  <c:v>46705900</c:v>
                </c:pt>
                <c:pt idx="321">
                  <c:v>47335400</c:v>
                </c:pt>
                <c:pt idx="322">
                  <c:v>44546800</c:v>
                </c:pt>
                <c:pt idx="323">
                  <c:v>44908700</c:v>
                </c:pt>
                <c:pt idx="324">
                  <c:v>45950400</c:v>
                </c:pt>
                <c:pt idx="325">
                  <c:v>45432700</c:v>
                </c:pt>
                <c:pt idx="326">
                  <c:v>45662800</c:v>
                </c:pt>
                <c:pt idx="327">
                  <c:v>46349000</c:v>
                </c:pt>
                <c:pt idx="328">
                  <c:v>46053500</c:v>
                </c:pt>
                <c:pt idx="329">
                  <c:v>46632500</c:v>
                </c:pt>
                <c:pt idx="330">
                  <c:v>44663700</c:v>
                </c:pt>
                <c:pt idx="331">
                  <c:v>44554800</c:v>
                </c:pt>
                <c:pt idx="332">
                  <c:v>44807500</c:v>
                </c:pt>
                <c:pt idx="333">
                  <c:v>45186800</c:v>
                </c:pt>
                <c:pt idx="334">
                  <c:v>44383200</c:v>
                </c:pt>
                <c:pt idx="335">
                  <c:v>43843100</c:v>
                </c:pt>
                <c:pt idx="336">
                  <c:v>44056000</c:v>
                </c:pt>
                <c:pt idx="337">
                  <c:v>44084200</c:v>
                </c:pt>
                <c:pt idx="338">
                  <c:v>44294300</c:v>
                </c:pt>
                <c:pt idx="339">
                  <c:v>44800000</c:v>
                </c:pt>
                <c:pt idx="340">
                  <c:v>45334000</c:v>
                </c:pt>
                <c:pt idx="341">
                  <c:v>45256400</c:v>
                </c:pt>
                <c:pt idx="342">
                  <c:v>45810100</c:v>
                </c:pt>
                <c:pt idx="343">
                  <c:v>43753800</c:v>
                </c:pt>
                <c:pt idx="344">
                  <c:v>42954200</c:v>
                </c:pt>
                <c:pt idx="345">
                  <c:v>42260500</c:v>
                </c:pt>
                <c:pt idx="346">
                  <c:v>40878700</c:v>
                </c:pt>
                <c:pt idx="347">
                  <c:v>41621700</c:v>
                </c:pt>
                <c:pt idx="348">
                  <c:v>41594100</c:v>
                </c:pt>
                <c:pt idx="349">
                  <c:v>42121800</c:v>
                </c:pt>
                <c:pt idx="350">
                  <c:v>41965300</c:v>
                </c:pt>
                <c:pt idx="351">
                  <c:v>41596200</c:v>
                </c:pt>
                <c:pt idx="352">
                  <c:v>41449300</c:v>
                </c:pt>
                <c:pt idx="353">
                  <c:v>41714300</c:v>
                </c:pt>
                <c:pt idx="354">
                  <c:v>42327600</c:v>
                </c:pt>
                <c:pt idx="355">
                  <c:v>43967400</c:v>
                </c:pt>
                <c:pt idx="356">
                  <c:v>43932100</c:v>
                </c:pt>
                <c:pt idx="357">
                  <c:v>44121400</c:v>
                </c:pt>
                <c:pt idx="358">
                  <c:v>44831900</c:v>
                </c:pt>
                <c:pt idx="359">
                  <c:v>44010700</c:v>
                </c:pt>
                <c:pt idx="360">
                  <c:v>44090500</c:v>
                </c:pt>
                <c:pt idx="361">
                  <c:v>43495800</c:v>
                </c:pt>
                <c:pt idx="362">
                  <c:v>43413800</c:v>
                </c:pt>
                <c:pt idx="363">
                  <c:v>43602200</c:v>
                </c:pt>
                <c:pt idx="364">
                  <c:v>43471400</c:v>
                </c:pt>
                <c:pt idx="365">
                  <c:v>43766200</c:v>
                </c:pt>
                <c:pt idx="366">
                  <c:v>43870900</c:v>
                </c:pt>
                <c:pt idx="367">
                  <c:v>44392000</c:v>
                </c:pt>
                <c:pt idx="368">
                  <c:v>44594400</c:v>
                </c:pt>
                <c:pt idx="369">
                  <c:v>44314400</c:v>
                </c:pt>
                <c:pt idx="370">
                  <c:v>44008600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0D0-4169-8B95-6389A2899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852912"/>
        <c:axId val="279846256"/>
      </c:lineChart>
      <c:lineChart>
        <c:grouping val="standard"/>
        <c:varyColors val="0"/>
        <c:ser>
          <c:idx val="2"/>
          <c:order val="1"/>
          <c:tx>
            <c:strRef>
              <c:f>Info!$AI$1</c:f>
              <c:strCache>
                <c:ptCount val="1"/>
                <c:pt idx="0">
                  <c:v>Stock/
Agg OI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Info!$A$275:$A$667</c15:sqref>
                  </c15:fullRef>
                </c:ext>
              </c:extLst>
              <c:f>(Info!$A$275:$A$283,Info!$A$285:$A$667)</c:f>
              <c:numCache>
                <c:formatCode>m/d/yy</c:formatCode>
                <c:ptCount val="39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45404</c:v>
                </c:pt>
                <c:pt idx="76">
                  <c:v>45405</c:v>
                </c:pt>
                <c:pt idx="77">
                  <c:v>45406</c:v>
                </c:pt>
                <c:pt idx="78">
                  <c:v>45407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45462</c:v>
                </c:pt>
                <c:pt idx="118">
                  <c:v>45463</c:v>
                </c:pt>
                <c:pt idx="119">
                  <c:v>45464</c:v>
                </c:pt>
                <c:pt idx="120">
                  <c:v>45467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45474</c:v>
                </c:pt>
                <c:pt idx="126">
                  <c:v>45475</c:v>
                </c:pt>
                <c:pt idx="127">
                  <c:v>45476</c:v>
                </c:pt>
                <c:pt idx="128">
                  <c:v>45477</c:v>
                </c:pt>
                <c:pt idx="129">
                  <c:v>45478</c:v>
                </c:pt>
                <c:pt idx="130">
                  <c:v>45481</c:v>
                </c:pt>
                <c:pt idx="131">
                  <c:v>45482</c:v>
                </c:pt>
                <c:pt idx="132">
                  <c:v>45483</c:v>
                </c:pt>
                <c:pt idx="133">
                  <c:v>45484</c:v>
                </c:pt>
                <c:pt idx="134">
                  <c:v>45485</c:v>
                </c:pt>
                <c:pt idx="135">
                  <c:v>45488</c:v>
                </c:pt>
                <c:pt idx="136">
                  <c:v>45489</c:v>
                </c:pt>
                <c:pt idx="137">
                  <c:v>45490</c:v>
                </c:pt>
                <c:pt idx="138">
                  <c:v>45491</c:v>
                </c:pt>
                <c:pt idx="139">
                  <c:v>45492</c:v>
                </c:pt>
                <c:pt idx="140">
                  <c:v>45495</c:v>
                </c:pt>
                <c:pt idx="141">
                  <c:v>45496</c:v>
                </c:pt>
                <c:pt idx="142">
                  <c:v>45497</c:v>
                </c:pt>
                <c:pt idx="143">
                  <c:v>45498</c:v>
                </c:pt>
                <c:pt idx="144">
                  <c:v>45499</c:v>
                </c:pt>
                <c:pt idx="145">
                  <c:v>45502</c:v>
                </c:pt>
                <c:pt idx="146">
                  <c:v>45503</c:v>
                </c:pt>
                <c:pt idx="147">
                  <c:v>45504</c:v>
                </c:pt>
                <c:pt idx="148">
                  <c:v>45505</c:v>
                </c:pt>
                <c:pt idx="149">
                  <c:v>45506</c:v>
                </c:pt>
                <c:pt idx="150">
                  <c:v>45509</c:v>
                </c:pt>
                <c:pt idx="151">
                  <c:v>45510</c:v>
                </c:pt>
                <c:pt idx="152">
                  <c:v>45511</c:v>
                </c:pt>
                <c:pt idx="153">
                  <c:v>45512</c:v>
                </c:pt>
                <c:pt idx="154">
                  <c:v>45513</c:v>
                </c:pt>
                <c:pt idx="155">
                  <c:v>45516</c:v>
                </c:pt>
                <c:pt idx="156">
                  <c:v>45517</c:v>
                </c:pt>
                <c:pt idx="157">
                  <c:v>45518</c:v>
                </c:pt>
                <c:pt idx="158">
                  <c:v>45519</c:v>
                </c:pt>
                <c:pt idx="159">
                  <c:v>45520</c:v>
                </c:pt>
                <c:pt idx="160">
                  <c:v>45523</c:v>
                </c:pt>
                <c:pt idx="161">
                  <c:v>45524</c:v>
                </c:pt>
                <c:pt idx="162">
                  <c:v>45525</c:v>
                </c:pt>
                <c:pt idx="163">
                  <c:v>45526</c:v>
                </c:pt>
                <c:pt idx="164">
                  <c:v>45527</c:v>
                </c:pt>
                <c:pt idx="165">
                  <c:v>45530</c:v>
                </c:pt>
                <c:pt idx="166">
                  <c:v>45531</c:v>
                </c:pt>
                <c:pt idx="167">
                  <c:v>45532</c:v>
                </c:pt>
                <c:pt idx="168">
                  <c:v>45533</c:v>
                </c:pt>
                <c:pt idx="169">
                  <c:v>45534</c:v>
                </c:pt>
                <c:pt idx="170">
                  <c:v>45537</c:v>
                </c:pt>
                <c:pt idx="171">
                  <c:v>45538</c:v>
                </c:pt>
                <c:pt idx="172">
                  <c:v>45539</c:v>
                </c:pt>
                <c:pt idx="173">
                  <c:v>45540</c:v>
                </c:pt>
                <c:pt idx="174">
                  <c:v>45541</c:v>
                </c:pt>
                <c:pt idx="175">
                  <c:v>45544</c:v>
                </c:pt>
                <c:pt idx="176">
                  <c:v>45545</c:v>
                </c:pt>
                <c:pt idx="177">
                  <c:v>45546</c:v>
                </c:pt>
                <c:pt idx="178">
                  <c:v>45547</c:v>
                </c:pt>
                <c:pt idx="179">
                  <c:v>45548</c:v>
                </c:pt>
                <c:pt idx="180">
                  <c:v>45551</c:v>
                </c:pt>
                <c:pt idx="181">
                  <c:v>45552</c:v>
                </c:pt>
                <c:pt idx="182">
                  <c:v>45553</c:v>
                </c:pt>
                <c:pt idx="183">
                  <c:v>45554</c:v>
                </c:pt>
                <c:pt idx="184">
                  <c:v>45555</c:v>
                </c:pt>
                <c:pt idx="185">
                  <c:v>45558</c:v>
                </c:pt>
                <c:pt idx="186">
                  <c:v>45559</c:v>
                </c:pt>
                <c:pt idx="187">
                  <c:v>45560</c:v>
                </c:pt>
                <c:pt idx="188">
                  <c:v>45561</c:v>
                </c:pt>
                <c:pt idx="189">
                  <c:v>45562</c:v>
                </c:pt>
                <c:pt idx="190">
                  <c:v>45565</c:v>
                </c:pt>
                <c:pt idx="191">
                  <c:v>45566</c:v>
                </c:pt>
                <c:pt idx="192">
                  <c:v>45567</c:v>
                </c:pt>
                <c:pt idx="193">
                  <c:v>45568</c:v>
                </c:pt>
                <c:pt idx="194">
                  <c:v>45569</c:v>
                </c:pt>
                <c:pt idx="195">
                  <c:v>45572</c:v>
                </c:pt>
                <c:pt idx="196">
                  <c:v>45573</c:v>
                </c:pt>
                <c:pt idx="197">
                  <c:v>45574</c:v>
                </c:pt>
                <c:pt idx="198">
                  <c:v>45575</c:v>
                </c:pt>
                <c:pt idx="199">
                  <c:v>45576</c:v>
                </c:pt>
                <c:pt idx="200">
                  <c:v>45579</c:v>
                </c:pt>
                <c:pt idx="201">
                  <c:v>45580</c:v>
                </c:pt>
                <c:pt idx="202">
                  <c:v>45581</c:v>
                </c:pt>
                <c:pt idx="203">
                  <c:v>45582</c:v>
                </c:pt>
                <c:pt idx="204">
                  <c:v>45583</c:v>
                </c:pt>
                <c:pt idx="205">
                  <c:v>45586</c:v>
                </c:pt>
                <c:pt idx="206">
                  <c:v>45587</c:v>
                </c:pt>
                <c:pt idx="207">
                  <c:v>45588</c:v>
                </c:pt>
                <c:pt idx="208">
                  <c:v>45589</c:v>
                </c:pt>
                <c:pt idx="209">
                  <c:v>45590</c:v>
                </c:pt>
                <c:pt idx="210">
                  <c:v>45593</c:v>
                </c:pt>
                <c:pt idx="211">
                  <c:v>45594</c:v>
                </c:pt>
                <c:pt idx="212">
                  <c:v>45595</c:v>
                </c:pt>
                <c:pt idx="213">
                  <c:v>45596</c:v>
                </c:pt>
                <c:pt idx="214">
                  <c:v>45597</c:v>
                </c:pt>
                <c:pt idx="215">
                  <c:v>45600</c:v>
                </c:pt>
                <c:pt idx="216">
                  <c:v>45601</c:v>
                </c:pt>
                <c:pt idx="217">
                  <c:v>45602</c:v>
                </c:pt>
                <c:pt idx="218">
                  <c:v>45603</c:v>
                </c:pt>
                <c:pt idx="219">
                  <c:v>45604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  <c:pt idx="254">
                  <c:v>45659</c:v>
                </c:pt>
                <c:pt idx="255">
                  <c:v>45660</c:v>
                </c:pt>
                <c:pt idx="256">
                  <c:v>45663</c:v>
                </c:pt>
                <c:pt idx="257">
                  <c:v>45664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45761</c:v>
                </c:pt>
                <c:pt idx="326">
                  <c:v>45762</c:v>
                </c:pt>
                <c:pt idx="327">
                  <c:v>45763</c:v>
                </c:pt>
                <c:pt idx="328">
                  <c:v>45764</c:v>
                </c:pt>
                <c:pt idx="329">
                  <c:v>45768</c:v>
                </c:pt>
                <c:pt idx="330">
                  <c:v>45771</c:v>
                </c:pt>
                <c:pt idx="331">
                  <c:v>45772</c:v>
                </c:pt>
                <c:pt idx="332">
                  <c:v>45775</c:v>
                </c:pt>
                <c:pt idx="333">
                  <c:v>45776</c:v>
                </c:pt>
                <c:pt idx="334">
                  <c:v>45784</c:v>
                </c:pt>
                <c:pt idx="335">
                  <c:v>45785</c:v>
                </c:pt>
                <c:pt idx="336">
                  <c:v>45789</c:v>
                </c:pt>
                <c:pt idx="337">
                  <c:v>45790</c:v>
                </c:pt>
                <c:pt idx="338">
                  <c:v>45796</c:v>
                </c:pt>
                <c:pt idx="339">
                  <c:v>45797</c:v>
                </c:pt>
                <c:pt idx="340">
                  <c:v>45798</c:v>
                </c:pt>
                <c:pt idx="341">
                  <c:v>45799</c:v>
                </c:pt>
                <c:pt idx="342">
                  <c:v>45800</c:v>
                </c:pt>
                <c:pt idx="343">
                  <c:v>45804</c:v>
                </c:pt>
                <c:pt idx="344">
                  <c:v>45805</c:v>
                </c:pt>
                <c:pt idx="345">
                  <c:v>45806</c:v>
                </c:pt>
                <c:pt idx="346">
                  <c:v>45807</c:v>
                </c:pt>
                <c:pt idx="347">
                  <c:v>45810</c:v>
                </c:pt>
                <c:pt idx="348">
                  <c:v>45811</c:v>
                </c:pt>
                <c:pt idx="349">
                  <c:v>45812</c:v>
                </c:pt>
                <c:pt idx="350">
                  <c:v>45813</c:v>
                </c:pt>
                <c:pt idx="351">
                  <c:v>45814</c:v>
                </c:pt>
                <c:pt idx="352">
                  <c:v>45817</c:v>
                </c:pt>
                <c:pt idx="353">
                  <c:v>45818</c:v>
                </c:pt>
                <c:pt idx="354">
                  <c:v>45819</c:v>
                </c:pt>
                <c:pt idx="355">
                  <c:v>45821</c:v>
                </c:pt>
                <c:pt idx="356">
                  <c:v>45824</c:v>
                </c:pt>
                <c:pt idx="357">
                  <c:v>45825</c:v>
                </c:pt>
                <c:pt idx="358">
                  <c:v>45826</c:v>
                </c:pt>
                <c:pt idx="359">
                  <c:v>45828</c:v>
                </c:pt>
                <c:pt idx="360">
                  <c:v>45831</c:v>
                </c:pt>
                <c:pt idx="361">
                  <c:v>45832</c:v>
                </c:pt>
                <c:pt idx="362">
                  <c:v>45833</c:v>
                </c:pt>
                <c:pt idx="363">
                  <c:v>45835</c:v>
                </c:pt>
                <c:pt idx="364">
                  <c:v>45838</c:v>
                </c:pt>
                <c:pt idx="365">
                  <c:v>45839</c:v>
                </c:pt>
                <c:pt idx="366">
                  <c:v>45840</c:v>
                </c:pt>
                <c:pt idx="367">
                  <c:v>45841</c:v>
                </c:pt>
                <c:pt idx="368">
                  <c:v>45845</c:v>
                </c:pt>
                <c:pt idx="369">
                  <c:v>45846</c:v>
                </c:pt>
                <c:pt idx="370">
                  <c:v>45847</c:v>
                </c:pt>
                <c:pt idx="371">
                  <c:v>45848</c:v>
                </c:pt>
                <c:pt idx="372">
                  <c:v>45849</c:v>
                </c:pt>
                <c:pt idx="373">
                  <c:v>45852</c:v>
                </c:pt>
                <c:pt idx="374">
                  <c:v>45853</c:v>
                </c:pt>
                <c:pt idx="375">
                  <c:v>45854</c:v>
                </c:pt>
                <c:pt idx="376">
                  <c:v>45855</c:v>
                </c:pt>
                <c:pt idx="377">
                  <c:v>45856</c:v>
                </c:pt>
                <c:pt idx="378">
                  <c:v>45859</c:v>
                </c:pt>
                <c:pt idx="379">
                  <c:v>45860</c:v>
                </c:pt>
                <c:pt idx="380">
                  <c:v>45861</c:v>
                </c:pt>
                <c:pt idx="381">
                  <c:v>45862</c:v>
                </c:pt>
                <c:pt idx="382">
                  <c:v>45863</c:v>
                </c:pt>
                <c:pt idx="383">
                  <c:v>45866</c:v>
                </c:pt>
                <c:pt idx="384">
                  <c:v>45867</c:v>
                </c:pt>
                <c:pt idx="385">
                  <c:v>45868</c:v>
                </c:pt>
                <c:pt idx="386">
                  <c:v>45869</c:v>
                </c:pt>
                <c:pt idx="387">
                  <c:v>45870</c:v>
                </c:pt>
                <c:pt idx="388">
                  <c:v>45873</c:v>
                </c:pt>
                <c:pt idx="389">
                  <c:v>45874</c:v>
                </c:pt>
                <c:pt idx="390">
                  <c:v>45875</c:v>
                </c:pt>
                <c:pt idx="391">
                  <c:v>45876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Info!$AI$275:$AI$647</c15:sqref>
                  </c15:fullRef>
                </c:ext>
              </c:extLst>
              <c:f>(Info!$AI$275:$AI$283,Info!$AI$285:$AI$647)</c:f>
              <c:numCache>
                <c:formatCode>0.0%</c:formatCode>
                <c:ptCount val="372"/>
                <c:pt idx="0">
                  <c:v>0.40051714379931408</c:v>
                </c:pt>
                <c:pt idx="1">
                  <c:v>0.40306081454226506</c:v>
                </c:pt>
                <c:pt idx="2">
                  <c:v>0.40392467110846803</c:v>
                </c:pt>
                <c:pt idx="3">
                  <c:v>0.4050449761357503</c:v>
                </c:pt>
                <c:pt idx="4">
                  <c:v>0.40754801395855167</c:v>
                </c:pt>
                <c:pt idx="5">
                  <c:v>0.40888418512643698</c:v>
                </c:pt>
                <c:pt idx="6">
                  <c:v>0.41174459076649828</c:v>
                </c:pt>
                <c:pt idx="7">
                  <c:v>0.41880610985187483</c:v>
                </c:pt>
                <c:pt idx="8">
                  <c:v>0.40185125458026139</c:v>
                </c:pt>
                <c:pt idx="9">
                  <c:v>0.40923238616159929</c:v>
                </c:pt>
                <c:pt idx="10">
                  <c:v>0.41679491884962289</c:v>
                </c:pt>
                <c:pt idx="11">
                  <c:v>0.42132500301387643</c:v>
                </c:pt>
                <c:pt idx="12">
                  <c:v>0.42848797048469495</c:v>
                </c:pt>
                <c:pt idx="13">
                  <c:v>0.42737332995767224</c:v>
                </c:pt>
                <c:pt idx="14">
                  <c:v>0.42754871520503485</c:v>
                </c:pt>
                <c:pt idx="15">
                  <c:v>0.42630341616635092</c:v>
                </c:pt>
                <c:pt idx="16">
                  <c:v>0.42530089058882692</c:v>
                </c:pt>
                <c:pt idx="17">
                  <c:v>0.43261898672005722</c:v>
                </c:pt>
                <c:pt idx="18">
                  <c:v>0.4507768722715208</c:v>
                </c:pt>
                <c:pt idx="19">
                  <c:v>0.4551939893290699</c:v>
                </c:pt>
                <c:pt idx="20">
                  <c:v>0.45233949061098488</c:v>
                </c:pt>
                <c:pt idx="21">
                  <c:v>0.44471576995879419</c:v>
                </c:pt>
                <c:pt idx="22">
                  <c:v>0.45417786010768635</c:v>
                </c:pt>
                <c:pt idx="23">
                  <c:v>0.45623564286209806</c:v>
                </c:pt>
                <c:pt idx="24">
                  <c:v>0.45504540819954142</c:v>
                </c:pt>
                <c:pt idx="25">
                  <c:v>0.45176391738584676</c:v>
                </c:pt>
                <c:pt idx="26">
                  <c:v>0.45267376355263345</c:v>
                </c:pt>
                <c:pt idx="27">
                  <c:v>0.45496004097153542</c:v>
                </c:pt>
                <c:pt idx="28">
                  <c:v>0.44780073810562238</c:v>
                </c:pt>
                <c:pt idx="29">
                  <c:v>0.43893322752202885</c:v>
                </c:pt>
                <c:pt idx="30">
                  <c:v>0.4406505428320594</c:v>
                </c:pt>
                <c:pt idx="31">
                  <c:v>0.44781611207552841</c:v>
                </c:pt>
                <c:pt idx="32" formatCode="General">
                  <c:v>0.44781611207552841</c:v>
                </c:pt>
                <c:pt idx="33">
                  <c:v>0.45345881612140176</c:v>
                </c:pt>
                <c:pt idx="34">
                  <c:v>0.4525976654964956</c:v>
                </c:pt>
                <c:pt idx="35">
                  <c:v>0.4491777335209704</c:v>
                </c:pt>
                <c:pt idx="36">
                  <c:v>0.44693917645934378</c:v>
                </c:pt>
                <c:pt idx="37">
                  <c:v>0.4407709759646527</c:v>
                </c:pt>
                <c:pt idx="38">
                  <c:v>0.44328241282498709</c:v>
                </c:pt>
                <c:pt idx="39">
                  <c:v>0.44066698787679814</c:v>
                </c:pt>
                <c:pt idx="40">
                  <c:v>0.44353578771839908</c:v>
                </c:pt>
                <c:pt idx="41">
                  <c:v>0.4303495617357021</c:v>
                </c:pt>
                <c:pt idx="42">
                  <c:v>0.40110470008781135</c:v>
                </c:pt>
                <c:pt idx="43">
                  <c:v>0.38827989450344563</c:v>
                </c:pt>
                <c:pt idx="44">
                  <c:v>0.38480101807402628</c:v>
                </c:pt>
                <c:pt idx="45">
                  <c:v>0.37127364952434894</c:v>
                </c:pt>
                <c:pt idx="46">
                  <c:v>0.35692225935884259</c:v>
                </c:pt>
                <c:pt idx="47">
                  <c:v>0.33771430145716591</c:v>
                </c:pt>
                <c:pt idx="48">
                  <c:v>0.33787892727499369</c:v>
                </c:pt>
                <c:pt idx="49">
                  <c:v>0.34661931183958361</c:v>
                </c:pt>
                <c:pt idx="50">
                  <c:v>0.33060427371294765</c:v>
                </c:pt>
                <c:pt idx="51">
                  <c:v>0.33126784612219712</c:v>
                </c:pt>
                <c:pt idx="52">
                  <c:v>0.33395485635394206</c:v>
                </c:pt>
                <c:pt idx="53">
                  <c:v>0.33032369378221055</c:v>
                </c:pt>
                <c:pt idx="54">
                  <c:v>0.33229036832278286</c:v>
                </c:pt>
                <c:pt idx="55">
                  <c:v>0.3298560353711027</c:v>
                </c:pt>
                <c:pt idx="56">
                  <c:v>0.32920511289696797</c:v>
                </c:pt>
                <c:pt idx="57">
                  <c:v>0.3356015643155883</c:v>
                </c:pt>
                <c:pt idx="58">
                  <c:v>0.34248427241404733</c:v>
                </c:pt>
                <c:pt idx="59">
                  <c:v>0.35051933335583607</c:v>
                </c:pt>
                <c:pt idx="60">
                  <c:v>0.35255003702512877</c:v>
                </c:pt>
                <c:pt idx="61">
                  <c:v>0.34762591336932935</c:v>
                </c:pt>
                <c:pt idx="62">
                  <c:v>0.3555499277065064</c:v>
                </c:pt>
                <c:pt idx="63">
                  <c:v>0.35585269388277968</c:v>
                </c:pt>
                <c:pt idx="64">
                  <c:v>0.35610144871278721</c:v>
                </c:pt>
                <c:pt idx="65">
                  <c:v>0.34911573554679753</c:v>
                </c:pt>
                <c:pt idx="66">
                  <c:v>0.34919738049041082</c:v>
                </c:pt>
                <c:pt idx="67">
                  <c:v>0.3480143580344171</c:v>
                </c:pt>
                <c:pt idx="68">
                  <c:v>0.34774797890035819</c:v>
                </c:pt>
                <c:pt idx="69">
                  <c:v>0.33600124958673894</c:v>
                </c:pt>
                <c:pt idx="70">
                  <c:v>0.34215215108879676</c:v>
                </c:pt>
                <c:pt idx="71">
                  <c:v>0.34072079485530543</c:v>
                </c:pt>
                <c:pt idx="72">
                  <c:v>0.33973111615973145</c:v>
                </c:pt>
                <c:pt idx="73">
                  <c:v>0.34117153209832712</c:v>
                </c:pt>
                <c:pt idx="74">
                  <c:v>0.33788032187348699</c:v>
                </c:pt>
                <c:pt idx="75">
                  <c:v>0.34150629733346016</c:v>
                </c:pt>
                <c:pt idx="76">
                  <c:v>0.34063839005983543</c:v>
                </c:pt>
                <c:pt idx="77">
                  <c:v>0.33985244291813982</c:v>
                </c:pt>
                <c:pt idx="78">
                  <c:v>0.33830222422511197</c:v>
                </c:pt>
                <c:pt idx="79">
                  <c:v>0.3380425525352137</c:v>
                </c:pt>
                <c:pt idx="80">
                  <c:v>0.33576575750878346</c:v>
                </c:pt>
                <c:pt idx="81">
                  <c:v>0.33962342154827618</c:v>
                </c:pt>
                <c:pt idx="82">
                  <c:v>0.33909853726071015</c:v>
                </c:pt>
                <c:pt idx="83">
                  <c:v>0.33683502981389363</c:v>
                </c:pt>
                <c:pt idx="84">
                  <c:v>0.33719074532577797</c:v>
                </c:pt>
                <c:pt idx="85">
                  <c:v>0.33402268051326051</c:v>
                </c:pt>
                <c:pt idx="86">
                  <c:v>0.33251442556644994</c:v>
                </c:pt>
                <c:pt idx="87">
                  <c:v>0.33436143726940076</c:v>
                </c:pt>
                <c:pt idx="88">
                  <c:v>0.32633088535212368</c:v>
                </c:pt>
                <c:pt idx="89">
                  <c:v>0.33279503151877621</c:v>
                </c:pt>
                <c:pt idx="90">
                  <c:v>0.3343227773767975</c:v>
                </c:pt>
                <c:pt idx="91">
                  <c:v>0.33386675178601477</c:v>
                </c:pt>
                <c:pt idx="92">
                  <c:v>0.3280189480625616</c:v>
                </c:pt>
                <c:pt idx="93">
                  <c:v>0.33014517540990113</c:v>
                </c:pt>
                <c:pt idx="94">
                  <c:v>0.32405257257929804</c:v>
                </c:pt>
                <c:pt idx="95">
                  <c:v>0.33141125155840861</c:v>
                </c:pt>
                <c:pt idx="96">
                  <c:v>0.32966058351913241</c:v>
                </c:pt>
                <c:pt idx="97">
                  <c:v>0.34110297655386279</c:v>
                </c:pt>
                <c:pt idx="98">
                  <c:v>0.34733569723037983</c:v>
                </c:pt>
                <c:pt idx="99">
                  <c:v>0.35268173763052213</c:v>
                </c:pt>
                <c:pt idx="100">
                  <c:v>0.35268173763052213</c:v>
                </c:pt>
                <c:pt idx="101">
                  <c:v>0.3620929420307768</c:v>
                </c:pt>
                <c:pt idx="102">
                  <c:v>0.37057674415129921</c:v>
                </c:pt>
                <c:pt idx="103">
                  <c:v>0.36750810357075153</c:v>
                </c:pt>
                <c:pt idx="104">
                  <c:v>0.38483426686060562</c:v>
                </c:pt>
                <c:pt idx="105">
                  <c:v>0.38835702131025784</c:v>
                </c:pt>
                <c:pt idx="106">
                  <c:v>0.39495102304419338</c:v>
                </c:pt>
                <c:pt idx="107">
                  <c:v>0.38979341698113623</c:v>
                </c:pt>
                <c:pt idx="108">
                  <c:v>0.38733220190904427</c:v>
                </c:pt>
                <c:pt idx="109">
                  <c:v>0.39986269866095681</c:v>
                </c:pt>
                <c:pt idx="110">
                  <c:v>0.40604259085569527</c:v>
                </c:pt>
                <c:pt idx="111">
                  <c:v>0.40431789379591032</c:v>
                </c:pt>
                <c:pt idx="112">
                  <c:v>0.40445233913547418</c:v>
                </c:pt>
                <c:pt idx="113">
                  <c:v>0.40689147158863087</c:v>
                </c:pt>
                <c:pt idx="114">
                  <c:v>0.39913830118764843</c:v>
                </c:pt>
                <c:pt idx="115">
                  <c:v>0.40108682464692375</c:v>
                </c:pt>
                <c:pt idx="116">
                  <c:v>0.39615826522557535</c:v>
                </c:pt>
                <c:pt idx="117">
                  <c:v>0.39615826522557535</c:v>
                </c:pt>
                <c:pt idx="118">
                  <c:v>0.38432497285881995</c:v>
                </c:pt>
                <c:pt idx="119">
                  <c:v>0.3875395535735941</c:v>
                </c:pt>
                <c:pt idx="120">
                  <c:v>0.38769513255674937</c:v>
                </c:pt>
                <c:pt idx="121">
                  <c:v>0.38869225641876198</c:v>
                </c:pt>
                <c:pt idx="122">
                  <c:v>0.39789802851070566</c:v>
                </c:pt>
                <c:pt idx="123">
                  <c:v>0.3920365292153738</c:v>
                </c:pt>
                <c:pt idx="124">
                  <c:v>0.39211895747556624</c:v>
                </c:pt>
                <c:pt idx="125">
                  <c:v>0.38889086666607631</c:v>
                </c:pt>
                <c:pt idx="126">
                  <c:v>0.38630641391595011</c:v>
                </c:pt>
                <c:pt idx="127">
                  <c:v>0.36992457543002316</c:v>
                </c:pt>
                <c:pt idx="128">
                  <c:v>0.36992457543002316</c:v>
                </c:pt>
                <c:pt idx="129">
                  <c:v>0.34700341496566478</c:v>
                </c:pt>
                <c:pt idx="130">
                  <c:v>0.34701076344872339</c:v>
                </c:pt>
                <c:pt idx="131">
                  <c:v>0.34280369409518052</c:v>
                </c:pt>
                <c:pt idx="132">
                  <c:v>0.33475265404044702</c:v>
                </c:pt>
                <c:pt idx="133">
                  <c:v>0.31778919769034791</c:v>
                </c:pt>
                <c:pt idx="134">
                  <c:v>0.32210988997190149</c:v>
                </c:pt>
                <c:pt idx="135">
                  <c:v>0.31375054899569416</c:v>
                </c:pt>
                <c:pt idx="136">
                  <c:v>0.30523344080143205</c:v>
                </c:pt>
                <c:pt idx="137">
                  <c:v>0.29884437965484695</c:v>
                </c:pt>
                <c:pt idx="138">
                  <c:v>0.29378831045478948</c:v>
                </c:pt>
                <c:pt idx="139">
                  <c:v>0.30483562247615331</c:v>
                </c:pt>
                <c:pt idx="140">
                  <c:v>0.30462209499083009</c:v>
                </c:pt>
                <c:pt idx="141">
                  <c:v>0.31309974952210878</c:v>
                </c:pt>
                <c:pt idx="142">
                  <c:v>0.3137903035865352</c:v>
                </c:pt>
                <c:pt idx="143">
                  <c:v>0.33452276927603375</c:v>
                </c:pt>
                <c:pt idx="144">
                  <c:v>0.34573205008439134</c:v>
                </c:pt>
                <c:pt idx="145">
                  <c:v>0.35278152943717844</c:v>
                </c:pt>
                <c:pt idx="146">
                  <c:v>0.34909220933464341</c:v>
                </c:pt>
                <c:pt idx="147">
                  <c:v>0.35502268135516579</c:v>
                </c:pt>
                <c:pt idx="148">
                  <c:v>0.34876359333553242</c:v>
                </c:pt>
                <c:pt idx="149">
                  <c:v>0.35206911293611842</c:v>
                </c:pt>
                <c:pt idx="150">
                  <c:v>0.36626304448712615</c:v>
                </c:pt>
                <c:pt idx="151">
                  <c:v>0.37104746517700177</c:v>
                </c:pt>
                <c:pt idx="152">
                  <c:v>0.37043168526883657</c:v>
                </c:pt>
                <c:pt idx="153">
                  <c:v>0.36927283250020831</c:v>
                </c:pt>
                <c:pt idx="154">
                  <c:v>0.36727231939344712</c:v>
                </c:pt>
                <c:pt idx="155">
                  <c:v>0.35711947848330061</c:v>
                </c:pt>
                <c:pt idx="156">
                  <c:v>0.34797081848768063</c:v>
                </c:pt>
                <c:pt idx="157">
                  <c:v>0.35088752875911705</c:v>
                </c:pt>
                <c:pt idx="158">
                  <c:v>0.34922159893672561</c:v>
                </c:pt>
                <c:pt idx="159">
                  <c:v>0.33260857938956989</c:v>
                </c:pt>
                <c:pt idx="160">
                  <c:v>0.3319736121701144</c:v>
                </c:pt>
                <c:pt idx="161">
                  <c:v>0.32613632093937139</c:v>
                </c:pt>
                <c:pt idx="162">
                  <c:v>0.32553927675244831</c:v>
                </c:pt>
                <c:pt idx="163">
                  <c:v>0.33046789966473217</c:v>
                </c:pt>
                <c:pt idx="164">
                  <c:v>0.32913884222472301</c:v>
                </c:pt>
                <c:pt idx="165">
                  <c:v>0.3274412637461897</c:v>
                </c:pt>
                <c:pt idx="166">
                  <c:v>0.32932085326750471</c:v>
                </c:pt>
                <c:pt idx="167">
                  <c:v>0.32932746705558574</c:v>
                </c:pt>
                <c:pt idx="168">
                  <c:v>0.3271954431175122</c:v>
                </c:pt>
                <c:pt idx="169">
                  <c:v>0.3286222284450428</c:v>
                </c:pt>
                <c:pt idx="170">
                  <c:v>0.3286222284450428</c:v>
                </c:pt>
                <c:pt idx="171">
                  <c:v>0.33284233206035185</c:v>
                </c:pt>
                <c:pt idx="172">
                  <c:v>0.33347056034508077</c:v>
                </c:pt>
                <c:pt idx="173">
                  <c:v>0.33272070051361086</c:v>
                </c:pt>
                <c:pt idx="174">
                  <c:v>0.3355193076821581</c:v>
                </c:pt>
                <c:pt idx="175">
                  <c:v>0.33638779071466368</c:v>
                </c:pt>
                <c:pt idx="176">
                  <c:v>0.33367162255792271</c:v>
                </c:pt>
                <c:pt idx="177">
                  <c:v>0.33239274154817527</c:v>
                </c:pt>
                <c:pt idx="178">
                  <c:v>0.31786642091320366</c:v>
                </c:pt>
                <c:pt idx="179">
                  <c:v>0.31176241707510632</c:v>
                </c:pt>
                <c:pt idx="180">
                  <c:v>0.31234536136418017</c:v>
                </c:pt>
                <c:pt idx="181">
                  <c:v>0.3157144295022386</c:v>
                </c:pt>
                <c:pt idx="182">
                  <c:v>0.3151353921180674</c:v>
                </c:pt>
                <c:pt idx="183">
                  <c:v>0.31427627071146474</c:v>
                </c:pt>
                <c:pt idx="184">
                  <c:v>0.30430308323563887</c:v>
                </c:pt>
                <c:pt idx="185">
                  <c:v>0.30394172715188961</c:v>
                </c:pt>
                <c:pt idx="186">
                  <c:v>0.3002478541017285</c:v>
                </c:pt>
                <c:pt idx="187">
                  <c:v>0.30717926770712617</c:v>
                </c:pt>
                <c:pt idx="188">
                  <c:v>0.31166892114252487</c:v>
                </c:pt>
                <c:pt idx="189">
                  <c:v>0.31574343775848951</c:v>
                </c:pt>
                <c:pt idx="190">
                  <c:v>0.32631766145210378</c:v>
                </c:pt>
                <c:pt idx="191">
                  <c:v>0.32342423560373434</c:v>
                </c:pt>
                <c:pt idx="192">
                  <c:v>0.32298557591440225</c:v>
                </c:pt>
                <c:pt idx="193">
                  <c:v>0.32261588301415484</c:v>
                </c:pt>
                <c:pt idx="194">
                  <c:v>0.3217154644766464</c:v>
                </c:pt>
                <c:pt idx="195">
                  <c:v>0.32360671577876399</c:v>
                </c:pt>
                <c:pt idx="196">
                  <c:v>0.3276530747084464</c:v>
                </c:pt>
                <c:pt idx="197">
                  <c:v>0.32669868928168999</c:v>
                </c:pt>
                <c:pt idx="198">
                  <c:v>0.32099259831370758</c:v>
                </c:pt>
                <c:pt idx="199">
                  <c:v>0.31644762521021502</c:v>
                </c:pt>
                <c:pt idx="200">
                  <c:v>0.31767868606323985</c:v>
                </c:pt>
                <c:pt idx="201">
                  <c:v>0.31494528784329084</c:v>
                </c:pt>
                <c:pt idx="202">
                  <c:v>0.31138024522259833</c:v>
                </c:pt>
                <c:pt idx="203">
                  <c:v>0.30466346040756026</c:v>
                </c:pt>
                <c:pt idx="204">
                  <c:v>0.29984874619296503</c:v>
                </c:pt>
                <c:pt idx="205">
                  <c:v>0.29946186645730677</c:v>
                </c:pt>
                <c:pt idx="206">
                  <c:v>0.29616536417665923</c:v>
                </c:pt>
                <c:pt idx="207">
                  <c:v>0.30145778130742934</c:v>
                </c:pt>
                <c:pt idx="208">
                  <c:v>0.30157620394209483</c:v>
                </c:pt>
                <c:pt idx="209">
                  <c:v>0.30143432262640235</c:v>
                </c:pt>
                <c:pt idx="210">
                  <c:v>0.30358432526549411</c:v>
                </c:pt>
                <c:pt idx="211">
                  <c:v>0.29299806738249562</c:v>
                </c:pt>
                <c:pt idx="212">
                  <c:v>0.29050241271633775</c:v>
                </c:pt>
                <c:pt idx="213">
                  <c:v>0.30014991806075358</c:v>
                </c:pt>
                <c:pt idx="214">
                  <c:v>0.30472703555161107</c:v>
                </c:pt>
                <c:pt idx="215">
                  <c:v>0.30698085539977599</c:v>
                </c:pt>
                <c:pt idx="216">
                  <c:v>0.30703091553561251</c:v>
                </c:pt>
                <c:pt idx="217">
                  <c:v>0.31286681564939511</c:v>
                </c:pt>
                <c:pt idx="218">
                  <c:v>0.30952360589342559</c:v>
                </c:pt>
                <c:pt idx="219">
                  <c:v>0.31118018626539246</c:v>
                </c:pt>
                <c:pt idx="220">
                  <c:v>0.32359971457943471</c:v>
                </c:pt>
                <c:pt idx="221">
                  <c:v>0.32181250079908658</c:v>
                </c:pt>
                <c:pt idx="222">
                  <c:v>0.32634262642962841</c:v>
                </c:pt>
                <c:pt idx="223">
                  <c:v>0.33946142505255439</c:v>
                </c:pt>
                <c:pt idx="224">
                  <c:v>0.33946142505255439</c:v>
                </c:pt>
                <c:pt idx="225">
                  <c:v>0.34757089883328823</c:v>
                </c:pt>
                <c:pt idx="226">
                  <c:v>0.34966388917147906</c:v>
                </c:pt>
                <c:pt idx="227">
                  <c:v>0.35392920986231136</c:v>
                </c:pt>
                <c:pt idx="228">
                  <c:v>0.34822538221566013</c:v>
                </c:pt>
                <c:pt idx="229">
                  <c:v>0.36468024721454984</c:v>
                </c:pt>
                <c:pt idx="230">
                  <c:v>0.37569155761012146</c:v>
                </c:pt>
                <c:pt idx="231">
                  <c:v>0.37978135448088585</c:v>
                </c:pt>
                <c:pt idx="232">
                  <c:v>0.37978135448088585</c:v>
                </c:pt>
                <c:pt idx="233">
                  <c:v>0.39192050364269876</c:v>
                </c:pt>
                <c:pt idx="234">
                  <c:v>0.39054011434902902</c:v>
                </c:pt>
                <c:pt idx="235">
                  <c:v>0.38685735261016363</c:v>
                </c:pt>
                <c:pt idx="236">
                  <c:v>0.3802615599619506</c:v>
                </c:pt>
                <c:pt idx="237">
                  <c:v>0.37984408306016515</c:v>
                </c:pt>
                <c:pt idx="238">
                  <c:v>0.38132709845611412</c:v>
                </c:pt>
                <c:pt idx="239">
                  <c:v>0.37444088116626306</c:v>
                </c:pt>
                <c:pt idx="240">
                  <c:v>0.37409645552047605</c:v>
                </c:pt>
                <c:pt idx="241">
                  <c:v>0.37011345253351685</c:v>
                </c:pt>
                <c:pt idx="242">
                  <c:v>0.37544543251071671</c:v>
                </c:pt>
                <c:pt idx="243">
                  <c:v>0.3899864826269121</c:v>
                </c:pt>
                <c:pt idx="244">
                  <c:v>0.39641690854132261</c:v>
                </c:pt>
                <c:pt idx="245">
                  <c:v>0.404528699126178</c:v>
                </c:pt>
                <c:pt idx="246">
                  <c:v>0.41699391109302059</c:v>
                </c:pt>
                <c:pt idx="247">
                  <c:v>0.42083418523679927</c:v>
                </c:pt>
                <c:pt idx="248">
                  <c:v>0.42414378064468305</c:v>
                </c:pt>
                <c:pt idx="249">
                  <c:v>0.43977082384679889</c:v>
                </c:pt>
                <c:pt idx="250">
                  <c:v>0.4531408683448106</c:v>
                </c:pt>
                <c:pt idx="251">
                  <c:v>0.4764848972698939</c:v>
                </c:pt>
                <c:pt idx="252">
                  <c:v>0.48207183697363459</c:v>
                </c:pt>
                <c:pt idx="253">
                  <c:v>0.47670221776493071</c:v>
                </c:pt>
                <c:pt idx="254">
                  <c:v>0.46880238497009641</c:v>
                </c:pt>
                <c:pt idx="255">
                  <c:v>0.4696939444564564</c:v>
                </c:pt>
                <c:pt idx="256">
                  <c:v>0.47354543659482762</c:v>
                </c:pt>
                <c:pt idx="257">
                  <c:v>0.46059806470276266</c:v>
                </c:pt>
                <c:pt idx="258">
                  <c:v>0.45878454974287031</c:v>
                </c:pt>
                <c:pt idx="259">
                  <c:v>0.45428459724958908</c:v>
                </c:pt>
                <c:pt idx="260">
                  <c:v>0.44888926608629448</c:v>
                </c:pt>
                <c:pt idx="261">
                  <c:v>0.44502661287926654</c:v>
                </c:pt>
                <c:pt idx="262">
                  <c:v>0.42923970096891162</c:v>
                </c:pt>
                <c:pt idx="263">
                  <c:v>0.43419161881220442</c:v>
                </c:pt>
                <c:pt idx="264">
                  <c:v>0.42749463295345941</c:v>
                </c:pt>
                <c:pt idx="265">
                  <c:v>0.44058811721120639</c:v>
                </c:pt>
                <c:pt idx="266">
                  <c:v>0.44058811721120639</c:v>
                </c:pt>
                <c:pt idx="267">
                  <c:v>0.45302388083733092</c:v>
                </c:pt>
                <c:pt idx="268">
                  <c:v>0.44464451091000001</c:v>
                </c:pt>
                <c:pt idx="269">
                  <c:v>0.46029955808065737</c:v>
                </c:pt>
                <c:pt idx="270">
                  <c:v>0.46999355305167467</c:v>
                </c:pt>
                <c:pt idx="271">
                  <c:v>0.5020681143934741</c:v>
                </c:pt>
                <c:pt idx="272">
                  <c:v>0.51578801717734046</c:v>
                </c:pt>
                <c:pt idx="273">
                  <c:v>0.53734261282811291</c:v>
                </c:pt>
                <c:pt idx="274">
                  <c:v>0.53906540123924018</c:v>
                </c:pt>
                <c:pt idx="275">
                  <c:v>0.5707948835123815</c:v>
                </c:pt>
                <c:pt idx="276">
                  <c:v>0.59392151809608951</c:v>
                </c:pt>
                <c:pt idx="277">
                  <c:v>0.61343001381908624</c:v>
                </c:pt>
                <c:pt idx="278">
                  <c:v>0.6177744426308085</c:v>
                </c:pt>
                <c:pt idx="279">
                  <c:v>0.63403001518573021</c:v>
                </c:pt>
                <c:pt idx="280">
                  <c:v>0.6518357525935583</c:v>
                </c:pt>
                <c:pt idx="281">
                  <c:v>0.66192653334004725</c:v>
                </c:pt>
                <c:pt idx="282">
                  <c:v>0.68294694567435632</c:v>
                </c:pt>
                <c:pt idx="283">
                  <c:v>0.69035554739977767</c:v>
                </c:pt>
                <c:pt idx="284">
                  <c:v>0.69877982860418675</c:v>
                </c:pt>
                <c:pt idx="285">
                  <c:v>0.71612225532191565</c:v>
                </c:pt>
                <c:pt idx="286">
                  <c:v>0.71612225532191565</c:v>
                </c:pt>
                <c:pt idx="287">
                  <c:v>0.72000610705875601</c:v>
                </c:pt>
                <c:pt idx="288">
                  <c:v>0.72461375097294078</c:v>
                </c:pt>
                <c:pt idx="289">
                  <c:v>0.72754741539045809</c:v>
                </c:pt>
                <c:pt idx="290">
                  <c:v>0.73460763445588506</c:v>
                </c:pt>
                <c:pt idx="291">
                  <c:v>0.73258160433005837</c:v>
                </c:pt>
                <c:pt idx="292">
                  <c:v>0.75915510606643377</c:v>
                </c:pt>
                <c:pt idx="293">
                  <c:v>0.75928813352613767</c:v>
                </c:pt>
                <c:pt idx="294">
                  <c:v>0.76948220711334159</c:v>
                </c:pt>
                <c:pt idx="295">
                  <c:v>0.80186373354110974</c:v>
                </c:pt>
                <c:pt idx="296">
                  <c:v>0.80627592897091493</c:v>
                </c:pt>
                <c:pt idx="297">
                  <c:v>0.80639450029635984</c:v>
                </c:pt>
                <c:pt idx="298">
                  <c:v>0.80577901186750156</c:v>
                </c:pt>
                <c:pt idx="299">
                  <c:v>0.80367782815513522</c:v>
                </c:pt>
                <c:pt idx="300">
                  <c:v>0.79568913953451148</c:v>
                </c:pt>
                <c:pt idx="301">
                  <c:v>0.79081928086564568</c:v>
                </c:pt>
                <c:pt idx="302">
                  <c:v>0.78466318857133921</c:v>
                </c:pt>
                <c:pt idx="303">
                  <c:v>0.7892463051734373</c:v>
                </c:pt>
                <c:pt idx="304">
                  <c:v>0.77088501960486178</c:v>
                </c:pt>
                <c:pt idx="305">
                  <c:v>0.75949830298977361</c:v>
                </c:pt>
                <c:pt idx="306">
                  <c:v>0.76176818759400688</c:v>
                </c:pt>
                <c:pt idx="307">
                  <c:v>0.77074690167664361</c:v>
                </c:pt>
                <c:pt idx="308">
                  <c:v>0.77062248066325056</c:v>
                </c:pt>
                <c:pt idx="309">
                  <c:v>0.78078328096168614</c:v>
                </c:pt>
                <c:pt idx="310">
                  <c:v>0.80693370539738796</c:v>
                </c:pt>
                <c:pt idx="311">
                  <c:v>0.83559105187584193</c:v>
                </c:pt>
                <c:pt idx="312">
                  <c:v>0.83196383978321808</c:v>
                </c:pt>
                <c:pt idx="313">
                  <c:v>0.84506341780772043</c:v>
                </c:pt>
                <c:pt idx="314">
                  <c:v>0.84208342528923974</c:v>
                </c:pt>
                <c:pt idx="315">
                  <c:v>0.75410257605806297</c:v>
                </c:pt>
                <c:pt idx="316">
                  <c:v>0.86613856502534747</c:v>
                </c:pt>
                <c:pt idx="317">
                  <c:v>0.88445136147457826</c:v>
                </c:pt>
                <c:pt idx="318">
                  <c:v>0.90059124224256659</c:v>
                </c:pt>
                <c:pt idx="319">
                  <c:v>0.92878160339623261</c:v>
                </c:pt>
                <c:pt idx="320">
                  <c:v>0.96501076791154861</c:v>
                </c:pt>
                <c:pt idx="321">
                  <c:v>0.9520193613236605</c:v>
                </c:pt>
                <c:pt idx="322">
                  <c:v>1.0091333816570438</c:v>
                </c:pt>
                <c:pt idx="323">
                  <c:v>0.99918371787649163</c:v>
                </c:pt>
                <c:pt idx="324">
                  <c:v>0.97480758361189457</c:v>
                </c:pt>
                <c:pt idx="325">
                  <c:v>0.97972545113981779</c:v>
                </c:pt>
                <c:pt idx="326">
                  <c:v>0.96385587690636576</c:v>
                </c:pt>
                <c:pt idx="327">
                  <c:v>0.94106613676670481</c:v>
                </c:pt>
                <c:pt idx="328">
                  <c:v>0.9382505773719696</c:v>
                </c:pt>
                <c:pt idx="329">
                  <c:v>0.9241392076341608</c:v>
                </c:pt>
                <c:pt idx="330">
                  <c:v>0.93923939727340089</c:v>
                </c:pt>
                <c:pt idx="331">
                  <c:v>0.93605760586962572</c:v>
                </c:pt>
                <c:pt idx="332">
                  <c:v>0.92885544578474588</c:v>
                </c:pt>
                <c:pt idx="333">
                  <c:v>0.92012720064266551</c:v>
                </c:pt>
                <c:pt idx="334">
                  <c:v>0.89407585881594831</c:v>
                </c:pt>
                <c:pt idx="335">
                  <c:v>0.89253001468874238</c:v>
                </c:pt>
                <c:pt idx="336">
                  <c:v>0.88789661269747588</c:v>
                </c:pt>
                <c:pt idx="337">
                  <c:v>0.89080742073123709</c:v>
                </c:pt>
                <c:pt idx="338">
                  <c:v>0.87630821760361932</c:v>
                </c:pt>
                <c:pt idx="339">
                  <c:v>0.87019926348214283</c:v>
                </c:pt>
                <c:pt idx="340">
                  <c:v>0.85921242014823307</c:v>
                </c:pt>
                <c:pt idx="341">
                  <c:v>0.85719434619191981</c:v>
                </c:pt>
                <c:pt idx="342">
                  <c:v>0.84671565530308812</c:v>
                </c:pt>
                <c:pt idx="343">
                  <c:v>0.88649337131860551</c:v>
                </c:pt>
                <c:pt idx="344">
                  <c:v>0.90362867514701706</c:v>
                </c:pt>
                <c:pt idx="345">
                  <c:v>0.91785932871120779</c:v>
                </c:pt>
                <c:pt idx="346">
                  <c:v>0.94888521799861536</c:v>
                </c:pt>
                <c:pt idx="347">
                  <c:v>0.92138487707133543</c:v>
                </c:pt>
                <c:pt idx="348">
                  <c:v>0.92147677478296197</c:v>
                </c:pt>
                <c:pt idx="349">
                  <c:v>0.91052717478835188</c:v>
                </c:pt>
                <c:pt idx="350">
                  <c:v>0.91265482770288797</c:v>
                </c:pt>
                <c:pt idx="351">
                  <c:v>0.91636577701809308</c:v>
                </c:pt>
                <c:pt idx="352">
                  <c:v>0.91915710694752384</c:v>
                </c:pt>
                <c:pt idx="353">
                  <c:v>0.90926771951105489</c:v>
                </c:pt>
                <c:pt idx="354">
                  <c:v>0.89609300862794006</c:v>
                </c:pt>
                <c:pt idx="355">
                  <c:v>0.85949479712241339</c:v>
                </c:pt>
                <c:pt idx="356">
                  <c:v>0.86034797360016946</c:v>
                </c:pt>
                <c:pt idx="357">
                  <c:v>0.85637511484223072</c:v>
                </c:pt>
                <c:pt idx="358">
                  <c:v>0.84279675037194501</c:v>
                </c:pt>
                <c:pt idx="359">
                  <c:v>0.85373682774870663</c:v>
                </c:pt>
                <c:pt idx="360">
                  <c:v>0.85190068509089267</c:v>
                </c:pt>
                <c:pt idx="361">
                  <c:v>0.86109863329332947</c:v>
                </c:pt>
                <c:pt idx="362">
                  <c:v>0.85191593318253633</c:v>
                </c:pt>
                <c:pt idx="363">
                  <c:v>0.84968957096201569</c:v>
                </c:pt>
                <c:pt idx="364">
                  <c:v>0.85224308303850349</c:v>
                </c:pt>
                <c:pt idx="365">
                  <c:v>0.84650255128386753</c:v>
                </c:pt>
                <c:pt idx="366">
                  <c:v>0.84448233248007221</c:v>
                </c:pt>
                <c:pt idx="367">
                  <c:v>0.82865342050369439</c:v>
                </c:pt>
                <c:pt idx="368">
                  <c:v>0.82335676706043803</c:v>
                </c:pt>
                <c:pt idx="369">
                  <c:v>0.83216278286516343</c:v>
                </c:pt>
                <c:pt idx="370">
                  <c:v>0.83794518400948903</c:v>
                </c:pt>
                <c:pt idx="371">
                  <c:v>0.8515557898940973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D0-4169-8B95-6389A2899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627551"/>
        <c:axId val="1453626719"/>
      </c:lineChart>
      <c:dateAx>
        <c:axId val="2798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46256"/>
        <c:crosses val="autoZero"/>
        <c:auto val="0"/>
        <c:lblOffset val="100"/>
        <c:baseTimeUnit val="days"/>
        <c:majorUnit val="10"/>
        <c:majorTimeUnit val="months"/>
        <c:minorUnit val="5"/>
        <c:minorTimeUnit val="days"/>
      </c:dateAx>
      <c:valAx>
        <c:axId val="279846256"/>
        <c:scaling>
          <c:orientation val="minMax"/>
          <c:max val="75000000"/>
          <c:min val="15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 baseline="0"/>
                  <a:t>  Total Gold  (oz)</a:t>
                </a:r>
                <a:endParaRPr lang="en-GB" sz="13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52912"/>
        <c:crosses val="autoZero"/>
        <c:crossBetween val="between"/>
        <c:majorUnit val="10000000"/>
        <c:minorUnit val="5000000"/>
      </c:valAx>
      <c:valAx>
        <c:axId val="1453626719"/>
        <c:scaling>
          <c:orientation val="minMax"/>
          <c:max val="1.1000000000000001"/>
          <c:min val="0.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27551"/>
        <c:crosses val="max"/>
        <c:crossBetween val="between"/>
        <c:majorUnit val="5.000000000000001E-2"/>
      </c:valAx>
      <c:dateAx>
        <c:axId val="1453627551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453626719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Info!$N$24:$N$163</c:f>
              <c:numCache>
                <c:formatCode>m/d/yy</c:formatCode>
                <c:ptCount val="140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44977</c:v>
                </c:pt>
                <c:pt idx="34">
                  <c:v>44978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45009</c:v>
                </c:pt>
                <c:pt idx="58">
                  <c:v>45012</c:v>
                </c:pt>
                <c:pt idx="59">
                  <c:v>45013</c:v>
                </c:pt>
                <c:pt idx="60">
                  <c:v>45014</c:v>
                </c:pt>
                <c:pt idx="61">
                  <c:v>45015</c:v>
                </c:pt>
                <c:pt idx="62">
                  <c:v>45016</c:v>
                </c:pt>
                <c:pt idx="63">
                  <c:v>45019</c:v>
                </c:pt>
                <c:pt idx="64">
                  <c:v>45020</c:v>
                </c:pt>
                <c:pt idx="65">
                  <c:v>45021</c:v>
                </c:pt>
                <c:pt idx="66">
                  <c:v>45022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45048</c:v>
                </c:pt>
                <c:pt idx="82">
                  <c:v>45049</c:v>
                </c:pt>
                <c:pt idx="83">
                  <c:v>45050</c:v>
                </c:pt>
                <c:pt idx="84">
                  <c:v>45051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45071</c:v>
                </c:pt>
                <c:pt idx="98">
                  <c:v>45072</c:v>
                </c:pt>
                <c:pt idx="99">
                  <c:v>45076</c:v>
                </c:pt>
                <c:pt idx="100">
                  <c:v>45077</c:v>
                </c:pt>
                <c:pt idx="101">
                  <c:v>45078</c:v>
                </c:pt>
                <c:pt idx="102">
                  <c:v>45079</c:v>
                </c:pt>
                <c:pt idx="103">
                  <c:v>45082</c:v>
                </c:pt>
                <c:pt idx="104">
                  <c:v>45083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45096</c:v>
                </c:pt>
                <c:pt idx="114">
                  <c:v>45097</c:v>
                </c:pt>
                <c:pt idx="115">
                  <c:v>45098</c:v>
                </c:pt>
                <c:pt idx="116">
                  <c:v>45099</c:v>
                </c:pt>
                <c:pt idx="117">
                  <c:v>45100</c:v>
                </c:pt>
                <c:pt idx="118">
                  <c:v>45103</c:v>
                </c:pt>
                <c:pt idx="119">
                  <c:v>45104</c:v>
                </c:pt>
                <c:pt idx="120">
                  <c:v>45105</c:v>
                </c:pt>
                <c:pt idx="121">
                  <c:v>45106</c:v>
                </c:pt>
                <c:pt idx="122">
                  <c:v>45107</c:v>
                </c:pt>
                <c:pt idx="123">
                  <c:v>45110</c:v>
                </c:pt>
                <c:pt idx="124">
                  <c:v>45111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</c:numCache>
            </c:numRef>
          </c:cat>
          <c:val>
            <c:numRef>
              <c:f>Info!$V$24:$V$163</c:f>
              <c:numCache>
                <c:formatCode>0.000</c:formatCode>
                <c:ptCount val="140"/>
                <c:pt idx="0">
                  <c:v>3.9119916666666645</c:v>
                </c:pt>
                <c:pt idx="1">
                  <c:v>1.1031912500000018</c:v>
                </c:pt>
                <c:pt idx="2">
                  <c:v>0.63029541666666522</c:v>
                </c:pt>
                <c:pt idx="3">
                  <c:v>2.1833854166666637</c:v>
                </c:pt>
                <c:pt idx="4">
                  <c:v>1.3187848611111108</c:v>
                </c:pt>
                <c:pt idx="5">
                  <c:v>0.12485333333333293</c:v>
                </c:pt>
                <c:pt idx="6">
                  <c:v>-0.49246131944444826</c:v>
                </c:pt>
                <c:pt idx="7">
                  <c:v>0.42951479166666445</c:v>
                </c:pt>
                <c:pt idx="8">
                  <c:v>2.2189512499999982</c:v>
                </c:pt>
                <c:pt idx="9">
                  <c:v>3.4738104166666659</c:v>
                </c:pt>
                <c:pt idx="10">
                  <c:v>2.6678929166666658</c:v>
                </c:pt>
                <c:pt idx="11">
                  <c:v>2.9195416666666669</c:v>
                </c:pt>
                <c:pt idx="12">
                  <c:v>1.710553083333334</c:v>
                </c:pt>
                <c:pt idx="13">
                  <c:v>1.7088100000000008</c:v>
                </c:pt>
                <c:pt idx="14">
                  <c:v>1.4651888888888895</c:v>
                </c:pt>
                <c:pt idx="15">
                  <c:v>0.38491333333333516</c:v>
                </c:pt>
                <c:pt idx="16">
                  <c:v>0.57429250000000232</c:v>
                </c:pt>
                <c:pt idx="17">
                  <c:v>3.4313541666666669</c:v>
                </c:pt>
                <c:pt idx="18">
                  <c:v>1.8238366666666685</c:v>
                </c:pt>
                <c:pt idx="19">
                  <c:v>0.60694388888889028</c:v>
                </c:pt>
                <c:pt idx="20">
                  <c:v>1.8017908333333346</c:v>
                </c:pt>
                <c:pt idx="21">
                  <c:v>3.5532309722222237</c:v>
                </c:pt>
                <c:pt idx="22">
                  <c:v>-0.87387166666666594</c:v>
                </c:pt>
                <c:pt idx="23">
                  <c:v>-2.5860583333333333</c:v>
                </c:pt>
                <c:pt idx="24">
                  <c:v>-3.2965249999999999</c:v>
                </c:pt>
                <c:pt idx="25">
                  <c:v>-3.065173055555555</c:v>
                </c:pt>
                <c:pt idx="26">
                  <c:v>-2.2001253333333337</c:v>
                </c:pt>
                <c:pt idx="27">
                  <c:v>-3.4423295833333327</c:v>
                </c:pt>
                <c:pt idx="28">
                  <c:v>-3.1776347222222223</c:v>
                </c:pt>
                <c:pt idx="29">
                  <c:v>-4.8932076388888888</c:v>
                </c:pt>
                <c:pt idx="30">
                  <c:v>-4.5997839999999997</c:v>
                </c:pt>
                <c:pt idx="31">
                  <c:v>-3.5619455555555555</c:v>
                </c:pt>
                <c:pt idx="32">
                  <c:v>-3.4013925</c:v>
                </c:pt>
                <c:pt idx="33">
                  <c:v>-0.90899624999999984</c:v>
                </c:pt>
                <c:pt idx="34">
                  <c:v>-0.13751250000000015</c:v>
                </c:pt>
                <c:pt idx="35">
                  <c:v>-0.34436874999999972</c:v>
                </c:pt>
                <c:pt idx="36">
                  <c:v>-1.0327124999999999</c:v>
                </c:pt>
                <c:pt idx="37">
                  <c:v>0.24045</c:v>
                </c:pt>
                <c:pt idx="38">
                  <c:v>-5.4825555555555558</c:v>
                </c:pt>
                <c:pt idx="39">
                  <c:v>-5.4409333333333327</c:v>
                </c:pt>
                <c:pt idx="40">
                  <c:v>-3.7620777777777752</c:v>
                </c:pt>
                <c:pt idx="41">
                  <c:v>-2.9526000000000012</c:v>
                </c:pt>
                <c:pt idx="42">
                  <c:v>-3.1937149999999996</c:v>
                </c:pt>
                <c:pt idx="43">
                  <c:v>-1.8680799999999984</c:v>
                </c:pt>
                <c:pt idx="44">
                  <c:v>-3.6402799999999997</c:v>
                </c:pt>
                <c:pt idx="45">
                  <c:v>-3.9133639999999983</c:v>
                </c:pt>
                <c:pt idx="46">
                  <c:v>-4.8822016666666652</c:v>
                </c:pt>
                <c:pt idx="47">
                  <c:v>-3.9066799999999997</c:v>
                </c:pt>
                <c:pt idx="48">
                  <c:v>-4.3165121111111135</c:v>
                </c:pt>
                <c:pt idx="49">
                  <c:v>-1.5350988888888875</c:v>
                </c:pt>
                <c:pt idx="50">
                  <c:v>2.6566375000000004</c:v>
                </c:pt>
                <c:pt idx="51">
                  <c:v>0.88108533333333405</c:v>
                </c:pt>
                <c:pt idx="52">
                  <c:v>1.4461216666666652</c:v>
                </c:pt>
                <c:pt idx="53">
                  <c:v>1.9782444444444449</c:v>
                </c:pt>
                <c:pt idx="54">
                  <c:v>3.0783866666666659</c:v>
                </c:pt>
                <c:pt idx="55">
                  <c:v>3.0726080000000029</c:v>
                </c:pt>
                <c:pt idx="56">
                  <c:v>3.866408333333335</c:v>
                </c:pt>
                <c:pt idx="57">
                  <c:v>4.0976833333333351</c:v>
                </c:pt>
                <c:pt idx="58">
                  <c:v>4.6906633333333367</c:v>
                </c:pt>
                <c:pt idx="59">
                  <c:v>3.4404533333333349</c:v>
                </c:pt>
                <c:pt idx="60">
                  <c:v>3.952986111111112</c:v>
                </c:pt>
                <c:pt idx="61">
                  <c:v>5.2043888888888876</c:v>
                </c:pt>
                <c:pt idx="62">
                  <c:v>4.4628750000000013</c:v>
                </c:pt>
                <c:pt idx="63">
                  <c:v>5.0889305555555566</c:v>
                </c:pt>
                <c:pt idx="64">
                  <c:v>7.317499999999999</c:v>
                </c:pt>
                <c:pt idx="65">
                  <c:v>7.5718055555555539</c:v>
                </c:pt>
                <c:pt idx="66">
                  <c:v>7.908108333333332</c:v>
                </c:pt>
                <c:pt idx="67">
                  <c:v>7.2346250000000012</c:v>
                </c:pt>
                <c:pt idx="68">
                  <c:v>7.9788597222222233</c:v>
                </c:pt>
                <c:pt idx="69">
                  <c:v>6.9778888888888888</c:v>
                </c:pt>
                <c:pt idx="70">
                  <c:v>7.4232777777777788</c:v>
                </c:pt>
                <c:pt idx="71">
                  <c:v>6.8278333333333325</c:v>
                </c:pt>
                <c:pt idx="72">
                  <c:v>5.6511458333333335</c:v>
                </c:pt>
                <c:pt idx="73">
                  <c:v>3.4872916666666676</c:v>
                </c:pt>
                <c:pt idx="74">
                  <c:v>6.541230555555555</c:v>
                </c:pt>
                <c:pt idx="75">
                  <c:v>5.4096166666666665</c:v>
                </c:pt>
                <c:pt idx="76">
                  <c:v>5.2527777777777782</c:v>
                </c:pt>
                <c:pt idx="77">
                  <c:v>5.8603333333333323</c:v>
                </c:pt>
                <c:pt idx="78">
                  <c:v>6.9632833333333339</c:v>
                </c:pt>
                <c:pt idx="79">
                  <c:v>8.3462166666666668</c:v>
                </c:pt>
                <c:pt idx="80">
                  <c:v>3.7732708333333309</c:v>
                </c:pt>
                <c:pt idx="81">
                  <c:v>3.3570833333333328</c:v>
                </c:pt>
                <c:pt idx="82">
                  <c:v>7.0410694444444477</c:v>
                </c:pt>
                <c:pt idx="83">
                  <c:v>8.1003125000000011</c:v>
                </c:pt>
                <c:pt idx="84">
                  <c:v>8.750275000000002</c:v>
                </c:pt>
                <c:pt idx="85">
                  <c:v>6.6539361111111113</c:v>
                </c:pt>
                <c:pt idx="86">
                  <c:v>8.1539666666666673</c:v>
                </c:pt>
                <c:pt idx="87">
                  <c:v>3.212620416666673</c:v>
                </c:pt>
                <c:pt idx="88">
                  <c:v>2.7010800000000001</c:v>
                </c:pt>
                <c:pt idx="89">
                  <c:v>2.9630712500000018</c:v>
                </c:pt>
                <c:pt idx="90">
                  <c:v>1.8269638888888911</c:v>
                </c:pt>
                <c:pt idx="91">
                  <c:v>2.1559375000000021</c:v>
                </c:pt>
                <c:pt idx="92">
                  <c:v>2.7960416666666683</c:v>
                </c:pt>
                <c:pt idx="93">
                  <c:v>1.9173263888888874</c:v>
                </c:pt>
                <c:pt idx="94">
                  <c:v>2.3736111111111096</c:v>
                </c:pt>
                <c:pt idx="95">
                  <c:v>0.79840416666666636</c:v>
                </c:pt>
                <c:pt idx="96">
                  <c:v>0.95655555555555627</c:v>
                </c:pt>
                <c:pt idx="97">
                  <c:v>0.63643055555555605</c:v>
                </c:pt>
                <c:pt idx="98">
                  <c:v>0.32037500000000052</c:v>
                </c:pt>
                <c:pt idx="99">
                  <c:v>-0.40295511111111126</c:v>
                </c:pt>
                <c:pt idx="100">
                  <c:v>-0.71306108333333285</c:v>
                </c:pt>
                <c:pt idx="101">
                  <c:v>0.12910777777777743</c:v>
                </c:pt>
                <c:pt idx="102">
                  <c:v>-0.44077250000000012</c:v>
                </c:pt>
                <c:pt idx="103">
                  <c:v>0.91261527777777718</c:v>
                </c:pt>
                <c:pt idx="104">
                  <c:v>0.23476319444444421</c:v>
                </c:pt>
                <c:pt idx="105">
                  <c:v>-0.13409366666666672</c:v>
                </c:pt>
                <c:pt idx="106">
                  <c:v>0.10997754166666568</c:v>
                </c:pt>
                <c:pt idx="107">
                  <c:v>1.1844638888888883</c:v>
                </c:pt>
                <c:pt idx="108">
                  <c:v>1.5891807083333334</c:v>
                </c:pt>
                <c:pt idx="109">
                  <c:v>2.0243350000000002</c:v>
                </c:pt>
                <c:pt idx="110">
                  <c:v>2.2959590694444447</c:v>
                </c:pt>
                <c:pt idx="111">
                  <c:v>2.648736236111112</c:v>
                </c:pt>
                <c:pt idx="112">
                  <c:v>2.9263333333333335</c:v>
                </c:pt>
                <c:pt idx="113">
                  <c:v>3.2179453333333328</c:v>
                </c:pt>
                <c:pt idx="114">
                  <c:v>2.6802952777777778</c:v>
                </c:pt>
                <c:pt idx="115">
                  <c:v>-0.17538388888888867</c:v>
                </c:pt>
                <c:pt idx="116">
                  <c:v>-0.18433541666666686</c:v>
                </c:pt>
                <c:pt idx="117">
                  <c:v>0.36230999999999969</c:v>
                </c:pt>
                <c:pt idx="118">
                  <c:v>1.4014996527777774</c:v>
                </c:pt>
                <c:pt idx="119">
                  <c:v>2.7173280555555555</c:v>
                </c:pt>
                <c:pt idx="120">
                  <c:v>2.2948135416666666</c:v>
                </c:pt>
                <c:pt idx="121">
                  <c:v>1.7560625000000023</c:v>
                </c:pt>
                <c:pt idx="122">
                  <c:v>2.2363995833333314</c:v>
                </c:pt>
                <c:pt idx="123">
                  <c:v>2.4483318750000009</c:v>
                </c:pt>
                <c:pt idx="124">
                  <c:v>2.4089306250000027</c:v>
                </c:pt>
                <c:pt idx="125">
                  <c:v>1.127895000000001</c:v>
                </c:pt>
                <c:pt idx="126">
                  <c:v>2.1893333333333347</c:v>
                </c:pt>
                <c:pt idx="127">
                  <c:v>2.4909933333333383</c:v>
                </c:pt>
                <c:pt idx="128">
                  <c:v>2.7970625000000027</c:v>
                </c:pt>
                <c:pt idx="129">
                  <c:v>2.6400625000000009</c:v>
                </c:pt>
                <c:pt idx="130">
                  <c:v>3.2624635416666687</c:v>
                </c:pt>
                <c:pt idx="131">
                  <c:v>4.8096666666666676</c:v>
                </c:pt>
                <c:pt idx="132">
                  <c:v>5.970823750000001</c:v>
                </c:pt>
                <c:pt idx="133">
                  <c:v>5.4082931111111119</c:v>
                </c:pt>
                <c:pt idx="134">
                  <c:v>5.6382866111111092</c:v>
                </c:pt>
                <c:pt idx="135">
                  <c:v>5.4518846666666674</c:v>
                </c:pt>
                <c:pt idx="136">
                  <c:v>5.7833462500000019</c:v>
                </c:pt>
                <c:pt idx="137">
                  <c:v>4.7302260555555584</c:v>
                </c:pt>
                <c:pt idx="138">
                  <c:v>3.4865460000000015</c:v>
                </c:pt>
                <c:pt idx="139">
                  <c:v>2.6739920000000001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A-460A-B9F1-E829DB899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7090992"/>
        <c:axId val="1177092240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rgbClr val="00B0F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Info!$N$24:$N$163</c:f>
              <c:numCache>
                <c:formatCode>m/d/yy</c:formatCode>
                <c:ptCount val="140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44977</c:v>
                </c:pt>
                <c:pt idx="34">
                  <c:v>44978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45009</c:v>
                </c:pt>
                <c:pt idx="58">
                  <c:v>45012</c:v>
                </c:pt>
                <c:pt idx="59">
                  <c:v>45013</c:v>
                </c:pt>
                <c:pt idx="60">
                  <c:v>45014</c:v>
                </c:pt>
                <c:pt idx="61">
                  <c:v>45015</c:v>
                </c:pt>
                <c:pt idx="62">
                  <c:v>45016</c:v>
                </c:pt>
                <c:pt idx="63">
                  <c:v>45019</c:v>
                </c:pt>
                <c:pt idx="64">
                  <c:v>45020</c:v>
                </c:pt>
                <c:pt idx="65">
                  <c:v>45021</c:v>
                </c:pt>
                <c:pt idx="66">
                  <c:v>45022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45048</c:v>
                </c:pt>
                <c:pt idx="82">
                  <c:v>45049</c:v>
                </c:pt>
                <c:pt idx="83">
                  <c:v>45050</c:v>
                </c:pt>
                <c:pt idx="84">
                  <c:v>45051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45071</c:v>
                </c:pt>
                <c:pt idx="98">
                  <c:v>45072</c:v>
                </c:pt>
                <c:pt idx="99">
                  <c:v>45076</c:v>
                </c:pt>
                <c:pt idx="100">
                  <c:v>45077</c:v>
                </c:pt>
                <c:pt idx="101">
                  <c:v>45078</c:v>
                </c:pt>
                <c:pt idx="102">
                  <c:v>45079</c:v>
                </c:pt>
                <c:pt idx="103">
                  <c:v>45082</c:v>
                </c:pt>
                <c:pt idx="104">
                  <c:v>45083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45096</c:v>
                </c:pt>
                <c:pt idx="114">
                  <c:v>45097</c:v>
                </c:pt>
                <c:pt idx="115">
                  <c:v>45098</c:v>
                </c:pt>
                <c:pt idx="116">
                  <c:v>45099</c:v>
                </c:pt>
                <c:pt idx="117">
                  <c:v>45100</c:v>
                </c:pt>
                <c:pt idx="118">
                  <c:v>45103</c:v>
                </c:pt>
                <c:pt idx="119">
                  <c:v>45104</c:v>
                </c:pt>
                <c:pt idx="120">
                  <c:v>45105</c:v>
                </c:pt>
                <c:pt idx="121">
                  <c:v>45106</c:v>
                </c:pt>
                <c:pt idx="122">
                  <c:v>45107</c:v>
                </c:pt>
                <c:pt idx="123">
                  <c:v>45110</c:v>
                </c:pt>
                <c:pt idx="124">
                  <c:v>45111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</c:numCache>
            </c:numRef>
          </c:cat>
          <c:val>
            <c:numRef>
              <c:f>Info!$U$24:$U$163</c:f>
              <c:numCache>
                <c:formatCode>General</c:formatCode>
                <c:ptCount val="140"/>
                <c:pt idx="0">
                  <c:v>0.19500000000000001</c:v>
                </c:pt>
                <c:pt idx="1">
                  <c:v>0.16250000000000001</c:v>
                </c:pt>
                <c:pt idx="2">
                  <c:v>0.14624999999999999</c:v>
                </c:pt>
                <c:pt idx="3">
                  <c:v>0.16250000000000001</c:v>
                </c:pt>
                <c:pt idx="4">
                  <c:v>0.15</c:v>
                </c:pt>
                <c:pt idx="5">
                  <c:v>0.13500000000000001</c:v>
                </c:pt>
                <c:pt idx="6">
                  <c:v>0.125</c:v>
                </c:pt>
                <c:pt idx="7">
                  <c:v>0.125</c:v>
                </c:pt>
                <c:pt idx="8">
                  <c:v>0.14249999999999999</c:v>
                </c:pt>
                <c:pt idx="9">
                  <c:v>0.155</c:v>
                </c:pt>
                <c:pt idx="10">
                  <c:v>0.14249999999999999</c:v>
                </c:pt>
                <c:pt idx="11">
                  <c:v>0.14000000000000001</c:v>
                </c:pt>
                <c:pt idx="12">
                  <c:v>0.1225</c:v>
                </c:pt>
                <c:pt idx="13">
                  <c:v>0.12</c:v>
                </c:pt>
                <c:pt idx="14">
                  <c:v>0.115</c:v>
                </c:pt>
                <c:pt idx="15">
                  <c:v>0.1</c:v>
                </c:pt>
                <c:pt idx="16">
                  <c:v>0.1</c:v>
                </c:pt>
                <c:pt idx="17">
                  <c:v>0.12</c:v>
                </c:pt>
                <c:pt idx="18">
                  <c:v>0.1</c:v>
                </c:pt>
                <c:pt idx="19">
                  <c:v>8.5000000000000006E-2</c:v>
                </c:pt>
                <c:pt idx="20">
                  <c:v>9.2499999999999999E-2</c:v>
                </c:pt>
                <c:pt idx="21">
                  <c:v>0.1</c:v>
                </c:pt>
                <c:pt idx="22">
                  <c:v>0.05</c:v>
                </c:pt>
                <c:pt idx="23">
                  <c:v>0.03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-1.4999999999999999E-2</c:v>
                </c:pt>
                <c:pt idx="30">
                  <c:v>-1.4999999999999999E-2</c:v>
                </c:pt>
                <c:pt idx="31">
                  <c:v>-1.4999999999999999E-2</c:v>
                </c:pt>
                <c:pt idx="32">
                  <c:v>-1.4999999999999999E-2</c:v>
                </c:pt>
                <c:pt idx="33">
                  <c:v>0.01</c:v>
                </c:pt>
                <c:pt idx="34">
                  <c:v>1.4999999999999999E-2</c:v>
                </c:pt>
                <c:pt idx="35">
                  <c:v>0.01</c:v>
                </c:pt>
                <c:pt idx="36">
                  <c:v>-5.0000000000000001E-3</c:v>
                </c:pt>
                <c:pt idx="37">
                  <c:v>5.0000000000000001E-3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0.1</c:v>
                </c:pt>
                <c:pt idx="41">
                  <c:v>8.7499999999999994E-2</c:v>
                </c:pt>
                <c:pt idx="42">
                  <c:v>8.5000000000000006E-2</c:v>
                </c:pt>
                <c:pt idx="43">
                  <c:v>9.5000000000000001E-2</c:v>
                </c:pt>
                <c:pt idx="44">
                  <c:v>7.0000000000000007E-2</c:v>
                </c:pt>
                <c:pt idx="45">
                  <c:v>6.5000000000000002E-2</c:v>
                </c:pt>
                <c:pt idx="46">
                  <c:v>5.5E-2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0.09</c:v>
                </c:pt>
                <c:pt idx="50">
                  <c:v>0.13</c:v>
                </c:pt>
                <c:pt idx="51">
                  <c:v>0.105</c:v>
                </c:pt>
                <c:pt idx="52">
                  <c:v>0.12</c:v>
                </c:pt>
                <c:pt idx="53">
                  <c:v>0.13</c:v>
                </c:pt>
                <c:pt idx="54">
                  <c:v>0.13750000000000001</c:v>
                </c:pt>
                <c:pt idx="55">
                  <c:v>0.13750000000000001</c:v>
                </c:pt>
                <c:pt idx="56">
                  <c:v>0.13750000000000001</c:v>
                </c:pt>
                <c:pt idx="57">
                  <c:v>0.13750000000000001</c:v>
                </c:pt>
                <c:pt idx="58">
                  <c:v>0.14000000000000001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0.14499999999999999</c:v>
                </c:pt>
                <c:pt idx="62">
                  <c:v>0.13500000000000001</c:v>
                </c:pt>
                <c:pt idx="63">
                  <c:v>0.13750000000000001</c:v>
                </c:pt>
                <c:pt idx="64">
                  <c:v>0.16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0.12</c:v>
                </c:pt>
                <c:pt idx="70">
                  <c:v>0.12</c:v>
                </c:pt>
                <c:pt idx="71">
                  <c:v>0.11</c:v>
                </c:pt>
                <c:pt idx="72">
                  <c:v>9.5000000000000001E-2</c:v>
                </c:pt>
                <c:pt idx="73">
                  <c:v>7.0000000000000007E-2</c:v>
                </c:pt>
                <c:pt idx="74">
                  <c:v>0.09</c:v>
                </c:pt>
                <c:pt idx="75">
                  <c:v>7.4999999999999997E-2</c:v>
                </c:pt>
                <c:pt idx="76">
                  <c:v>7.0000000000000007E-2</c:v>
                </c:pt>
                <c:pt idx="77">
                  <c:v>7.2499999999999995E-2</c:v>
                </c:pt>
                <c:pt idx="78">
                  <c:v>0.08</c:v>
                </c:pt>
                <c:pt idx="79">
                  <c:v>0.08</c:v>
                </c:pt>
                <c:pt idx="80">
                  <c:v>0.25</c:v>
                </c:pt>
                <c:pt idx="81">
                  <c:v>0.245</c:v>
                </c:pt>
                <c:pt idx="82">
                  <c:v>0.28000000000000003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0.255</c:v>
                </c:pt>
                <c:pt idx="86">
                  <c:v>0.26500000000000001</c:v>
                </c:pt>
                <c:pt idx="87">
                  <c:v>0.2</c:v>
                </c:pt>
                <c:pt idx="88">
                  <c:v>0.19</c:v>
                </c:pt>
                <c:pt idx="89">
                  <c:v>0.19</c:v>
                </c:pt>
                <c:pt idx="90">
                  <c:v>0.17</c:v>
                </c:pt>
                <c:pt idx="91">
                  <c:v>0.17</c:v>
                </c:pt>
                <c:pt idx="92">
                  <c:v>0.16500000000000001</c:v>
                </c:pt>
                <c:pt idx="93">
                  <c:v>0.155</c:v>
                </c:pt>
                <c:pt idx="94">
                  <c:v>0.155</c:v>
                </c:pt>
                <c:pt idx="95">
                  <c:v>0.13500000000000001</c:v>
                </c:pt>
                <c:pt idx="96">
                  <c:v>0.13125000000000001</c:v>
                </c:pt>
                <c:pt idx="97">
                  <c:v>0.11375</c:v>
                </c:pt>
                <c:pt idx="98">
                  <c:v>0.11</c:v>
                </c:pt>
                <c:pt idx="99">
                  <c:v>0.1</c:v>
                </c:pt>
                <c:pt idx="100">
                  <c:v>9.5000000000000001E-2</c:v>
                </c:pt>
                <c:pt idx="101">
                  <c:v>9.5000000000000001E-2</c:v>
                </c:pt>
                <c:pt idx="102">
                  <c:v>8.5000000000000006E-2</c:v>
                </c:pt>
                <c:pt idx="103">
                  <c:v>9.5000000000000001E-2</c:v>
                </c:pt>
                <c:pt idx="104">
                  <c:v>8.5000000000000006E-2</c:v>
                </c:pt>
                <c:pt idx="105">
                  <c:v>7.7499999999999999E-2</c:v>
                </c:pt>
                <c:pt idx="106">
                  <c:v>7.2499999999999995E-2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7.0000000000000007E-2</c:v>
                </c:pt>
                <c:pt idx="112">
                  <c:v>7.0000000000000007E-2</c:v>
                </c:pt>
                <c:pt idx="113">
                  <c:v>7.2499999999999995E-2</c:v>
                </c:pt>
                <c:pt idx="114">
                  <c:v>6.25E-2</c:v>
                </c:pt>
                <c:pt idx="115">
                  <c:v>0.03</c:v>
                </c:pt>
                <c:pt idx="116">
                  <c:v>0.02</c:v>
                </c:pt>
                <c:pt idx="117">
                  <c:v>2.2499999999999999E-2</c:v>
                </c:pt>
                <c:pt idx="118">
                  <c:v>0.03</c:v>
                </c:pt>
                <c:pt idx="119">
                  <c:v>0.04</c:v>
                </c:pt>
                <c:pt idx="120">
                  <c:v>3.2500000000000001E-2</c:v>
                </c:pt>
                <c:pt idx="121">
                  <c:v>0.215</c:v>
                </c:pt>
                <c:pt idx="122">
                  <c:v>0.215</c:v>
                </c:pt>
                <c:pt idx="123">
                  <c:v>0.215</c:v>
                </c:pt>
                <c:pt idx="124">
                  <c:v>0.215</c:v>
                </c:pt>
                <c:pt idx="125">
                  <c:v>0.2</c:v>
                </c:pt>
                <c:pt idx="126">
                  <c:v>0.19750000000000001</c:v>
                </c:pt>
                <c:pt idx="127">
                  <c:v>0.2</c:v>
                </c:pt>
                <c:pt idx="128">
                  <c:v>0.2</c:v>
                </c:pt>
                <c:pt idx="129">
                  <c:v>0.19500000000000001</c:v>
                </c:pt>
                <c:pt idx="130">
                  <c:v>0.20499999999999999</c:v>
                </c:pt>
                <c:pt idx="131">
                  <c:v>0.215</c:v>
                </c:pt>
                <c:pt idx="132">
                  <c:v>0.22500000000000001</c:v>
                </c:pt>
                <c:pt idx="133">
                  <c:v>0.215</c:v>
                </c:pt>
                <c:pt idx="134">
                  <c:v>0.215</c:v>
                </c:pt>
                <c:pt idx="135">
                  <c:v>0.21</c:v>
                </c:pt>
                <c:pt idx="136">
                  <c:v>0.2</c:v>
                </c:pt>
                <c:pt idx="137">
                  <c:v>0.185</c:v>
                </c:pt>
                <c:pt idx="138">
                  <c:v>0.17499999999999999</c:v>
                </c:pt>
                <c:pt idx="139">
                  <c:v>0.16500000000000001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A-460A-B9F1-E829DB899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878192"/>
        <c:axId val="1139886928"/>
      </c:lineChart>
      <c:catAx>
        <c:axId val="113987819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886928"/>
        <c:crosses val="autoZero"/>
        <c:auto val="0"/>
        <c:lblAlgn val="ctr"/>
        <c:lblOffset val="100"/>
        <c:tickLblSkip val="5"/>
        <c:tickMarkSkip val="1"/>
        <c:noMultiLvlLbl val="0"/>
      </c:catAx>
      <c:valAx>
        <c:axId val="11398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878192"/>
        <c:crosses val="autoZero"/>
        <c:crossBetween val="between"/>
      </c:valAx>
      <c:valAx>
        <c:axId val="1177092240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090992"/>
        <c:crosses val="max"/>
        <c:crossBetween val="between"/>
      </c:valAx>
      <c:dateAx>
        <c:axId val="1177090992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17709224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6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XAG COMEX Stocks vs SIL Aggregate OI (oz) as of 11.07.25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31064772380079E-2"/>
          <c:y val="8.9713467161358834E-2"/>
          <c:w val="0.84026428353192795"/>
          <c:h val="0.76152679284320379"/>
        </c:manualLayout>
      </c:layout>
      <c:areaChart>
        <c:grouping val="standard"/>
        <c:varyColors val="0"/>
        <c:ser>
          <c:idx val="0"/>
          <c:order val="0"/>
          <c:tx>
            <c:strRef>
              <c:f>Info!$AK$1</c:f>
              <c:strCache>
                <c:ptCount val="1"/>
                <c:pt idx="0">
                  <c:v>Silver COMEX Stocks ('000 oz)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Info!$A$275:$A$667</c15:sqref>
                  </c15:fullRef>
                </c:ext>
              </c:extLst>
              <c:f>(Info!$A$275:$A$283,Info!$A$285:$A$667)</c:f>
              <c:numCache>
                <c:formatCode>m/d/yy</c:formatCode>
                <c:ptCount val="39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45404</c:v>
                </c:pt>
                <c:pt idx="76">
                  <c:v>45405</c:v>
                </c:pt>
                <c:pt idx="77">
                  <c:v>45406</c:v>
                </c:pt>
                <c:pt idx="78">
                  <c:v>45407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45462</c:v>
                </c:pt>
                <c:pt idx="118">
                  <c:v>45463</c:v>
                </c:pt>
                <c:pt idx="119">
                  <c:v>45464</c:v>
                </c:pt>
                <c:pt idx="120">
                  <c:v>45467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45474</c:v>
                </c:pt>
                <c:pt idx="126">
                  <c:v>45475</c:v>
                </c:pt>
                <c:pt idx="127">
                  <c:v>45476</c:v>
                </c:pt>
                <c:pt idx="128">
                  <c:v>45477</c:v>
                </c:pt>
                <c:pt idx="129">
                  <c:v>45478</c:v>
                </c:pt>
                <c:pt idx="130">
                  <c:v>45481</c:v>
                </c:pt>
                <c:pt idx="131">
                  <c:v>45482</c:v>
                </c:pt>
                <c:pt idx="132">
                  <c:v>45483</c:v>
                </c:pt>
                <c:pt idx="133">
                  <c:v>45484</c:v>
                </c:pt>
                <c:pt idx="134">
                  <c:v>45485</c:v>
                </c:pt>
                <c:pt idx="135">
                  <c:v>45488</c:v>
                </c:pt>
                <c:pt idx="136">
                  <c:v>45489</c:v>
                </c:pt>
                <c:pt idx="137">
                  <c:v>45490</c:v>
                </c:pt>
                <c:pt idx="138">
                  <c:v>45491</c:v>
                </c:pt>
                <c:pt idx="139">
                  <c:v>45492</c:v>
                </c:pt>
                <c:pt idx="140">
                  <c:v>45495</c:v>
                </c:pt>
                <c:pt idx="141">
                  <c:v>45496</c:v>
                </c:pt>
                <c:pt idx="142">
                  <c:v>45497</c:v>
                </c:pt>
                <c:pt idx="143">
                  <c:v>45498</c:v>
                </c:pt>
                <c:pt idx="144">
                  <c:v>45499</c:v>
                </c:pt>
                <c:pt idx="145">
                  <c:v>45502</c:v>
                </c:pt>
                <c:pt idx="146">
                  <c:v>45503</c:v>
                </c:pt>
                <c:pt idx="147">
                  <c:v>45504</c:v>
                </c:pt>
                <c:pt idx="148">
                  <c:v>45505</c:v>
                </c:pt>
                <c:pt idx="149">
                  <c:v>45506</c:v>
                </c:pt>
                <c:pt idx="150">
                  <c:v>45509</c:v>
                </c:pt>
                <c:pt idx="151">
                  <c:v>45510</c:v>
                </c:pt>
                <c:pt idx="152">
                  <c:v>45511</c:v>
                </c:pt>
                <c:pt idx="153">
                  <c:v>45512</c:v>
                </c:pt>
                <c:pt idx="154">
                  <c:v>45513</c:v>
                </c:pt>
                <c:pt idx="155">
                  <c:v>45516</c:v>
                </c:pt>
                <c:pt idx="156">
                  <c:v>45517</c:v>
                </c:pt>
                <c:pt idx="157">
                  <c:v>45518</c:v>
                </c:pt>
                <c:pt idx="158">
                  <c:v>45519</c:v>
                </c:pt>
                <c:pt idx="159">
                  <c:v>45520</c:v>
                </c:pt>
                <c:pt idx="160">
                  <c:v>45523</c:v>
                </c:pt>
                <c:pt idx="161">
                  <c:v>45524</c:v>
                </c:pt>
                <c:pt idx="162">
                  <c:v>45525</c:v>
                </c:pt>
                <c:pt idx="163">
                  <c:v>45526</c:v>
                </c:pt>
                <c:pt idx="164">
                  <c:v>45527</c:v>
                </c:pt>
                <c:pt idx="165">
                  <c:v>45530</c:v>
                </c:pt>
                <c:pt idx="166">
                  <c:v>45531</c:v>
                </c:pt>
                <c:pt idx="167">
                  <c:v>45532</c:v>
                </c:pt>
                <c:pt idx="168">
                  <c:v>45533</c:v>
                </c:pt>
                <c:pt idx="169">
                  <c:v>45534</c:v>
                </c:pt>
                <c:pt idx="170">
                  <c:v>45537</c:v>
                </c:pt>
                <c:pt idx="171">
                  <c:v>45538</c:v>
                </c:pt>
                <c:pt idx="172">
                  <c:v>45539</c:v>
                </c:pt>
                <c:pt idx="173">
                  <c:v>45540</c:v>
                </c:pt>
                <c:pt idx="174">
                  <c:v>45541</c:v>
                </c:pt>
                <c:pt idx="175">
                  <c:v>45544</c:v>
                </c:pt>
                <c:pt idx="176">
                  <c:v>45545</c:v>
                </c:pt>
                <c:pt idx="177">
                  <c:v>45546</c:v>
                </c:pt>
                <c:pt idx="178">
                  <c:v>45547</c:v>
                </c:pt>
                <c:pt idx="179">
                  <c:v>45548</c:v>
                </c:pt>
                <c:pt idx="180">
                  <c:v>45551</c:v>
                </c:pt>
                <c:pt idx="181">
                  <c:v>45552</c:v>
                </c:pt>
                <c:pt idx="182">
                  <c:v>45553</c:v>
                </c:pt>
                <c:pt idx="183">
                  <c:v>45554</c:v>
                </c:pt>
                <c:pt idx="184">
                  <c:v>45555</c:v>
                </c:pt>
                <c:pt idx="185">
                  <c:v>45558</c:v>
                </c:pt>
                <c:pt idx="186">
                  <c:v>45559</c:v>
                </c:pt>
                <c:pt idx="187">
                  <c:v>45560</c:v>
                </c:pt>
                <c:pt idx="188">
                  <c:v>45561</c:v>
                </c:pt>
                <c:pt idx="189">
                  <c:v>45562</c:v>
                </c:pt>
                <c:pt idx="190">
                  <c:v>45565</c:v>
                </c:pt>
                <c:pt idx="191">
                  <c:v>45566</c:v>
                </c:pt>
                <c:pt idx="192">
                  <c:v>45567</c:v>
                </c:pt>
                <c:pt idx="193">
                  <c:v>45568</c:v>
                </c:pt>
                <c:pt idx="194">
                  <c:v>45569</c:v>
                </c:pt>
                <c:pt idx="195">
                  <c:v>45572</c:v>
                </c:pt>
                <c:pt idx="196">
                  <c:v>45573</c:v>
                </c:pt>
                <c:pt idx="197">
                  <c:v>45574</c:v>
                </c:pt>
                <c:pt idx="198">
                  <c:v>45575</c:v>
                </c:pt>
                <c:pt idx="199">
                  <c:v>45576</c:v>
                </c:pt>
                <c:pt idx="200">
                  <c:v>45579</c:v>
                </c:pt>
                <c:pt idx="201">
                  <c:v>45580</c:v>
                </c:pt>
                <c:pt idx="202">
                  <c:v>45581</c:v>
                </c:pt>
                <c:pt idx="203">
                  <c:v>45582</c:v>
                </c:pt>
                <c:pt idx="204">
                  <c:v>45583</c:v>
                </c:pt>
                <c:pt idx="205">
                  <c:v>45586</c:v>
                </c:pt>
                <c:pt idx="206">
                  <c:v>45587</c:v>
                </c:pt>
                <c:pt idx="207">
                  <c:v>45588</c:v>
                </c:pt>
                <c:pt idx="208">
                  <c:v>45589</c:v>
                </c:pt>
                <c:pt idx="209">
                  <c:v>45590</c:v>
                </c:pt>
                <c:pt idx="210">
                  <c:v>45593</c:v>
                </c:pt>
                <c:pt idx="211">
                  <c:v>45594</c:v>
                </c:pt>
                <c:pt idx="212">
                  <c:v>45595</c:v>
                </c:pt>
                <c:pt idx="213">
                  <c:v>45596</c:v>
                </c:pt>
                <c:pt idx="214">
                  <c:v>45597</c:v>
                </c:pt>
                <c:pt idx="215">
                  <c:v>45600</c:v>
                </c:pt>
                <c:pt idx="216">
                  <c:v>45601</c:v>
                </c:pt>
                <c:pt idx="217">
                  <c:v>45602</c:v>
                </c:pt>
                <c:pt idx="218">
                  <c:v>45603</c:v>
                </c:pt>
                <c:pt idx="219">
                  <c:v>45604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  <c:pt idx="254">
                  <c:v>45659</c:v>
                </c:pt>
                <c:pt idx="255">
                  <c:v>45660</c:v>
                </c:pt>
                <c:pt idx="256">
                  <c:v>45663</c:v>
                </c:pt>
                <c:pt idx="257">
                  <c:v>45664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45761</c:v>
                </c:pt>
                <c:pt idx="326">
                  <c:v>45762</c:v>
                </c:pt>
                <c:pt idx="327">
                  <c:v>45763</c:v>
                </c:pt>
                <c:pt idx="328">
                  <c:v>45764</c:v>
                </c:pt>
                <c:pt idx="329">
                  <c:v>45768</c:v>
                </c:pt>
                <c:pt idx="330">
                  <c:v>45771</c:v>
                </c:pt>
                <c:pt idx="331">
                  <c:v>45772</c:v>
                </c:pt>
                <c:pt idx="332">
                  <c:v>45775</c:v>
                </c:pt>
                <c:pt idx="333">
                  <c:v>45776</c:v>
                </c:pt>
                <c:pt idx="334">
                  <c:v>45784</c:v>
                </c:pt>
                <c:pt idx="335">
                  <c:v>45785</c:v>
                </c:pt>
                <c:pt idx="336">
                  <c:v>45789</c:v>
                </c:pt>
                <c:pt idx="337">
                  <c:v>45790</c:v>
                </c:pt>
                <c:pt idx="338">
                  <c:v>45796</c:v>
                </c:pt>
                <c:pt idx="339">
                  <c:v>45797</c:v>
                </c:pt>
                <c:pt idx="340">
                  <c:v>45798</c:v>
                </c:pt>
                <c:pt idx="341">
                  <c:v>45799</c:v>
                </c:pt>
                <c:pt idx="342">
                  <c:v>45800</c:v>
                </c:pt>
                <c:pt idx="343">
                  <c:v>45804</c:v>
                </c:pt>
                <c:pt idx="344">
                  <c:v>45805</c:v>
                </c:pt>
                <c:pt idx="345">
                  <c:v>45806</c:v>
                </c:pt>
                <c:pt idx="346">
                  <c:v>45807</c:v>
                </c:pt>
                <c:pt idx="347">
                  <c:v>45810</c:v>
                </c:pt>
                <c:pt idx="348">
                  <c:v>45811</c:v>
                </c:pt>
                <c:pt idx="349">
                  <c:v>45812</c:v>
                </c:pt>
                <c:pt idx="350">
                  <c:v>45813</c:v>
                </c:pt>
                <c:pt idx="351">
                  <c:v>45814</c:v>
                </c:pt>
                <c:pt idx="352">
                  <c:v>45817</c:v>
                </c:pt>
                <c:pt idx="353">
                  <c:v>45818</c:v>
                </c:pt>
                <c:pt idx="354">
                  <c:v>45819</c:v>
                </c:pt>
                <c:pt idx="355">
                  <c:v>45821</c:v>
                </c:pt>
                <c:pt idx="356">
                  <c:v>45824</c:v>
                </c:pt>
                <c:pt idx="357">
                  <c:v>45825</c:v>
                </c:pt>
                <c:pt idx="358">
                  <c:v>45826</c:v>
                </c:pt>
                <c:pt idx="359">
                  <c:v>45828</c:v>
                </c:pt>
                <c:pt idx="360">
                  <c:v>45831</c:v>
                </c:pt>
                <c:pt idx="361">
                  <c:v>45832</c:v>
                </c:pt>
                <c:pt idx="362">
                  <c:v>45833</c:v>
                </c:pt>
                <c:pt idx="363">
                  <c:v>45835</c:v>
                </c:pt>
                <c:pt idx="364">
                  <c:v>45838</c:v>
                </c:pt>
                <c:pt idx="365">
                  <c:v>45839</c:v>
                </c:pt>
                <c:pt idx="366">
                  <c:v>45840</c:v>
                </c:pt>
                <c:pt idx="367">
                  <c:v>45841</c:v>
                </c:pt>
                <c:pt idx="368">
                  <c:v>45845</c:v>
                </c:pt>
                <c:pt idx="369">
                  <c:v>45846</c:v>
                </c:pt>
                <c:pt idx="370">
                  <c:v>45847</c:v>
                </c:pt>
                <c:pt idx="371">
                  <c:v>45848</c:v>
                </c:pt>
                <c:pt idx="372">
                  <c:v>45849</c:v>
                </c:pt>
                <c:pt idx="373">
                  <c:v>45852</c:v>
                </c:pt>
                <c:pt idx="374">
                  <c:v>45853</c:v>
                </c:pt>
                <c:pt idx="375">
                  <c:v>45854</c:v>
                </c:pt>
                <c:pt idx="376">
                  <c:v>45855</c:v>
                </c:pt>
                <c:pt idx="377">
                  <c:v>45856</c:v>
                </c:pt>
                <c:pt idx="378">
                  <c:v>45859</c:v>
                </c:pt>
                <c:pt idx="379">
                  <c:v>45860</c:v>
                </c:pt>
                <c:pt idx="380">
                  <c:v>45861</c:v>
                </c:pt>
                <c:pt idx="381">
                  <c:v>45862</c:v>
                </c:pt>
                <c:pt idx="382">
                  <c:v>45863</c:v>
                </c:pt>
                <c:pt idx="383">
                  <c:v>45866</c:v>
                </c:pt>
                <c:pt idx="384">
                  <c:v>45867</c:v>
                </c:pt>
                <c:pt idx="385">
                  <c:v>45868</c:v>
                </c:pt>
                <c:pt idx="386">
                  <c:v>45869</c:v>
                </c:pt>
                <c:pt idx="387">
                  <c:v>45870</c:v>
                </c:pt>
                <c:pt idx="388">
                  <c:v>45873</c:v>
                </c:pt>
                <c:pt idx="389">
                  <c:v>45874</c:v>
                </c:pt>
                <c:pt idx="390">
                  <c:v>45875</c:v>
                </c:pt>
                <c:pt idx="391">
                  <c:v>45876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Info!$AK$275:$AK$666</c15:sqref>
                  </c15:fullRef>
                </c:ext>
              </c:extLst>
              <c:f>(Info!$AK$275:$AK$283,Info!$AK$285:$AK$666)</c:f>
              <c:numCache>
                <c:formatCode>_-* #,##0.00_-;\-* #,##0.00_-;_-* "-"??_-;_-@_-</c:formatCode>
                <c:ptCount val="391"/>
                <c:pt idx="0">
                  <c:v>278453.44</c:v>
                </c:pt>
                <c:pt idx="1">
                  <c:v>279959.13</c:v>
                </c:pt>
                <c:pt idx="2">
                  <c:v>280532.46999999997</c:v>
                </c:pt>
                <c:pt idx="3">
                  <c:v>281148.38</c:v>
                </c:pt>
                <c:pt idx="4">
                  <c:v>281312.69</c:v>
                </c:pt>
                <c:pt idx="5">
                  <c:v>280763.28000000003</c:v>
                </c:pt>
                <c:pt idx="6">
                  <c:v>280677.78000000003</c:v>
                </c:pt>
                <c:pt idx="7">
                  <c:v>281083.46999999997</c:v>
                </c:pt>
                <c:pt idx="8">
                  <c:v>280456.90999999997</c:v>
                </c:pt>
                <c:pt idx="9">
                  <c:v>280977.63</c:v>
                </c:pt>
                <c:pt idx="10">
                  <c:v>280976.40999999997</c:v>
                </c:pt>
                <c:pt idx="11">
                  <c:v>280379.96999999997</c:v>
                </c:pt>
                <c:pt idx="12">
                  <c:v>280297.06</c:v>
                </c:pt>
                <c:pt idx="13">
                  <c:v>278315.56</c:v>
                </c:pt>
                <c:pt idx="14">
                  <c:v>277720.69</c:v>
                </c:pt>
                <c:pt idx="15">
                  <c:v>276785.44</c:v>
                </c:pt>
                <c:pt idx="16">
                  <c:v>277263.59000000003</c:v>
                </c:pt>
                <c:pt idx="17">
                  <c:v>276217</c:v>
                </c:pt>
                <c:pt idx="18">
                  <c:v>276195.5</c:v>
                </c:pt>
                <c:pt idx="19">
                  <c:v>274984.09000000003</c:v>
                </c:pt>
                <c:pt idx="20">
                  <c:v>275229.88</c:v>
                </c:pt>
                <c:pt idx="21">
                  <c:v>274931.84000000003</c:v>
                </c:pt>
                <c:pt idx="22">
                  <c:v>274936.59000000003</c:v>
                </c:pt>
                <c:pt idx="23">
                  <c:v>275529.88</c:v>
                </c:pt>
                <c:pt idx="24">
                  <c:v>275529.88</c:v>
                </c:pt>
                <c:pt idx="25">
                  <c:v>274633.63</c:v>
                </c:pt>
                <c:pt idx="26">
                  <c:v>273015.63</c:v>
                </c:pt>
                <c:pt idx="27">
                  <c:v>274596.90999999997</c:v>
                </c:pt>
                <c:pt idx="28">
                  <c:v>274579.09000000003</c:v>
                </c:pt>
                <c:pt idx="29">
                  <c:v>276259.46999999997</c:v>
                </c:pt>
                <c:pt idx="30">
                  <c:v>278787.25</c:v>
                </c:pt>
                <c:pt idx="31">
                  <c:v>278213.56</c:v>
                </c:pt>
                <c:pt idx="32" formatCode="General">
                  <c:v>278213.56</c:v>
                </c:pt>
                <c:pt idx="33">
                  <c:v>278193.09000000003</c:v>
                </c:pt>
                <c:pt idx="34">
                  <c:v>280137.59000000003</c:v>
                </c:pt>
                <c:pt idx="35">
                  <c:v>280137.59000000003</c:v>
                </c:pt>
                <c:pt idx="36">
                  <c:v>280180.19</c:v>
                </c:pt>
                <c:pt idx="37">
                  <c:v>280972.44</c:v>
                </c:pt>
                <c:pt idx="38">
                  <c:v>281852.71999999997</c:v>
                </c:pt>
                <c:pt idx="39">
                  <c:v>281819.25</c:v>
                </c:pt>
                <c:pt idx="40">
                  <c:v>282076</c:v>
                </c:pt>
                <c:pt idx="41">
                  <c:v>282126.38</c:v>
                </c:pt>
                <c:pt idx="42">
                  <c:v>282130.31</c:v>
                </c:pt>
                <c:pt idx="43">
                  <c:v>282596.53000000003</c:v>
                </c:pt>
                <c:pt idx="44">
                  <c:v>283169.56</c:v>
                </c:pt>
                <c:pt idx="45">
                  <c:v>283780.21999999997</c:v>
                </c:pt>
                <c:pt idx="46">
                  <c:v>284271.25</c:v>
                </c:pt>
                <c:pt idx="47">
                  <c:v>285192.03000000003</c:v>
                </c:pt>
                <c:pt idx="48">
                  <c:v>285012.96999999997</c:v>
                </c:pt>
                <c:pt idx="49">
                  <c:v>286486.38</c:v>
                </c:pt>
                <c:pt idx="50">
                  <c:v>286486.38</c:v>
                </c:pt>
                <c:pt idx="51">
                  <c:v>286483.69</c:v>
                </c:pt>
                <c:pt idx="52">
                  <c:v>285358.21999999997</c:v>
                </c:pt>
                <c:pt idx="53">
                  <c:v>284361.5</c:v>
                </c:pt>
                <c:pt idx="54">
                  <c:v>285110.69</c:v>
                </c:pt>
                <c:pt idx="55">
                  <c:v>285110.69</c:v>
                </c:pt>
                <c:pt idx="56">
                  <c:v>285053.21999999997</c:v>
                </c:pt>
                <c:pt idx="57">
                  <c:v>284273.56</c:v>
                </c:pt>
                <c:pt idx="58">
                  <c:v>285041.44</c:v>
                </c:pt>
                <c:pt idx="59">
                  <c:v>287162.84000000003</c:v>
                </c:pt>
                <c:pt idx="60">
                  <c:v>287737.46999999997</c:v>
                </c:pt>
                <c:pt idx="61">
                  <c:v>287737.46999999997</c:v>
                </c:pt>
                <c:pt idx="62">
                  <c:v>288012.46999999997</c:v>
                </c:pt>
                <c:pt idx="63">
                  <c:v>288645.96999999997</c:v>
                </c:pt>
                <c:pt idx="64">
                  <c:v>288585.53000000003</c:v>
                </c:pt>
                <c:pt idx="65">
                  <c:v>289514.69</c:v>
                </c:pt>
                <c:pt idx="66">
                  <c:v>289497.56</c:v>
                </c:pt>
                <c:pt idx="67">
                  <c:v>290072.75</c:v>
                </c:pt>
                <c:pt idx="68">
                  <c:v>289976.53000000003</c:v>
                </c:pt>
                <c:pt idx="69">
                  <c:v>290933.21999999997</c:v>
                </c:pt>
                <c:pt idx="70">
                  <c:v>291756.28000000003</c:v>
                </c:pt>
                <c:pt idx="71">
                  <c:v>291091.13</c:v>
                </c:pt>
                <c:pt idx="72">
                  <c:v>291028.90999999997</c:v>
                </c:pt>
                <c:pt idx="73">
                  <c:v>292055.28000000003</c:v>
                </c:pt>
                <c:pt idx="74">
                  <c:v>292054.31</c:v>
                </c:pt>
                <c:pt idx="75">
                  <c:v>292418.96999999997</c:v>
                </c:pt>
                <c:pt idx="76">
                  <c:v>292775.28000000003</c:v>
                </c:pt>
                <c:pt idx="77">
                  <c:v>293974.21999999997</c:v>
                </c:pt>
                <c:pt idx="78">
                  <c:v>295107.65999999997</c:v>
                </c:pt>
                <c:pt idx="79">
                  <c:v>294016.78000000003</c:v>
                </c:pt>
                <c:pt idx="80">
                  <c:v>293268.09000000003</c:v>
                </c:pt>
                <c:pt idx="81">
                  <c:v>294609.19</c:v>
                </c:pt>
                <c:pt idx="82">
                  <c:v>294970.53000000003</c:v>
                </c:pt>
                <c:pt idx="83">
                  <c:v>295188.09000000003</c:v>
                </c:pt>
                <c:pt idx="84">
                  <c:v>295648.75</c:v>
                </c:pt>
                <c:pt idx="85">
                  <c:v>295644.71999999997</c:v>
                </c:pt>
                <c:pt idx="86">
                  <c:v>295771.53000000003</c:v>
                </c:pt>
                <c:pt idx="87">
                  <c:v>296978.25</c:v>
                </c:pt>
                <c:pt idx="88">
                  <c:v>297785.25</c:v>
                </c:pt>
                <c:pt idx="89">
                  <c:v>297869.03000000003</c:v>
                </c:pt>
                <c:pt idx="90">
                  <c:v>297248.34000000003</c:v>
                </c:pt>
                <c:pt idx="91">
                  <c:v>297850.44</c:v>
                </c:pt>
                <c:pt idx="92">
                  <c:v>297838.75</c:v>
                </c:pt>
                <c:pt idx="93">
                  <c:v>297817.38</c:v>
                </c:pt>
                <c:pt idx="94">
                  <c:v>298000.56</c:v>
                </c:pt>
                <c:pt idx="95">
                  <c:v>298385.78000000003</c:v>
                </c:pt>
                <c:pt idx="96">
                  <c:v>297668.21999999997</c:v>
                </c:pt>
                <c:pt idx="97">
                  <c:v>297746.63</c:v>
                </c:pt>
                <c:pt idx="98">
                  <c:v>298818.75</c:v>
                </c:pt>
                <c:pt idx="99">
                  <c:v>298514.88</c:v>
                </c:pt>
                <c:pt idx="100">
                  <c:v>298514.88</c:v>
                </c:pt>
                <c:pt idx="101">
                  <c:v>299048.03000000003</c:v>
                </c:pt>
                <c:pt idx="102">
                  <c:v>298467.69</c:v>
                </c:pt>
                <c:pt idx="103">
                  <c:v>297910.46999999997</c:v>
                </c:pt>
                <c:pt idx="104">
                  <c:v>297588.56</c:v>
                </c:pt>
                <c:pt idx="105">
                  <c:v>298751.53000000003</c:v>
                </c:pt>
                <c:pt idx="106">
                  <c:v>298167.59000000003</c:v>
                </c:pt>
                <c:pt idx="107">
                  <c:v>297285.94</c:v>
                </c:pt>
                <c:pt idx="108">
                  <c:v>296208.5</c:v>
                </c:pt>
                <c:pt idx="109">
                  <c:v>295630.59000000003</c:v>
                </c:pt>
                <c:pt idx="110">
                  <c:v>295371.5</c:v>
                </c:pt>
                <c:pt idx="111">
                  <c:v>296591.15999999997</c:v>
                </c:pt>
                <c:pt idx="112">
                  <c:v>297190.78000000003</c:v>
                </c:pt>
                <c:pt idx="113">
                  <c:v>297190.78000000003</c:v>
                </c:pt>
                <c:pt idx="114">
                  <c:v>296393.31</c:v>
                </c:pt>
                <c:pt idx="115">
                  <c:v>296314.40999999997</c:v>
                </c:pt>
                <c:pt idx="116">
                  <c:v>296338.28000000003</c:v>
                </c:pt>
                <c:pt idx="117">
                  <c:v>296338.28000000003</c:v>
                </c:pt>
                <c:pt idx="118">
                  <c:v>296824</c:v>
                </c:pt>
                <c:pt idx="119">
                  <c:v>296815.09000000003</c:v>
                </c:pt>
                <c:pt idx="120">
                  <c:v>297415.13</c:v>
                </c:pt>
                <c:pt idx="121">
                  <c:v>297198.84000000003</c:v>
                </c:pt>
                <c:pt idx="122">
                  <c:v>296265.40999999997</c:v>
                </c:pt>
                <c:pt idx="123">
                  <c:v>296895.78000000003</c:v>
                </c:pt>
                <c:pt idx="124">
                  <c:v>297063.78000000003</c:v>
                </c:pt>
                <c:pt idx="125">
                  <c:v>297662.63</c:v>
                </c:pt>
                <c:pt idx="126">
                  <c:v>298178.53000000003</c:v>
                </c:pt>
                <c:pt idx="127">
                  <c:v>297312.44</c:v>
                </c:pt>
                <c:pt idx="128">
                  <c:v>297312.44</c:v>
                </c:pt>
                <c:pt idx="129">
                  <c:v>297910.71999999997</c:v>
                </c:pt>
                <c:pt idx="130">
                  <c:v>299096.09000000003</c:v>
                </c:pt>
                <c:pt idx="131">
                  <c:v>298501.53000000003</c:v>
                </c:pt>
                <c:pt idx="132">
                  <c:v>298496.40999999997</c:v>
                </c:pt>
                <c:pt idx="133">
                  <c:v>297503.94</c:v>
                </c:pt>
                <c:pt idx="134">
                  <c:v>302943.78000000003</c:v>
                </c:pt>
                <c:pt idx="135">
                  <c:v>303110.56</c:v>
                </c:pt>
                <c:pt idx="136">
                  <c:v>303103.75</c:v>
                </c:pt>
                <c:pt idx="137">
                  <c:v>301830.56</c:v>
                </c:pt>
                <c:pt idx="138">
                  <c:v>301920.28000000003</c:v>
                </c:pt>
                <c:pt idx="139">
                  <c:v>301334.21999999997</c:v>
                </c:pt>
                <c:pt idx="140">
                  <c:v>302525.96999999997</c:v>
                </c:pt>
                <c:pt idx="141">
                  <c:v>301909.81</c:v>
                </c:pt>
                <c:pt idx="142">
                  <c:v>303107.75</c:v>
                </c:pt>
                <c:pt idx="143">
                  <c:v>303163.44</c:v>
                </c:pt>
                <c:pt idx="144">
                  <c:v>303461.71999999997</c:v>
                </c:pt>
                <c:pt idx="145">
                  <c:v>302212.84000000003</c:v>
                </c:pt>
                <c:pt idx="146">
                  <c:v>302208.94</c:v>
                </c:pt>
                <c:pt idx="147">
                  <c:v>302738.63</c:v>
                </c:pt>
                <c:pt idx="148">
                  <c:v>302143.78000000003</c:v>
                </c:pt>
                <c:pt idx="149">
                  <c:v>302723</c:v>
                </c:pt>
                <c:pt idx="150">
                  <c:v>303804.63</c:v>
                </c:pt>
                <c:pt idx="151">
                  <c:v>303109.38</c:v>
                </c:pt>
                <c:pt idx="152">
                  <c:v>303106.5</c:v>
                </c:pt>
                <c:pt idx="153">
                  <c:v>303018.19</c:v>
                </c:pt>
                <c:pt idx="154">
                  <c:v>302408.28000000003</c:v>
                </c:pt>
                <c:pt idx="155">
                  <c:v>303339.90999999997</c:v>
                </c:pt>
                <c:pt idx="156">
                  <c:v>303374.13</c:v>
                </c:pt>
                <c:pt idx="157">
                  <c:v>304307.13</c:v>
                </c:pt>
                <c:pt idx="158">
                  <c:v>305147.5</c:v>
                </c:pt>
                <c:pt idx="159">
                  <c:v>307919.71999999997</c:v>
                </c:pt>
                <c:pt idx="160">
                  <c:v>307813.34000000003</c:v>
                </c:pt>
                <c:pt idx="161">
                  <c:v>306738.69</c:v>
                </c:pt>
                <c:pt idx="162">
                  <c:v>306508.53000000003</c:v>
                </c:pt>
                <c:pt idx="163">
                  <c:v>306332.46999999997</c:v>
                </c:pt>
                <c:pt idx="164">
                  <c:v>307328.53000000003</c:v>
                </c:pt>
                <c:pt idx="165">
                  <c:v>307311.71999999997</c:v>
                </c:pt>
                <c:pt idx="166">
                  <c:v>307092.5</c:v>
                </c:pt>
                <c:pt idx="167">
                  <c:v>306512.03000000003</c:v>
                </c:pt>
                <c:pt idx="168">
                  <c:v>307154.84000000003</c:v>
                </c:pt>
                <c:pt idx="169">
                  <c:v>306367.44</c:v>
                </c:pt>
                <c:pt idx="170">
                  <c:v>306367.44</c:v>
                </c:pt>
                <c:pt idx="171">
                  <c:v>306331.31</c:v>
                </c:pt>
                <c:pt idx="172">
                  <c:v>306222.53000000003</c:v>
                </c:pt>
                <c:pt idx="173">
                  <c:v>306017.56</c:v>
                </c:pt>
                <c:pt idx="174">
                  <c:v>306016.53000000003</c:v>
                </c:pt>
                <c:pt idx="175">
                  <c:v>306575.19</c:v>
                </c:pt>
                <c:pt idx="176">
                  <c:v>306892.06</c:v>
                </c:pt>
                <c:pt idx="177">
                  <c:v>305952.28000000003</c:v>
                </c:pt>
                <c:pt idx="178">
                  <c:v>306156.59000000003</c:v>
                </c:pt>
                <c:pt idx="179">
                  <c:v>306139.84000000003</c:v>
                </c:pt>
                <c:pt idx="180">
                  <c:v>305926.96999999997</c:v>
                </c:pt>
                <c:pt idx="181">
                  <c:v>306483.44</c:v>
                </c:pt>
                <c:pt idx="182">
                  <c:v>305964.25</c:v>
                </c:pt>
                <c:pt idx="183">
                  <c:v>305883.78000000003</c:v>
                </c:pt>
                <c:pt idx="184">
                  <c:v>304377.65999999997</c:v>
                </c:pt>
                <c:pt idx="185">
                  <c:v>304985.13</c:v>
                </c:pt>
                <c:pt idx="186">
                  <c:v>304946.59000000003</c:v>
                </c:pt>
                <c:pt idx="187">
                  <c:v>305338.09000000003</c:v>
                </c:pt>
                <c:pt idx="188">
                  <c:v>304698.56</c:v>
                </c:pt>
                <c:pt idx="189">
                  <c:v>304502.03000000003</c:v>
                </c:pt>
                <c:pt idx="190">
                  <c:v>304129.63</c:v>
                </c:pt>
                <c:pt idx="191">
                  <c:v>305053.65999999997</c:v>
                </c:pt>
                <c:pt idx="192">
                  <c:v>305067.94</c:v>
                </c:pt>
                <c:pt idx="193">
                  <c:v>305498.90999999997</c:v>
                </c:pt>
                <c:pt idx="194">
                  <c:v>306593.59000000003</c:v>
                </c:pt>
                <c:pt idx="195">
                  <c:v>305873</c:v>
                </c:pt>
                <c:pt idx="196">
                  <c:v>306932.5</c:v>
                </c:pt>
                <c:pt idx="197">
                  <c:v>306932.5</c:v>
                </c:pt>
                <c:pt idx="198">
                  <c:v>306023.21999999997</c:v>
                </c:pt>
                <c:pt idx="199">
                  <c:v>306014.21999999997</c:v>
                </c:pt>
                <c:pt idx="200">
                  <c:v>305367.65999999997</c:v>
                </c:pt>
                <c:pt idx="201">
                  <c:v>305955.28000000003</c:v>
                </c:pt>
                <c:pt idx="202">
                  <c:v>306126.46999999997</c:v>
                </c:pt>
                <c:pt idx="203">
                  <c:v>305299.90999999997</c:v>
                </c:pt>
                <c:pt idx="204">
                  <c:v>306501.44</c:v>
                </c:pt>
                <c:pt idx="205">
                  <c:v>306533.03000000003</c:v>
                </c:pt>
                <c:pt idx="206">
                  <c:v>307197.96999999997</c:v>
                </c:pt>
                <c:pt idx="207">
                  <c:v>307172.13</c:v>
                </c:pt>
                <c:pt idx="208">
                  <c:v>307798.03000000003</c:v>
                </c:pt>
                <c:pt idx="209">
                  <c:v>307413.65999999997</c:v>
                </c:pt>
                <c:pt idx="210">
                  <c:v>307489.94</c:v>
                </c:pt>
                <c:pt idx="211">
                  <c:v>308066.63</c:v>
                </c:pt>
                <c:pt idx="212">
                  <c:v>307997.65999999997</c:v>
                </c:pt>
                <c:pt idx="213">
                  <c:v>308598.71999999997</c:v>
                </c:pt>
                <c:pt idx="214">
                  <c:v>308581.88</c:v>
                </c:pt>
                <c:pt idx="215">
                  <c:v>308516.69</c:v>
                </c:pt>
                <c:pt idx="216">
                  <c:v>309117.13</c:v>
                </c:pt>
                <c:pt idx="217">
                  <c:v>310913.28000000003</c:v>
                </c:pt>
                <c:pt idx="218">
                  <c:v>311809.21999999997</c:v>
                </c:pt>
                <c:pt idx="219">
                  <c:v>312280.31</c:v>
                </c:pt>
                <c:pt idx="220">
                  <c:v>312688.15999999997</c:v>
                </c:pt>
                <c:pt idx="221">
                  <c:v>311292.38</c:v>
                </c:pt>
                <c:pt idx="222">
                  <c:v>311321.81</c:v>
                </c:pt>
                <c:pt idx="223">
                  <c:v>310038.94</c:v>
                </c:pt>
                <c:pt idx="224">
                  <c:v>308821.19</c:v>
                </c:pt>
                <c:pt idx="225">
                  <c:v>309988.38</c:v>
                </c:pt>
                <c:pt idx="226">
                  <c:v>309389.65999999997</c:v>
                </c:pt>
                <c:pt idx="227">
                  <c:v>308188.90999999997</c:v>
                </c:pt>
                <c:pt idx="228">
                  <c:v>307548.15999999997</c:v>
                </c:pt>
                <c:pt idx="229">
                  <c:v>307548.5</c:v>
                </c:pt>
                <c:pt idx="230">
                  <c:v>307859.78000000003</c:v>
                </c:pt>
                <c:pt idx="231">
                  <c:v>307976.03000000003</c:v>
                </c:pt>
                <c:pt idx="232">
                  <c:v>307976.03000000003</c:v>
                </c:pt>
                <c:pt idx="233">
                  <c:v>307976.03000000003</c:v>
                </c:pt>
                <c:pt idx="234">
                  <c:v>307975.03000000003</c:v>
                </c:pt>
                <c:pt idx="235">
                  <c:v>306719.65999999997</c:v>
                </c:pt>
                <c:pt idx="236">
                  <c:v>306541.09000000003</c:v>
                </c:pt>
                <c:pt idx="237">
                  <c:v>306557.56</c:v>
                </c:pt>
                <c:pt idx="238">
                  <c:v>306673.65999999997</c:v>
                </c:pt>
                <c:pt idx="239">
                  <c:v>307043.25</c:v>
                </c:pt>
                <c:pt idx="240">
                  <c:v>307615.56</c:v>
                </c:pt>
                <c:pt idx="241">
                  <c:v>307822.40999999997</c:v>
                </c:pt>
                <c:pt idx="242">
                  <c:v>307818.03000000003</c:v>
                </c:pt>
                <c:pt idx="243">
                  <c:v>308339.75</c:v>
                </c:pt>
                <c:pt idx="244">
                  <c:v>307725.19</c:v>
                </c:pt>
                <c:pt idx="245">
                  <c:v>310025.38</c:v>
                </c:pt>
                <c:pt idx="246">
                  <c:v>310617.56</c:v>
                </c:pt>
                <c:pt idx="247">
                  <c:v>312399.40999999997</c:v>
                </c:pt>
                <c:pt idx="248">
                  <c:v>313574.75</c:v>
                </c:pt>
                <c:pt idx="249">
                  <c:v>313338.40999999997</c:v>
                </c:pt>
                <c:pt idx="250">
                  <c:v>314826.65999999997</c:v>
                </c:pt>
                <c:pt idx="251">
                  <c:v>316032.90999999997</c:v>
                </c:pt>
                <c:pt idx="252">
                  <c:v>317295.59000000003</c:v>
                </c:pt>
                <c:pt idx="253">
                  <c:v>318618.63</c:v>
                </c:pt>
                <c:pt idx="254">
                  <c:v>318895.71999999997</c:v>
                </c:pt>
                <c:pt idx="255">
                  <c:v>319008.13</c:v>
                </c:pt>
                <c:pt idx="256">
                  <c:v>317707.31</c:v>
                </c:pt>
                <c:pt idx="257">
                  <c:v>320047.90999999997</c:v>
                </c:pt>
                <c:pt idx="258">
                  <c:v>322563.94</c:v>
                </c:pt>
                <c:pt idx="259">
                  <c:v>322899.94</c:v>
                </c:pt>
                <c:pt idx="260">
                  <c:v>324448.46999999997</c:v>
                </c:pt>
                <c:pt idx="261">
                  <c:v>324534.5</c:v>
                </c:pt>
                <c:pt idx="262">
                  <c:v>327590.21999999997</c:v>
                </c:pt>
                <c:pt idx="263">
                  <c:v>328799.96999999997</c:v>
                </c:pt>
                <c:pt idx="264">
                  <c:v>329401.56</c:v>
                </c:pt>
                <c:pt idx="265">
                  <c:v>330737.13</c:v>
                </c:pt>
                <c:pt idx="266">
                  <c:v>330737.13</c:v>
                </c:pt>
                <c:pt idx="267">
                  <c:v>334317.53000000003</c:v>
                </c:pt>
                <c:pt idx="268">
                  <c:v>339669.28</c:v>
                </c:pt>
                <c:pt idx="269">
                  <c:v>341915.19</c:v>
                </c:pt>
                <c:pt idx="270">
                  <c:v>346838.41</c:v>
                </c:pt>
                <c:pt idx="271">
                  <c:v>348603.94</c:v>
                </c:pt>
                <c:pt idx="272">
                  <c:v>350561.53</c:v>
                </c:pt>
                <c:pt idx="273">
                  <c:v>352313.34</c:v>
                </c:pt>
                <c:pt idx="274">
                  <c:v>353726.31</c:v>
                </c:pt>
                <c:pt idx="275">
                  <c:v>355824.13</c:v>
                </c:pt>
                <c:pt idx="276">
                  <c:v>359059.22</c:v>
                </c:pt>
                <c:pt idx="277">
                  <c:v>358607.22</c:v>
                </c:pt>
                <c:pt idx="278">
                  <c:v>359361.97</c:v>
                </c:pt>
                <c:pt idx="279">
                  <c:v>360757.88</c:v>
                </c:pt>
                <c:pt idx="280">
                  <c:v>363395.81</c:v>
                </c:pt>
                <c:pt idx="281">
                  <c:v>366853.47</c:v>
                </c:pt>
                <c:pt idx="282">
                  <c:v>369868.47</c:v>
                </c:pt>
                <c:pt idx="283">
                  <c:v>372304.63</c:v>
                </c:pt>
                <c:pt idx="284">
                  <c:v>375843.97</c:v>
                </c:pt>
                <c:pt idx="285">
                  <c:v>377888.78</c:v>
                </c:pt>
                <c:pt idx="286">
                  <c:v>377888.78</c:v>
                </c:pt>
                <c:pt idx="287">
                  <c:v>380076.41</c:v>
                </c:pt>
                <c:pt idx="288">
                  <c:v>385279.81</c:v>
                </c:pt>
                <c:pt idx="289">
                  <c:v>388090.69</c:v>
                </c:pt>
                <c:pt idx="290">
                  <c:v>389671.81</c:v>
                </c:pt>
                <c:pt idx="291">
                  <c:v>392367.22</c:v>
                </c:pt>
                <c:pt idx="292">
                  <c:v>395318.78</c:v>
                </c:pt>
                <c:pt idx="293">
                  <c:v>398194.97</c:v>
                </c:pt>
                <c:pt idx="294">
                  <c:v>403215.53</c:v>
                </c:pt>
                <c:pt idx="295">
                  <c:v>408605.25</c:v>
                </c:pt>
                <c:pt idx="296">
                  <c:v>408808.06</c:v>
                </c:pt>
                <c:pt idx="297">
                  <c:v>413769.56</c:v>
                </c:pt>
                <c:pt idx="298">
                  <c:v>416815.63</c:v>
                </c:pt>
                <c:pt idx="299">
                  <c:v>420277.59</c:v>
                </c:pt>
                <c:pt idx="300">
                  <c:v>424898.47</c:v>
                </c:pt>
                <c:pt idx="301">
                  <c:v>430278.16</c:v>
                </c:pt>
                <c:pt idx="302">
                  <c:v>433759.09</c:v>
                </c:pt>
                <c:pt idx="303">
                  <c:v>436429.63</c:v>
                </c:pt>
                <c:pt idx="304">
                  <c:v>440821.47</c:v>
                </c:pt>
                <c:pt idx="305">
                  <c:v>443699.06</c:v>
                </c:pt>
                <c:pt idx="306">
                  <c:v>445423.16</c:v>
                </c:pt>
                <c:pt idx="307">
                  <c:v>448907.22</c:v>
                </c:pt>
                <c:pt idx="308">
                  <c:v>453064.25</c:v>
                </c:pt>
                <c:pt idx="309">
                  <c:v>456485.84</c:v>
                </c:pt>
                <c:pt idx="310">
                  <c:v>458086.84</c:v>
                </c:pt>
                <c:pt idx="311">
                  <c:v>460151.16</c:v>
                </c:pt>
                <c:pt idx="312">
                  <c:v>463534.22</c:v>
                </c:pt>
                <c:pt idx="313">
                  <c:v>467152.5</c:v>
                </c:pt>
                <c:pt idx="314">
                  <c:v>468447.28</c:v>
                </c:pt>
                <c:pt idx="315">
                  <c:v>472420.06</c:v>
                </c:pt>
                <c:pt idx="316">
                  <c:v>475357.56</c:v>
                </c:pt>
                <c:pt idx="317">
                  <c:v>478458.44</c:v>
                </c:pt>
                <c:pt idx="318">
                  <c:v>482570.16</c:v>
                </c:pt>
                <c:pt idx="319">
                  <c:v>484931.19</c:v>
                </c:pt>
                <c:pt idx="320">
                  <c:v>490077.03</c:v>
                </c:pt>
                <c:pt idx="321">
                  <c:v>492042.44</c:v>
                </c:pt>
                <c:pt idx="322">
                  <c:v>492994.22</c:v>
                </c:pt>
                <c:pt idx="323">
                  <c:v>494816.47</c:v>
                </c:pt>
                <c:pt idx="324">
                  <c:v>496236.16</c:v>
                </c:pt>
                <c:pt idx="325">
                  <c:v>498195.41</c:v>
                </c:pt>
                <c:pt idx="326">
                  <c:v>498846.94</c:v>
                </c:pt>
                <c:pt idx="327">
                  <c:v>498568.81</c:v>
                </c:pt>
                <c:pt idx="328">
                  <c:v>499103.56</c:v>
                </c:pt>
                <c:pt idx="329">
                  <c:v>497894.78</c:v>
                </c:pt>
                <c:pt idx="330">
                  <c:v>497740.69</c:v>
                </c:pt>
                <c:pt idx="331">
                  <c:v>497908.25</c:v>
                </c:pt>
                <c:pt idx="332">
                  <c:v>497746.31</c:v>
                </c:pt>
                <c:pt idx="333">
                  <c:v>499098.41</c:v>
                </c:pt>
                <c:pt idx="334">
                  <c:v>501468.81</c:v>
                </c:pt>
                <c:pt idx="335">
                  <c:v>502800.09</c:v>
                </c:pt>
                <c:pt idx="336">
                  <c:v>504719.47</c:v>
                </c:pt>
                <c:pt idx="337">
                  <c:v>503481.13</c:v>
                </c:pt>
                <c:pt idx="338">
                  <c:v>501490.06</c:v>
                </c:pt>
                <c:pt idx="339">
                  <c:v>501069.09</c:v>
                </c:pt>
                <c:pt idx="340">
                  <c:v>500598.22</c:v>
                </c:pt>
                <c:pt idx="341">
                  <c:v>498504.31</c:v>
                </c:pt>
                <c:pt idx="342">
                  <c:v>496694.91</c:v>
                </c:pt>
                <c:pt idx="343">
                  <c:v>497302.78</c:v>
                </c:pt>
                <c:pt idx="344">
                  <c:v>498373.22</c:v>
                </c:pt>
                <c:pt idx="345">
                  <c:v>498127.84</c:v>
                </c:pt>
                <c:pt idx="346">
                  <c:v>496007.97</c:v>
                </c:pt>
                <c:pt idx="347">
                  <c:v>495395</c:v>
                </c:pt>
                <c:pt idx="348">
                  <c:v>495085.22</c:v>
                </c:pt>
                <c:pt idx="349">
                  <c:v>495973.59</c:v>
                </c:pt>
                <c:pt idx="350">
                  <c:v>495544.19</c:v>
                </c:pt>
                <c:pt idx="351">
                  <c:v>494719.94</c:v>
                </c:pt>
                <c:pt idx="352">
                  <c:v>494318.78</c:v>
                </c:pt>
                <c:pt idx="353">
                  <c:v>495180.44</c:v>
                </c:pt>
                <c:pt idx="354">
                  <c:v>497946.19</c:v>
                </c:pt>
                <c:pt idx="355">
                  <c:v>498460</c:v>
                </c:pt>
                <c:pt idx="356">
                  <c:v>497510.53</c:v>
                </c:pt>
                <c:pt idx="357">
                  <c:v>496583.13</c:v>
                </c:pt>
                <c:pt idx="358">
                  <c:v>495735.09</c:v>
                </c:pt>
                <c:pt idx="359">
                  <c:v>495467.09</c:v>
                </c:pt>
                <c:pt idx="360">
                  <c:v>498389.69</c:v>
                </c:pt>
                <c:pt idx="361">
                  <c:v>498310.5</c:v>
                </c:pt>
                <c:pt idx="362">
                  <c:v>500322.38</c:v>
                </c:pt>
                <c:pt idx="363">
                  <c:v>499090.38</c:v>
                </c:pt>
                <c:pt idx="364">
                  <c:v>499694.75</c:v>
                </c:pt>
                <c:pt idx="365">
                  <c:v>501210.19</c:v>
                </c:pt>
                <c:pt idx="366">
                  <c:v>500183.47</c:v>
                </c:pt>
                <c:pt idx="367">
                  <c:v>499281.09</c:v>
                </c:pt>
                <c:pt idx="368">
                  <c:v>498306.34</c:v>
                </c:pt>
                <c:pt idx="369">
                  <c:v>497932.97</c:v>
                </c:pt>
                <c:pt idx="370">
                  <c:v>497289.13</c:v>
                </c:pt>
                <c:pt idx="371">
                  <c:v>495536</c:v>
                </c:pt>
                <c:pt idx="372">
                  <c:v>494919.66</c:v>
                </c:pt>
                <c:pt idx="373">
                  <c:v>496623.41</c:v>
                </c:pt>
                <c:pt idx="374">
                  <c:v>496635.88</c:v>
                </c:pt>
                <c:pt idx="375">
                  <c:v>497181.94</c:v>
                </c:pt>
                <c:pt idx="376">
                  <c:v>496688.53</c:v>
                </c:pt>
                <c:pt idx="377">
                  <c:v>497243.94</c:v>
                </c:pt>
                <c:pt idx="378">
                  <c:v>497645.56</c:v>
                </c:pt>
                <c:pt idx="379">
                  <c:v>497984.78</c:v>
                </c:pt>
                <c:pt idx="380">
                  <c:v>498207.09</c:v>
                </c:pt>
                <c:pt idx="381">
                  <c:v>497804.16</c:v>
                </c:pt>
                <c:pt idx="382">
                  <c:v>500320.75</c:v>
                </c:pt>
                <c:pt idx="383">
                  <c:v>501696.63</c:v>
                </c:pt>
                <c:pt idx="384">
                  <c:v>502296.53</c:v>
                </c:pt>
                <c:pt idx="385">
                  <c:v>504338.31</c:v>
                </c:pt>
                <c:pt idx="386">
                  <c:v>505219.66</c:v>
                </c:pt>
                <c:pt idx="387">
                  <c:v>506661.53</c:v>
                </c:pt>
                <c:pt idx="388">
                  <c:v>506602.13</c:v>
                </c:pt>
                <c:pt idx="389">
                  <c:v>506311.75</c:v>
                </c:pt>
                <c:pt idx="390">
                  <c:v>505984.13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E-42C2-BC6F-22C1FB758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852912"/>
        <c:axId val="279846256"/>
      </c:areaChart>
      <c:lineChart>
        <c:grouping val="standard"/>
        <c:varyColors val="0"/>
        <c:ser>
          <c:idx val="1"/>
          <c:order val="2"/>
          <c:tx>
            <c:strRef>
              <c:f>Info!$AP$1</c:f>
              <c:strCache>
                <c:ptCount val="1"/>
                <c:pt idx="0">
                  <c:v>Silver OI ('000 oz)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Info!$A$275:$A$667</c15:sqref>
                  </c15:fullRef>
                </c:ext>
              </c:extLst>
              <c:f>(Info!$A$275:$A$283,Info!$A$285:$A$667)</c:f>
              <c:numCache>
                <c:formatCode>m/d/yy</c:formatCode>
                <c:ptCount val="39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45404</c:v>
                </c:pt>
                <c:pt idx="76">
                  <c:v>45405</c:v>
                </c:pt>
                <c:pt idx="77">
                  <c:v>45406</c:v>
                </c:pt>
                <c:pt idx="78">
                  <c:v>45407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45462</c:v>
                </c:pt>
                <c:pt idx="118">
                  <c:v>45463</c:v>
                </c:pt>
                <c:pt idx="119">
                  <c:v>45464</c:v>
                </c:pt>
                <c:pt idx="120">
                  <c:v>45467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45474</c:v>
                </c:pt>
                <c:pt idx="126">
                  <c:v>45475</c:v>
                </c:pt>
                <c:pt idx="127">
                  <c:v>45476</c:v>
                </c:pt>
                <c:pt idx="128">
                  <c:v>45477</c:v>
                </c:pt>
                <c:pt idx="129">
                  <c:v>45478</c:v>
                </c:pt>
                <c:pt idx="130">
                  <c:v>45481</c:v>
                </c:pt>
                <c:pt idx="131">
                  <c:v>45482</c:v>
                </c:pt>
                <c:pt idx="132">
                  <c:v>45483</c:v>
                </c:pt>
                <c:pt idx="133">
                  <c:v>45484</c:v>
                </c:pt>
                <c:pt idx="134">
                  <c:v>45485</c:v>
                </c:pt>
                <c:pt idx="135">
                  <c:v>45488</c:v>
                </c:pt>
                <c:pt idx="136">
                  <c:v>45489</c:v>
                </c:pt>
                <c:pt idx="137">
                  <c:v>45490</c:v>
                </c:pt>
                <c:pt idx="138">
                  <c:v>45491</c:v>
                </c:pt>
                <c:pt idx="139">
                  <c:v>45492</c:v>
                </c:pt>
                <c:pt idx="140">
                  <c:v>45495</c:v>
                </c:pt>
                <c:pt idx="141">
                  <c:v>45496</c:v>
                </c:pt>
                <c:pt idx="142">
                  <c:v>45497</c:v>
                </c:pt>
                <c:pt idx="143">
                  <c:v>45498</c:v>
                </c:pt>
                <c:pt idx="144">
                  <c:v>45499</c:v>
                </c:pt>
                <c:pt idx="145">
                  <c:v>45502</c:v>
                </c:pt>
                <c:pt idx="146">
                  <c:v>45503</c:v>
                </c:pt>
                <c:pt idx="147">
                  <c:v>45504</c:v>
                </c:pt>
                <c:pt idx="148">
                  <c:v>45505</c:v>
                </c:pt>
                <c:pt idx="149">
                  <c:v>45506</c:v>
                </c:pt>
                <c:pt idx="150">
                  <c:v>45509</c:v>
                </c:pt>
                <c:pt idx="151">
                  <c:v>45510</c:v>
                </c:pt>
                <c:pt idx="152">
                  <c:v>45511</c:v>
                </c:pt>
                <c:pt idx="153">
                  <c:v>45512</c:v>
                </c:pt>
                <c:pt idx="154">
                  <c:v>45513</c:v>
                </c:pt>
                <c:pt idx="155">
                  <c:v>45516</c:v>
                </c:pt>
                <c:pt idx="156">
                  <c:v>45517</c:v>
                </c:pt>
                <c:pt idx="157">
                  <c:v>45518</c:v>
                </c:pt>
                <c:pt idx="158">
                  <c:v>45519</c:v>
                </c:pt>
                <c:pt idx="159">
                  <c:v>45520</c:v>
                </c:pt>
                <c:pt idx="160">
                  <c:v>45523</c:v>
                </c:pt>
                <c:pt idx="161">
                  <c:v>45524</c:v>
                </c:pt>
                <c:pt idx="162">
                  <c:v>45525</c:v>
                </c:pt>
                <c:pt idx="163">
                  <c:v>45526</c:v>
                </c:pt>
                <c:pt idx="164">
                  <c:v>45527</c:v>
                </c:pt>
                <c:pt idx="165">
                  <c:v>45530</c:v>
                </c:pt>
                <c:pt idx="166">
                  <c:v>45531</c:v>
                </c:pt>
                <c:pt idx="167">
                  <c:v>45532</c:v>
                </c:pt>
                <c:pt idx="168">
                  <c:v>45533</c:v>
                </c:pt>
                <c:pt idx="169">
                  <c:v>45534</c:v>
                </c:pt>
                <c:pt idx="170">
                  <c:v>45537</c:v>
                </c:pt>
                <c:pt idx="171">
                  <c:v>45538</c:v>
                </c:pt>
                <c:pt idx="172">
                  <c:v>45539</c:v>
                </c:pt>
                <c:pt idx="173">
                  <c:v>45540</c:v>
                </c:pt>
                <c:pt idx="174">
                  <c:v>45541</c:v>
                </c:pt>
                <c:pt idx="175">
                  <c:v>45544</c:v>
                </c:pt>
                <c:pt idx="176">
                  <c:v>45545</c:v>
                </c:pt>
                <c:pt idx="177">
                  <c:v>45546</c:v>
                </c:pt>
                <c:pt idx="178">
                  <c:v>45547</c:v>
                </c:pt>
                <c:pt idx="179">
                  <c:v>45548</c:v>
                </c:pt>
                <c:pt idx="180">
                  <c:v>45551</c:v>
                </c:pt>
                <c:pt idx="181">
                  <c:v>45552</c:v>
                </c:pt>
                <c:pt idx="182">
                  <c:v>45553</c:v>
                </c:pt>
                <c:pt idx="183">
                  <c:v>45554</c:v>
                </c:pt>
                <c:pt idx="184">
                  <c:v>45555</c:v>
                </c:pt>
                <c:pt idx="185">
                  <c:v>45558</c:v>
                </c:pt>
                <c:pt idx="186">
                  <c:v>45559</c:v>
                </c:pt>
                <c:pt idx="187">
                  <c:v>45560</c:v>
                </c:pt>
                <c:pt idx="188">
                  <c:v>45561</c:v>
                </c:pt>
                <c:pt idx="189">
                  <c:v>45562</c:v>
                </c:pt>
                <c:pt idx="190">
                  <c:v>45565</c:v>
                </c:pt>
                <c:pt idx="191">
                  <c:v>45566</c:v>
                </c:pt>
                <c:pt idx="192">
                  <c:v>45567</c:v>
                </c:pt>
                <c:pt idx="193">
                  <c:v>45568</c:v>
                </c:pt>
                <c:pt idx="194">
                  <c:v>45569</c:v>
                </c:pt>
                <c:pt idx="195">
                  <c:v>45572</c:v>
                </c:pt>
                <c:pt idx="196">
                  <c:v>45573</c:v>
                </c:pt>
                <c:pt idx="197">
                  <c:v>45574</c:v>
                </c:pt>
                <c:pt idx="198">
                  <c:v>45575</c:v>
                </c:pt>
                <c:pt idx="199">
                  <c:v>45576</c:v>
                </c:pt>
                <c:pt idx="200">
                  <c:v>45579</c:v>
                </c:pt>
                <c:pt idx="201">
                  <c:v>45580</c:v>
                </c:pt>
                <c:pt idx="202">
                  <c:v>45581</c:v>
                </c:pt>
                <c:pt idx="203">
                  <c:v>45582</c:v>
                </c:pt>
                <c:pt idx="204">
                  <c:v>45583</c:v>
                </c:pt>
                <c:pt idx="205">
                  <c:v>45586</c:v>
                </c:pt>
                <c:pt idx="206">
                  <c:v>45587</c:v>
                </c:pt>
                <c:pt idx="207">
                  <c:v>45588</c:v>
                </c:pt>
                <c:pt idx="208">
                  <c:v>45589</c:v>
                </c:pt>
                <c:pt idx="209">
                  <c:v>45590</c:v>
                </c:pt>
                <c:pt idx="210">
                  <c:v>45593</c:v>
                </c:pt>
                <c:pt idx="211">
                  <c:v>45594</c:v>
                </c:pt>
                <c:pt idx="212">
                  <c:v>45595</c:v>
                </c:pt>
                <c:pt idx="213">
                  <c:v>45596</c:v>
                </c:pt>
                <c:pt idx="214">
                  <c:v>45597</c:v>
                </c:pt>
                <c:pt idx="215">
                  <c:v>45600</c:v>
                </c:pt>
                <c:pt idx="216">
                  <c:v>45601</c:v>
                </c:pt>
                <c:pt idx="217">
                  <c:v>45602</c:v>
                </c:pt>
                <c:pt idx="218">
                  <c:v>45603</c:v>
                </c:pt>
                <c:pt idx="219">
                  <c:v>45604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  <c:pt idx="254">
                  <c:v>45659</c:v>
                </c:pt>
                <c:pt idx="255">
                  <c:v>45660</c:v>
                </c:pt>
                <c:pt idx="256">
                  <c:v>45663</c:v>
                </c:pt>
                <c:pt idx="257">
                  <c:v>45664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45761</c:v>
                </c:pt>
                <c:pt idx="326">
                  <c:v>45762</c:v>
                </c:pt>
                <c:pt idx="327">
                  <c:v>45763</c:v>
                </c:pt>
                <c:pt idx="328">
                  <c:v>45764</c:v>
                </c:pt>
                <c:pt idx="329">
                  <c:v>45768</c:v>
                </c:pt>
                <c:pt idx="330">
                  <c:v>45771</c:v>
                </c:pt>
                <c:pt idx="331">
                  <c:v>45772</c:v>
                </c:pt>
                <c:pt idx="332">
                  <c:v>45775</c:v>
                </c:pt>
                <c:pt idx="333">
                  <c:v>45776</c:v>
                </c:pt>
                <c:pt idx="334">
                  <c:v>45784</c:v>
                </c:pt>
                <c:pt idx="335">
                  <c:v>45785</c:v>
                </c:pt>
                <c:pt idx="336">
                  <c:v>45789</c:v>
                </c:pt>
                <c:pt idx="337">
                  <c:v>45790</c:v>
                </c:pt>
                <c:pt idx="338">
                  <c:v>45796</c:v>
                </c:pt>
                <c:pt idx="339">
                  <c:v>45797</c:v>
                </c:pt>
                <c:pt idx="340">
                  <c:v>45798</c:v>
                </c:pt>
                <c:pt idx="341">
                  <c:v>45799</c:v>
                </c:pt>
                <c:pt idx="342">
                  <c:v>45800</c:v>
                </c:pt>
                <c:pt idx="343">
                  <c:v>45804</c:v>
                </c:pt>
                <c:pt idx="344">
                  <c:v>45805</c:v>
                </c:pt>
                <c:pt idx="345">
                  <c:v>45806</c:v>
                </c:pt>
                <c:pt idx="346">
                  <c:v>45807</c:v>
                </c:pt>
                <c:pt idx="347">
                  <c:v>45810</c:v>
                </c:pt>
                <c:pt idx="348">
                  <c:v>45811</c:v>
                </c:pt>
                <c:pt idx="349">
                  <c:v>45812</c:v>
                </c:pt>
                <c:pt idx="350">
                  <c:v>45813</c:v>
                </c:pt>
                <c:pt idx="351">
                  <c:v>45814</c:v>
                </c:pt>
                <c:pt idx="352">
                  <c:v>45817</c:v>
                </c:pt>
                <c:pt idx="353">
                  <c:v>45818</c:v>
                </c:pt>
                <c:pt idx="354">
                  <c:v>45819</c:v>
                </c:pt>
                <c:pt idx="355">
                  <c:v>45821</c:v>
                </c:pt>
                <c:pt idx="356">
                  <c:v>45824</c:v>
                </c:pt>
                <c:pt idx="357">
                  <c:v>45825</c:v>
                </c:pt>
                <c:pt idx="358">
                  <c:v>45826</c:v>
                </c:pt>
                <c:pt idx="359">
                  <c:v>45828</c:v>
                </c:pt>
                <c:pt idx="360">
                  <c:v>45831</c:v>
                </c:pt>
                <c:pt idx="361">
                  <c:v>45832</c:v>
                </c:pt>
                <c:pt idx="362">
                  <c:v>45833</c:v>
                </c:pt>
                <c:pt idx="363">
                  <c:v>45835</c:v>
                </c:pt>
                <c:pt idx="364">
                  <c:v>45838</c:v>
                </c:pt>
                <c:pt idx="365">
                  <c:v>45839</c:v>
                </c:pt>
                <c:pt idx="366">
                  <c:v>45840</c:v>
                </c:pt>
                <c:pt idx="367">
                  <c:v>45841</c:v>
                </c:pt>
                <c:pt idx="368">
                  <c:v>45845</c:v>
                </c:pt>
                <c:pt idx="369">
                  <c:v>45846</c:v>
                </c:pt>
                <c:pt idx="370">
                  <c:v>45847</c:v>
                </c:pt>
                <c:pt idx="371">
                  <c:v>45848</c:v>
                </c:pt>
                <c:pt idx="372">
                  <c:v>45849</c:v>
                </c:pt>
                <c:pt idx="373">
                  <c:v>45852</c:v>
                </c:pt>
                <c:pt idx="374">
                  <c:v>45853</c:v>
                </c:pt>
                <c:pt idx="375">
                  <c:v>45854</c:v>
                </c:pt>
                <c:pt idx="376">
                  <c:v>45855</c:v>
                </c:pt>
                <c:pt idx="377">
                  <c:v>45856</c:v>
                </c:pt>
                <c:pt idx="378">
                  <c:v>45859</c:v>
                </c:pt>
                <c:pt idx="379">
                  <c:v>45860</c:v>
                </c:pt>
                <c:pt idx="380">
                  <c:v>45861</c:v>
                </c:pt>
                <c:pt idx="381">
                  <c:v>45862</c:v>
                </c:pt>
                <c:pt idx="382">
                  <c:v>45863</c:v>
                </c:pt>
                <c:pt idx="383">
                  <c:v>45866</c:v>
                </c:pt>
                <c:pt idx="384">
                  <c:v>45867</c:v>
                </c:pt>
                <c:pt idx="385">
                  <c:v>45868</c:v>
                </c:pt>
                <c:pt idx="386">
                  <c:v>45869</c:v>
                </c:pt>
                <c:pt idx="387">
                  <c:v>45870</c:v>
                </c:pt>
                <c:pt idx="388">
                  <c:v>45873</c:v>
                </c:pt>
                <c:pt idx="389">
                  <c:v>45874</c:v>
                </c:pt>
                <c:pt idx="390">
                  <c:v>45875</c:v>
                </c:pt>
                <c:pt idx="391">
                  <c:v>45876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Info!$AP$275:$AP$666</c15:sqref>
                  </c15:fullRef>
                </c:ext>
              </c:extLst>
              <c:f>(Info!$AP$275:$AP$283,Info!$AP$285:$AP$666)</c:f>
              <c:numCache>
                <c:formatCode>_-* #,##0.00_-;\-* #,##0.00_-;_-* "-"??_-;_-@_-</c:formatCode>
                <c:ptCount val="391"/>
                <c:pt idx="0">
                  <c:v>673625</c:v>
                </c:pt>
                <c:pt idx="1">
                  <c:v>673680</c:v>
                </c:pt>
                <c:pt idx="2">
                  <c:v>661280</c:v>
                </c:pt>
                <c:pt idx="3">
                  <c:v>655370</c:v>
                </c:pt>
                <c:pt idx="4">
                  <c:v>654520</c:v>
                </c:pt>
                <c:pt idx="5">
                  <c:v>659960</c:v>
                </c:pt>
                <c:pt idx="6">
                  <c:v>658800</c:v>
                </c:pt>
                <c:pt idx="7">
                  <c:v>670440</c:v>
                </c:pt>
                <c:pt idx="8">
                  <c:v>662740</c:v>
                </c:pt>
                <c:pt idx="9">
                  <c:v>659780</c:v>
                </c:pt>
                <c:pt idx="10">
                  <c:v>662015</c:v>
                </c:pt>
                <c:pt idx="11">
                  <c:v>666215</c:v>
                </c:pt>
                <c:pt idx="12">
                  <c:v>678130</c:v>
                </c:pt>
                <c:pt idx="13">
                  <c:v>694340</c:v>
                </c:pt>
                <c:pt idx="14">
                  <c:v>693085</c:v>
                </c:pt>
                <c:pt idx="15">
                  <c:v>686130</c:v>
                </c:pt>
                <c:pt idx="16">
                  <c:v>682565</c:v>
                </c:pt>
                <c:pt idx="17">
                  <c:v>682805</c:v>
                </c:pt>
                <c:pt idx="18">
                  <c:v>685160</c:v>
                </c:pt>
                <c:pt idx="19">
                  <c:v>682720</c:v>
                </c:pt>
                <c:pt idx="20">
                  <c:v>681930</c:v>
                </c:pt>
                <c:pt idx="21">
                  <c:v>685705</c:v>
                </c:pt>
                <c:pt idx="22">
                  <c:v>697740</c:v>
                </c:pt>
                <c:pt idx="23">
                  <c:v>722210</c:v>
                </c:pt>
                <c:pt idx="24">
                  <c:v>736665</c:v>
                </c:pt>
                <c:pt idx="25">
                  <c:v>742820</c:v>
                </c:pt>
                <c:pt idx="26">
                  <c:v>741400</c:v>
                </c:pt>
                <c:pt idx="27">
                  <c:v>735010</c:v>
                </c:pt>
                <c:pt idx="28">
                  <c:v>733810</c:v>
                </c:pt>
                <c:pt idx="29">
                  <c:v>762720</c:v>
                </c:pt>
                <c:pt idx="30">
                  <c:v>758745</c:v>
                </c:pt>
                <c:pt idx="31">
                  <c:v>753215</c:v>
                </c:pt>
                <c:pt idx="32" formatCode="General">
                  <c:v>753215</c:v>
                </c:pt>
                <c:pt idx="33">
                  <c:v>769140</c:v>
                </c:pt>
                <c:pt idx="34">
                  <c:v>732920</c:v>
                </c:pt>
                <c:pt idx="35">
                  <c:v>731975</c:v>
                </c:pt>
                <c:pt idx="36">
                  <c:v>729530</c:v>
                </c:pt>
                <c:pt idx="37">
                  <c:v>728220</c:v>
                </c:pt>
                <c:pt idx="38">
                  <c:v>728830</c:v>
                </c:pt>
                <c:pt idx="39">
                  <c:v>721910</c:v>
                </c:pt>
                <c:pt idx="40">
                  <c:v>732575</c:v>
                </c:pt>
                <c:pt idx="41">
                  <c:v>714305</c:v>
                </c:pt>
                <c:pt idx="42">
                  <c:v>716050</c:v>
                </c:pt>
                <c:pt idx="43">
                  <c:v>716765</c:v>
                </c:pt>
                <c:pt idx="44">
                  <c:v>705130</c:v>
                </c:pt>
                <c:pt idx="45">
                  <c:v>708720</c:v>
                </c:pt>
                <c:pt idx="46">
                  <c:v>721140</c:v>
                </c:pt>
                <c:pt idx="47">
                  <c:v>712405</c:v>
                </c:pt>
                <c:pt idx="48">
                  <c:v>726240</c:v>
                </c:pt>
                <c:pt idx="49">
                  <c:v>722670</c:v>
                </c:pt>
                <c:pt idx="50">
                  <c:v>737120</c:v>
                </c:pt>
                <c:pt idx="51">
                  <c:v>742665</c:v>
                </c:pt>
                <c:pt idx="52">
                  <c:v>752485</c:v>
                </c:pt>
                <c:pt idx="53">
                  <c:v>756945</c:v>
                </c:pt>
                <c:pt idx="54">
                  <c:v>765770</c:v>
                </c:pt>
                <c:pt idx="55">
                  <c:v>783350</c:v>
                </c:pt>
                <c:pt idx="56">
                  <c:v>797680</c:v>
                </c:pt>
                <c:pt idx="57">
                  <c:v>795190</c:v>
                </c:pt>
                <c:pt idx="58">
                  <c:v>801255</c:v>
                </c:pt>
                <c:pt idx="59">
                  <c:v>801635</c:v>
                </c:pt>
                <c:pt idx="60">
                  <c:v>802625</c:v>
                </c:pt>
                <c:pt idx="61">
                  <c:v>803855</c:v>
                </c:pt>
                <c:pt idx="62">
                  <c:v>834115</c:v>
                </c:pt>
                <c:pt idx="63">
                  <c:v>856895</c:v>
                </c:pt>
                <c:pt idx="64">
                  <c:v>863430</c:v>
                </c:pt>
                <c:pt idx="65">
                  <c:v>874930</c:v>
                </c:pt>
                <c:pt idx="66">
                  <c:v>873475</c:v>
                </c:pt>
                <c:pt idx="67">
                  <c:v>871985</c:v>
                </c:pt>
                <c:pt idx="68">
                  <c:v>875360</c:v>
                </c:pt>
                <c:pt idx="69">
                  <c:v>894405</c:v>
                </c:pt>
                <c:pt idx="70">
                  <c:v>874810</c:v>
                </c:pt>
                <c:pt idx="71">
                  <c:v>883025</c:v>
                </c:pt>
                <c:pt idx="72">
                  <c:v>878920</c:v>
                </c:pt>
                <c:pt idx="73">
                  <c:v>881330</c:v>
                </c:pt>
                <c:pt idx="74">
                  <c:v>893560</c:v>
                </c:pt>
                <c:pt idx="75">
                  <c:v>870670</c:v>
                </c:pt>
                <c:pt idx="76">
                  <c:v>878700</c:v>
                </c:pt>
                <c:pt idx="77">
                  <c:v>865225</c:v>
                </c:pt>
                <c:pt idx="78">
                  <c:v>851330</c:v>
                </c:pt>
                <c:pt idx="79">
                  <c:v>845470</c:v>
                </c:pt>
                <c:pt idx="80">
                  <c:v>848695</c:v>
                </c:pt>
                <c:pt idx="81">
                  <c:v>831575</c:v>
                </c:pt>
                <c:pt idx="82">
                  <c:v>824975</c:v>
                </c:pt>
                <c:pt idx="83">
                  <c:v>826010</c:v>
                </c:pt>
                <c:pt idx="84">
                  <c:v>814190</c:v>
                </c:pt>
                <c:pt idx="85">
                  <c:v>819470</c:v>
                </c:pt>
                <c:pt idx="86">
                  <c:v>809340</c:v>
                </c:pt>
                <c:pt idx="87">
                  <c:v>810850</c:v>
                </c:pt>
                <c:pt idx="88">
                  <c:v>843825</c:v>
                </c:pt>
                <c:pt idx="89">
                  <c:v>837775</c:v>
                </c:pt>
                <c:pt idx="90">
                  <c:v>841850</c:v>
                </c:pt>
                <c:pt idx="91">
                  <c:v>856855</c:v>
                </c:pt>
                <c:pt idx="92">
                  <c:v>877045</c:v>
                </c:pt>
                <c:pt idx="93">
                  <c:v>891500</c:v>
                </c:pt>
                <c:pt idx="94">
                  <c:v>945725</c:v>
                </c:pt>
                <c:pt idx="95">
                  <c:v>941725</c:v>
                </c:pt>
                <c:pt idx="96">
                  <c:v>934725</c:v>
                </c:pt>
                <c:pt idx="97">
                  <c:v>924560</c:v>
                </c:pt>
                <c:pt idx="98">
                  <c:v>923660</c:v>
                </c:pt>
                <c:pt idx="99">
                  <c:v>931380</c:v>
                </c:pt>
                <c:pt idx="100">
                  <c:v>931380</c:v>
                </c:pt>
                <c:pt idx="101">
                  <c:v>924230</c:v>
                </c:pt>
                <c:pt idx="102">
                  <c:v>934385</c:v>
                </c:pt>
                <c:pt idx="103">
                  <c:v>922325</c:v>
                </c:pt>
                <c:pt idx="104">
                  <c:v>902170</c:v>
                </c:pt>
                <c:pt idx="105">
                  <c:v>909490</c:v>
                </c:pt>
                <c:pt idx="106">
                  <c:v>899270</c:v>
                </c:pt>
                <c:pt idx="107">
                  <c:v>899965</c:v>
                </c:pt>
                <c:pt idx="108">
                  <c:v>902940</c:v>
                </c:pt>
                <c:pt idx="109">
                  <c:v>893225</c:v>
                </c:pt>
                <c:pt idx="110">
                  <c:v>895115</c:v>
                </c:pt>
                <c:pt idx="111">
                  <c:v>880180</c:v>
                </c:pt>
                <c:pt idx="112">
                  <c:v>887035</c:v>
                </c:pt>
                <c:pt idx="113">
                  <c:v>895000</c:v>
                </c:pt>
                <c:pt idx="114">
                  <c:v>888765</c:v>
                </c:pt>
                <c:pt idx="115">
                  <c:v>881785</c:v>
                </c:pt>
                <c:pt idx="116">
                  <c:v>884185</c:v>
                </c:pt>
                <c:pt idx="117">
                  <c:v>884185</c:v>
                </c:pt>
                <c:pt idx="118">
                  <c:v>877890</c:v>
                </c:pt>
                <c:pt idx="119">
                  <c:v>873625</c:v>
                </c:pt>
                <c:pt idx="120">
                  <c:v>865495</c:v>
                </c:pt>
                <c:pt idx="121">
                  <c:v>832350</c:v>
                </c:pt>
                <c:pt idx="122">
                  <c:v>801655</c:v>
                </c:pt>
                <c:pt idx="123">
                  <c:v>792790</c:v>
                </c:pt>
                <c:pt idx="124">
                  <c:v>776680</c:v>
                </c:pt>
                <c:pt idx="125">
                  <c:v>773235</c:v>
                </c:pt>
                <c:pt idx="126">
                  <c:v>773620</c:v>
                </c:pt>
                <c:pt idx="127">
                  <c:v>782110</c:v>
                </c:pt>
                <c:pt idx="128">
                  <c:v>782110</c:v>
                </c:pt>
                <c:pt idx="129">
                  <c:v>808650</c:v>
                </c:pt>
                <c:pt idx="130">
                  <c:v>811435</c:v>
                </c:pt>
                <c:pt idx="131">
                  <c:v>816225</c:v>
                </c:pt>
                <c:pt idx="132">
                  <c:v>820070</c:v>
                </c:pt>
                <c:pt idx="133">
                  <c:v>825900</c:v>
                </c:pt>
                <c:pt idx="134">
                  <c:v>814460</c:v>
                </c:pt>
                <c:pt idx="135">
                  <c:v>816905</c:v>
                </c:pt>
                <c:pt idx="136">
                  <c:v>833205</c:v>
                </c:pt>
                <c:pt idx="137">
                  <c:v>825095</c:v>
                </c:pt>
                <c:pt idx="138">
                  <c:v>813005</c:v>
                </c:pt>
                <c:pt idx="139">
                  <c:v>798510</c:v>
                </c:pt>
                <c:pt idx="140">
                  <c:v>790705</c:v>
                </c:pt>
                <c:pt idx="141">
                  <c:v>785530</c:v>
                </c:pt>
                <c:pt idx="142">
                  <c:v>782445</c:v>
                </c:pt>
                <c:pt idx="143">
                  <c:v>770375</c:v>
                </c:pt>
                <c:pt idx="144">
                  <c:v>762760</c:v>
                </c:pt>
                <c:pt idx="145">
                  <c:v>761105</c:v>
                </c:pt>
                <c:pt idx="146">
                  <c:v>757185</c:v>
                </c:pt>
                <c:pt idx="147">
                  <c:v>756440</c:v>
                </c:pt>
                <c:pt idx="148">
                  <c:v>761380</c:v>
                </c:pt>
                <c:pt idx="149">
                  <c:v>765675</c:v>
                </c:pt>
                <c:pt idx="150">
                  <c:v>749180</c:v>
                </c:pt>
                <c:pt idx="151">
                  <c:v>737685</c:v>
                </c:pt>
                <c:pt idx="152">
                  <c:v>736245</c:v>
                </c:pt>
                <c:pt idx="153">
                  <c:v>730030</c:v>
                </c:pt>
                <c:pt idx="154">
                  <c:v>730385</c:v>
                </c:pt>
                <c:pt idx="155">
                  <c:v>735665</c:v>
                </c:pt>
                <c:pt idx="156">
                  <c:v>739295</c:v>
                </c:pt>
                <c:pt idx="157">
                  <c:v>735920</c:v>
                </c:pt>
                <c:pt idx="158">
                  <c:v>739195</c:v>
                </c:pt>
                <c:pt idx="159">
                  <c:v>741180</c:v>
                </c:pt>
                <c:pt idx="160">
                  <c:v>743290</c:v>
                </c:pt>
                <c:pt idx="161">
                  <c:v>734930</c:v>
                </c:pt>
                <c:pt idx="162">
                  <c:v>733210</c:v>
                </c:pt>
                <c:pt idx="163">
                  <c:v>724330</c:v>
                </c:pt>
                <c:pt idx="164">
                  <c:v>731420</c:v>
                </c:pt>
                <c:pt idx="165">
                  <c:v>727845</c:v>
                </c:pt>
                <c:pt idx="166">
                  <c:v>708065</c:v>
                </c:pt>
                <c:pt idx="167">
                  <c:v>688075</c:v>
                </c:pt>
                <c:pt idx="168">
                  <c:v>672060</c:v>
                </c:pt>
                <c:pt idx="169">
                  <c:v>659190</c:v>
                </c:pt>
                <c:pt idx="170">
                  <c:v>659190</c:v>
                </c:pt>
                <c:pt idx="171">
                  <c:v>654640</c:v>
                </c:pt>
                <c:pt idx="172">
                  <c:v>652265</c:v>
                </c:pt>
                <c:pt idx="173">
                  <c:v>643020</c:v>
                </c:pt>
                <c:pt idx="174">
                  <c:v>647230</c:v>
                </c:pt>
                <c:pt idx="175">
                  <c:v>643025</c:v>
                </c:pt>
                <c:pt idx="176">
                  <c:v>644795</c:v>
                </c:pt>
                <c:pt idx="177">
                  <c:v>650375</c:v>
                </c:pt>
                <c:pt idx="178">
                  <c:v>661780</c:v>
                </c:pt>
                <c:pt idx="179">
                  <c:v>686020</c:v>
                </c:pt>
                <c:pt idx="180">
                  <c:v>694780</c:v>
                </c:pt>
                <c:pt idx="181">
                  <c:v>703025</c:v>
                </c:pt>
                <c:pt idx="182">
                  <c:v>705640</c:v>
                </c:pt>
                <c:pt idx="183">
                  <c:v>703805</c:v>
                </c:pt>
                <c:pt idx="184">
                  <c:v>715930</c:v>
                </c:pt>
                <c:pt idx="185">
                  <c:v>721755</c:v>
                </c:pt>
                <c:pt idx="186">
                  <c:v>750355</c:v>
                </c:pt>
                <c:pt idx="187">
                  <c:v>734165</c:v>
                </c:pt>
                <c:pt idx="188">
                  <c:v>733935</c:v>
                </c:pt>
                <c:pt idx="189">
                  <c:v>733875</c:v>
                </c:pt>
                <c:pt idx="190">
                  <c:v>723320</c:v>
                </c:pt>
                <c:pt idx="191">
                  <c:v>723785</c:v>
                </c:pt>
                <c:pt idx="192">
                  <c:v>730525</c:v>
                </c:pt>
                <c:pt idx="193">
                  <c:v>732795</c:v>
                </c:pt>
                <c:pt idx="194">
                  <c:v>737195</c:v>
                </c:pt>
                <c:pt idx="195">
                  <c:v>728860</c:v>
                </c:pt>
                <c:pt idx="196">
                  <c:v>714195</c:v>
                </c:pt>
                <c:pt idx="197">
                  <c:v>702755</c:v>
                </c:pt>
                <c:pt idx="198">
                  <c:v>704260</c:v>
                </c:pt>
                <c:pt idx="199">
                  <c:v>708425</c:v>
                </c:pt>
                <c:pt idx="200">
                  <c:v>706935</c:v>
                </c:pt>
                <c:pt idx="201">
                  <c:v>709490</c:v>
                </c:pt>
                <c:pt idx="202">
                  <c:v>711505</c:v>
                </c:pt>
                <c:pt idx="203">
                  <c:v>707900</c:v>
                </c:pt>
                <c:pt idx="204">
                  <c:v>755350</c:v>
                </c:pt>
                <c:pt idx="205">
                  <c:v>765060</c:v>
                </c:pt>
                <c:pt idx="206">
                  <c:v>786320</c:v>
                </c:pt>
                <c:pt idx="207">
                  <c:v>780945</c:v>
                </c:pt>
                <c:pt idx="208">
                  <c:v>777725</c:v>
                </c:pt>
                <c:pt idx="209">
                  <c:v>775310</c:v>
                </c:pt>
                <c:pt idx="210">
                  <c:v>776235</c:v>
                </c:pt>
                <c:pt idx="211">
                  <c:v>781600</c:v>
                </c:pt>
                <c:pt idx="212">
                  <c:v>778215</c:v>
                </c:pt>
                <c:pt idx="213">
                  <c:v>775740</c:v>
                </c:pt>
                <c:pt idx="214">
                  <c:v>760745</c:v>
                </c:pt>
                <c:pt idx="215">
                  <c:v>756985</c:v>
                </c:pt>
                <c:pt idx="216">
                  <c:v>755630</c:v>
                </c:pt>
                <c:pt idx="217">
                  <c:v>746025</c:v>
                </c:pt>
                <c:pt idx="218">
                  <c:v>748260</c:v>
                </c:pt>
                <c:pt idx="219">
                  <c:v>736385</c:v>
                </c:pt>
                <c:pt idx="220">
                  <c:v>737630</c:v>
                </c:pt>
                <c:pt idx="221">
                  <c:v>736135</c:v>
                </c:pt>
                <c:pt idx="222">
                  <c:v>724735</c:v>
                </c:pt>
                <c:pt idx="223">
                  <c:v>718465</c:v>
                </c:pt>
                <c:pt idx="224">
                  <c:v>718465</c:v>
                </c:pt>
                <c:pt idx="225">
                  <c:v>706435</c:v>
                </c:pt>
                <c:pt idx="226">
                  <c:v>705560</c:v>
                </c:pt>
                <c:pt idx="227">
                  <c:v>702540</c:v>
                </c:pt>
                <c:pt idx="228">
                  <c:v>695520</c:v>
                </c:pt>
                <c:pt idx="229">
                  <c:v>696475</c:v>
                </c:pt>
                <c:pt idx="230">
                  <c:v>672950</c:v>
                </c:pt>
                <c:pt idx="231">
                  <c:v>688165</c:v>
                </c:pt>
                <c:pt idx="232">
                  <c:v>688165</c:v>
                </c:pt>
                <c:pt idx="233">
                  <c:v>664490</c:v>
                </c:pt>
                <c:pt idx="234">
                  <c:v>662825</c:v>
                </c:pt>
                <c:pt idx="235">
                  <c:v>670370</c:v>
                </c:pt>
                <c:pt idx="236">
                  <c:v>684245</c:v>
                </c:pt>
                <c:pt idx="237">
                  <c:v>696780</c:v>
                </c:pt>
                <c:pt idx="238">
                  <c:v>702600</c:v>
                </c:pt>
                <c:pt idx="239">
                  <c:v>736425</c:v>
                </c:pt>
                <c:pt idx="240">
                  <c:v>755480</c:v>
                </c:pt>
                <c:pt idx="241">
                  <c:v>758165</c:v>
                </c:pt>
                <c:pt idx="242">
                  <c:v>758565</c:v>
                </c:pt>
                <c:pt idx="243">
                  <c:v>748340</c:v>
                </c:pt>
                <c:pt idx="244">
                  <c:v>738750</c:v>
                </c:pt>
                <c:pt idx="245">
                  <c:v>734690</c:v>
                </c:pt>
                <c:pt idx="246">
                  <c:v>736695</c:v>
                </c:pt>
                <c:pt idx="247">
                  <c:v>736885</c:v>
                </c:pt>
                <c:pt idx="248">
                  <c:v>727570</c:v>
                </c:pt>
                <c:pt idx="249">
                  <c:v>728140</c:v>
                </c:pt>
                <c:pt idx="250">
                  <c:v>728750</c:v>
                </c:pt>
                <c:pt idx="251">
                  <c:v>730585</c:v>
                </c:pt>
                <c:pt idx="252">
                  <c:v>742565</c:v>
                </c:pt>
                <c:pt idx="253">
                  <c:v>755455</c:v>
                </c:pt>
                <c:pt idx="254">
                  <c:v>754940</c:v>
                </c:pt>
                <c:pt idx="255">
                  <c:v>753730</c:v>
                </c:pt>
                <c:pt idx="256">
                  <c:v>755590</c:v>
                </c:pt>
                <c:pt idx="257">
                  <c:v>757950</c:v>
                </c:pt>
                <c:pt idx="258">
                  <c:v>759215</c:v>
                </c:pt>
                <c:pt idx="259">
                  <c:v>754630</c:v>
                </c:pt>
                <c:pt idx="260">
                  <c:v>760205</c:v>
                </c:pt>
                <c:pt idx="261">
                  <c:v>750200</c:v>
                </c:pt>
                <c:pt idx="262">
                  <c:v>751820</c:v>
                </c:pt>
                <c:pt idx="263">
                  <c:v>766080</c:v>
                </c:pt>
                <c:pt idx="264">
                  <c:v>771570</c:v>
                </c:pt>
                <c:pt idx="265">
                  <c:v>778310</c:v>
                </c:pt>
                <c:pt idx="266">
                  <c:v>778310</c:v>
                </c:pt>
                <c:pt idx="267">
                  <c:v>799495</c:v>
                </c:pt>
                <c:pt idx="268">
                  <c:v>804045</c:v>
                </c:pt>
                <c:pt idx="269">
                  <c:v>811870</c:v>
                </c:pt>
                <c:pt idx="270">
                  <c:v>820595</c:v>
                </c:pt>
                <c:pt idx="271">
                  <c:v>824030</c:v>
                </c:pt>
                <c:pt idx="272">
                  <c:v>825675</c:v>
                </c:pt>
                <c:pt idx="273">
                  <c:v>830295</c:v>
                </c:pt>
                <c:pt idx="274">
                  <c:v>852515</c:v>
                </c:pt>
                <c:pt idx="275">
                  <c:v>837755</c:v>
                </c:pt>
                <c:pt idx="276">
                  <c:v>832365</c:v>
                </c:pt>
                <c:pt idx="277">
                  <c:v>853630</c:v>
                </c:pt>
                <c:pt idx="278">
                  <c:v>846325</c:v>
                </c:pt>
                <c:pt idx="279">
                  <c:v>847240</c:v>
                </c:pt>
                <c:pt idx="280">
                  <c:v>825695</c:v>
                </c:pt>
                <c:pt idx="281">
                  <c:v>833130</c:v>
                </c:pt>
                <c:pt idx="282">
                  <c:v>821255</c:v>
                </c:pt>
                <c:pt idx="283">
                  <c:v>826695</c:v>
                </c:pt>
                <c:pt idx="284">
                  <c:v>845270</c:v>
                </c:pt>
                <c:pt idx="285">
                  <c:v>847415</c:v>
                </c:pt>
                <c:pt idx="286">
                  <c:v>847415</c:v>
                </c:pt>
                <c:pt idx="287">
                  <c:v>850535</c:v>
                </c:pt>
                <c:pt idx="288">
                  <c:v>846760</c:v>
                </c:pt>
                <c:pt idx="289">
                  <c:v>856525</c:v>
                </c:pt>
                <c:pt idx="290">
                  <c:v>845030</c:v>
                </c:pt>
                <c:pt idx="291">
                  <c:v>840285</c:v>
                </c:pt>
                <c:pt idx="292">
                  <c:v>818405</c:v>
                </c:pt>
                <c:pt idx="293">
                  <c:v>809160</c:v>
                </c:pt>
                <c:pt idx="294">
                  <c:v>793800</c:v>
                </c:pt>
                <c:pt idx="295">
                  <c:v>731495</c:v>
                </c:pt>
                <c:pt idx="296">
                  <c:v>729785</c:v>
                </c:pt>
                <c:pt idx="297">
                  <c:v>729675</c:v>
                </c:pt>
                <c:pt idx="298">
                  <c:v>750830</c:v>
                </c:pt>
                <c:pt idx="299">
                  <c:v>757740</c:v>
                </c:pt>
                <c:pt idx="300">
                  <c:v>756375</c:v>
                </c:pt>
                <c:pt idx="301">
                  <c:v>763910</c:v>
                </c:pt>
                <c:pt idx="302">
                  <c:v>776315</c:v>
                </c:pt>
                <c:pt idx="303">
                  <c:v>798090</c:v>
                </c:pt>
                <c:pt idx="304">
                  <c:v>824650</c:v>
                </c:pt>
                <c:pt idx="305">
                  <c:v>831970</c:v>
                </c:pt>
                <c:pt idx="306">
                  <c:v>836245</c:v>
                </c:pt>
                <c:pt idx="307">
                  <c:v>852830</c:v>
                </c:pt>
                <c:pt idx="308">
                  <c:v>847035</c:v>
                </c:pt>
                <c:pt idx="309">
                  <c:v>841715</c:v>
                </c:pt>
                <c:pt idx="310" formatCode="General">
                  <c:v>836545</c:v>
                </c:pt>
                <c:pt idx="311">
                  <c:v>835370</c:v>
                </c:pt>
                <c:pt idx="312">
                  <c:v>848140</c:v>
                </c:pt>
                <c:pt idx="313">
                  <c:v>843930</c:v>
                </c:pt>
                <c:pt idx="314">
                  <c:v>862485</c:v>
                </c:pt>
                <c:pt idx="315">
                  <c:v>872470</c:v>
                </c:pt>
                <c:pt idx="316">
                  <c:v>854875</c:v>
                </c:pt>
                <c:pt idx="317">
                  <c:v>850985</c:v>
                </c:pt>
                <c:pt idx="318">
                  <c:v>861450</c:v>
                </c:pt>
                <c:pt idx="319">
                  <c:v>837210</c:v>
                </c:pt>
                <c:pt idx="320">
                  <c:v>833090</c:v>
                </c:pt>
                <c:pt idx="321">
                  <c:v>846440</c:v>
                </c:pt>
                <c:pt idx="322">
                  <c:v>771445</c:v>
                </c:pt>
                <c:pt idx="323">
                  <c:v>755900</c:v>
                </c:pt>
                <c:pt idx="324">
                  <c:v>753340</c:v>
                </c:pt>
                <c:pt idx="325">
                  <c:v>726225</c:v>
                </c:pt>
                <c:pt idx="326">
                  <c:v>722000</c:v>
                </c:pt>
                <c:pt idx="327">
                  <c:v>718170</c:v>
                </c:pt>
                <c:pt idx="328">
                  <c:v>712255</c:v>
                </c:pt>
                <c:pt idx="329">
                  <c:v>722185</c:v>
                </c:pt>
                <c:pt idx="330">
                  <c:v>764960</c:v>
                </c:pt>
                <c:pt idx="331">
                  <c:v>771085</c:v>
                </c:pt>
                <c:pt idx="332">
                  <c:v>772950</c:v>
                </c:pt>
                <c:pt idx="333">
                  <c:v>763345</c:v>
                </c:pt>
                <c:pt idx="334">
                  <c:v>694670</c:v>
                </c:pt>
                <c:pt idx="335">
                  <c:v>684435</c:v>
                </c:pt>
                <c:pt idx="336">
                  <c:v>689720</c:v>
                </c:pt>
                <c:pt idx="337">
                  <c:v>691310</c:v>
                </c:pt>
                <c:pt idx="338">
                  <c:v>687700</c:v>
                </c:pt>
                <c:pt idx="339">
                  <c:v>707255</c:v>
                </c:pt>
                <c:pt idx="340">
                  <c:v>728770</c:v>
                </c:pt>
                <c:pt idx="341">
                  <c:v>724155</c:v>
                </c:pt>
                <c:pt idx="342">
                  <c:v>741065</c:v>
                </c:pt>
                <c:pt idx="343">
                  <c:v>737775</c:v>
                </c:pt>
                <c:pt idx="344">
                  <c:v>740100</c:v>
                </c:pt>
                <c:pt idx="345">
                  <c:v>746585</c:v>
                </c:pt>
                <c:pt idx="346">
                  <c:v>739180</c:v>
                </c:pt>
                <c:pt idx="347">
                  <c:v>796565</c:v>
                </c:pt>
                <c:pt idx="348">
                  <c:v>816735</c:v>
                </c:pt>
                <c:pt idx="349">
                  <c:v>830940</c:v>
                </c:pt>
                <c:pt idx="350">
                  <c:v>856640</c:v>
                </c:pt>
                <c:pt idx="351">
                  <c:v>866935</c:v>
                </c:pt>
                <c:pt idx="352">
                  <c:v>872125</c:v>
                </c:pt>
                <c:pt idx="353">
                  <c:v>871405</c:v>
                </c:pt>
                <c:pt idx="354">
                  <c:v>880705</c:v>
                </c:pt>
                <c:pt idx="355">
                  <c:v>899775</c:v>
                </c:pt>
                <c:pt idx="356">
                  <c:v>902910</c:v>
                </c:pt>
                <c:pt idx="357">
                  <c:v>924155</c:v>
                </c:pt>
                <c:pt idx="358">
                  <c:v>922545</c:v>
                </c:pt>
                <c:pt idx="359">
                  <c:v>916580</c:v>
                </c:pt>
                <c:pt idx="360">
                  <c:v>903020</c:v>
                </c:pt>
                <c:pt idx="361">
                  <c:v>873065</c:v>
                </c:pt>
                <c:pt idx="362">
                  <c:v>842540</c:v>
                </c:pt>
                <c:pt idx="363">
                  <c:v>832425</c:v>
                </c:pt>
                <c:pt idx="364">
                  <c:v>811795</c:v>
                </c:pt>
                <c:pt idx="365">
                  <c:v>817835</c:v>
                </c:pt>
                <c:pt idx="366">
                  <c:v>821020</c:v>
                </c:pt>
                <c:pt idx="367">
                  <c:v>831100</c:v>
                </c:pt>
                <c:pt idx="368">
                  <c:v>821405</c:v>
                </c:pt>
                <c:pt idx="369">
                  <c:v>814015</c:v>
                </c:pt>
                <c:pt idx="370">
                  <c:v>810880</c:v>
                </c:pt>
                <c:pt idx="371">
                  <c:v>837910</c:v>
                </c:pt>
                <c:pt idx="372">
                  <c:v>880310</c:v>
                </c:pt>
                <c:pt idx="373">
                  <c:v>868340</c:v>
                </c:pt>
                <c:pt idx="374">
                  <c:v>857370</c:v>
                </c:pt>
                <c:pt idx="375">
                  <c:v>859050</c:v>
                </c:pt>
                <c:pt idx="376">
                  <c:v>864325</c:v>
                </c:pt>
                <c:pt idx="377">
                  <c:v>858610</c:v>
                </c:pt>
                <c:pt idx="378">
                  <c:v>867060</c:v>
                </c:pt>
                <c:pt idx="379">
                  <c:v>868395</c:v>
                </c:pt>
                <c:pt idx="380">
                  <c:v>871295</c:v>
                </c:pt>
                <c:pt idx="381">
                  <c:v>868770</c:v>
                </c:pt>
                <c:pt idx="382">
                  <c:v>856925</c:v>
                </c:pt>
                <c:pt idx="383">
                  <c:v>851270</c:v>
                </c:pt>
                <c:pt idx="384">
                  <c:v>851645</c:v>
                </c:pt>
                <c:pt idx="385">
                  <c:v>828870</c:v>
                </c:pt>
                <c:pt idx="386">
                  <c:v>809770</c:v>
                </c:pt>
                <c:pt idx="387">
                  <c:v>800585</c:v>
                </c:pt>
                <c:pt idx="388">
                  <c:v>804790</c:v>
                </c:pt>
                <c:pt idx="389">
                  <c:v>806310</c:v>
                </c:pt>
                <c:pt idx="390">
                  <c:v>802365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DCE-42C2-BC6F-22C1FB758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852912"/>
        <c:axId val="279846256"/>
      </c:lineChart>
      <c:lineChart>
        <c:grouping val="standard"/>
        <c:varyColors val="0"/>
        <c:ser>
          <c:idx val="2"/>
          <c:order val="1"/>
          <c:tx>
            <c:strRef>
              <c:f>Info!$AI$1</c:f>
              <c:strCache>
                <c:ptCount val="1"/>
                <c:pt idx="0">
                  <c:v>Stock/
Agg OI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Info!$A$275:$A$667</c15:sqref>
                  </c15:fullRef>
                </c:ext>
              </c:extLst>
              <c:f>(Info!$A$275:$A$283,Info!$A$285:$A$667)</c:f>
              <c:numCache>
                <c:formatCode>m/d/yy</c:formatCode>
                <c:ptCount val="39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45404</c:v>
                </c:pt>
                <c:pt idx="76">
                  <c:v>45405</c:v>
                </c:pt>
                <c:pt idx="77">
                  <c:v>45406</c:v>
                </c:pt>
                <c:pt idx="78">
                  <c:v>45407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45462</c:v>
                </c:pt>
                <c:pt idx="118">
                  <c:v>45463</c:v>
                </c:pt>
                <c:pt idx="119">
                  <c:v>45464</c:v>
                </c:pt>
                <c:pt idx="120">
                  <c:v>45467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45474</c:v>
                </c:pt>
                <c:pt idx="126">
                  <c:v>45475</c:v>
                </c:pt>
                <c:pt idx="127">
                  <c:v>45476</c:v>
                </c:pt>
                <c:pt idx="128">
                  <c:v>45477</c:v>
                </c:pt>
                <c:pt idx="129">
                  <c:v>45478</c:v>
                </c:pt>
                <c:pt idx="130">
                  <c:v>45481</c:v>
                </c:pt>
                <c:pt idx="131">
                  <c:v>45482</c:v>
                </c:pt>
                <c:pt idx="132">
                  <c:v>45483</c:v>
                </c:pt>
                <c:pt idx="133">
                  <c:v>45484</c:v>
                </c:pt>
                <c:pt idx="134">
                  <c:v>45485</c:v>
                </c:pt>
                <c:pt idx="135">
                  <c:v>45488</c:v>
                </c:pt>
                <c:pt idx="136">
                  <c:v>45489</c:v>
                </c:pt>
                <c:pt idx="137">
                  <c:v>45490</c:v>
                </c:pt>
                <c:pt idx="138">
                  <c:v>45491</c:v>
                </c:pt>
                <c:pt idx="139">
                  <c:v>45492</c:v>
                </c:pt>
                <c:pt idx="140">
                  <c:v>45495</c:v>
                </c:pt>
                <c:pt idx="141">
                  <c:v>45496</c:v>
                </c:pt>
                <c:pt idx="142">
                  <c:v>45497</c:v>
                </c:pt>
                <c:pt idx="143">
                  <c:v>45498</c:v>
                </c:pt>
                <c:pt idx="144">
                  <c:v>45499</c:v>
                </c:pt>
                <c:pt idx="145">
                  <c:v>45502</c:v>
                </c:pt>
                <c:pt idx="146">
                  <c:v>45503</c:v>
                </c:pt>
                <c:pt idx="147">
                  <c:v>45504</c:v>
                </c:pt>
                <c:pt idx="148">
                  <c:v>45505</c:v>
                </c:pt>
                <c:pt idx="149">
                  <c:v>45506</c:v>
                </c:pt>
                <c:pt idx="150">
                  <c:v>45509</c:v>
                </c:pt>
                <c:pt idx="151">
                  <c:v>45510</c:v>
                </c:pt>
                <c:pt idx="152">
                  <c:v>45511</c:v>
                </c:pt>
                <c:pt idx="153">
                  <c:v>45512</c:v>
                </c:pt>
                <c:pt idx="154">
                  <c:v>45513</c:v>
                </c:pt>
                <c:pt idx="155">
                  <c:v>45516</c:v>
                </c:pt>
                <c:pt idx="156">
                  <c:v>45517</c:v>
                </c:pt>
                <c:pt idx="157">
                  <c:v>45518</c:v>
                </c:pt>
                <c:pt idx="158">
                  <c:v>45519</c:v>
                </c:pt>
                <c:pt idx="159">
                  <c:v>45520</c:v>
                </c:pt>
                <c:pt idx="160">
                  <c:v>45523</c:v>
                </c:pt>
                <c:pt idx="161">
                  <c:v>45524</c:v>
                </c:pt>
                <c:pt idx="162">
                  <c:v>45525</c:v>
                </c:pt>
                <c:pt idx="163">
                  <c:v>45526</c:v>
                </c:pt>
                <c:pt idx="164">
                  <c:v>45527</c:v>
                </c:pt>
                <c:pt idx="165">
                  <c:v>45530</c:v>
                </c:pt>
                <c:pt idx="166">
                  <c:v>45531</c:v>
                </c:pt>
                <c:pt idx="167">
                  <c:v>45532</c:v>
                </c:pt>
                <c:pt idx="168">
                  <c:v>45533</c:v>
                </c:pt>
                <c:pt idx="169">
                  <c:v>45534</c:v>
                </c:pt>
                <c:pt idx="170">
                  <c:v>45537</c:v>
                </c:pt>
                <c:pt idx="171">
                  <c:v>45538</c:v>
                </c:pt>
                <c:pt idx="172">
                  <c:v>45539</c:v>
                </c:pt>
                <c:pt idx="173">
                  <c:v>45540</c:v>
                </c:pt>
                <c:pt idx="174">
                  <c:v>45541</c:v>
                </c:pt>
                <c:pt idx="175">
                  <c:v>45544</c:v>
                </c:pt>
                <c:pt idx="176">
                  <c:v>45545</c:v>
                </c:pt>
                <c:pt idx="177">
                  <c:v>45546</c:v>
                </c:pt>
                <c:pt idx="178">
                  <c:v>45547</c:v>
                </c:pt>
                <c:pt idx="179">
                  <c:v>45548</c:v>
                </c:pt>
                <c:pt idx="180">
                  <c:v>45551</c:v>
                </c:pt>
                <c:pt idx="181">
                  <c:v>45552</c:v>
                </c:pt>
                <c:pt idx="182">
                  <c:v>45553</c:v>
                </c:pt>
                <c:pt idx="183">
                  <c:v>45554</c:v>
                </c:pt>
                <c:pt idx="184">
                  <c:v>45555</c:v>
                </c:pt>
                <c:pt idx="185">
                  <c:v>45558</c:v>
                </c:pt>
                <c:pt idx="186">
                  <c:v>45559</c:v>
                </c:pt>
                <c:pt idx="187">
                  <c:v>45560</c:v>
                </c:pt>
                <c:pt idx="188">
                  <c:v>45561</c:v>
                </c:pt>
                <c:pt idx="189">
                  <c:v>45562</c:v>
                </c:pt>
                <c:pt idx="190">
                  <c:v>45565</c:v>
                </c:pt>
                <c:pt idx="191">
                  <c:v>45566</c:v>
                </c:pt>
                <c:pt idx="192">
                  <c:v>45567</c:v>
                </c:pt>
                <c:pt idx="193">
                  <c:v>45568</c:v>
                </c:pt>
                <c:pt idx="194">
                  <c:v>45569</c:v>
                </c:pt>
                <c:pt idx="195">
                  <c:v>45572</c:v>
                </c:pt>
                <c:pt idx="196">
                  <c:v>45573</c:v>
                </c:pt>
                <c:pt idx="197">
                  <c:v>45574</c:v>
                </c:pt>
                <c:pt idx="198">
                  <c:v>45575</c:v>
                </c:pt>
                <c:pt idx="199">
                  <c:v>45576</c:v>
                </c:pt>
                <c:pt idx="200">
                  <c:v>45579</c:v>
                </c:pt>
                <c:pt idx="201">
                  <c:v>45580</c:v>
                </c:pt>
                <c:pt idx="202">
                  <c:v>45581</c:v>
                </c:pt>
                <c:pt idx="203">
                  <c:v>45582</c:v>
                </c:pt>
                <c:pt idx="204">
                  <c:v>45583</c:v>
                </c:pt>
                <c:pt idx="205">
                  <c:v>45586</c:v>
                </c:pt>
                <c:pt idx="206">
                  <c:v>45587</c:v>
                </c:pt>
                <c:pt idx="207">
                  <c:v>45588</c:v>
                </c:pt>
                <c:pt idx="208">
                  <c:v>45589</c:v>
                </c:pt>
                <c:pt idx="209">
                  <c:v>45590</c:v>
                </c:pt>
                <c:pt idx="210">
                  <c:v>45593</c:v>
                </c:pt>
                <c:pt idx="211">
                  <c:v>45594</c:v>
                </c:pt>
                <c:pt idx="212">
                  <c:v>45595</c:v>
                </c:pt>
                <c:pt idx="213">
                  <c:v>45596</c:v>
                </c:pt>
                <c:pt idx="214">
                  <c:v>45597</c:v>
                </c:pt>
                <c:pt idx="215">
                  <c:v>45600</c:v>
                </c:pt>
                <c:pt idx="216">
                  <c:v>45601</c:v>
                </c:pt>
                <c:pt idx="217">
                  <c:v>45602</c:v>
                </c:pt>
                <c:pt idx="218">
                  <c:v>45603</c:v>
                </c:pt>
                <c:pt idx="219">
                  <c:v>45604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  <c:pt idx="254">
                  <c:v>45659</c:v>
                </c:pt>
                <c:pt idx="255">
                  <c:v>45660</c:v>
                </c:pt>
                <c:pt idx="256">
                  <c:v>45663</c:v>
                </c:pt>
                <c:pt idx="257">
                  <c:v>45664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45761</c:v>
                </c:pt>
                <c:pt idx="326">
                  <c:v>45762</c:v>
                </c:pt>
                <c:pt idx="327">
                  <c:v>45763</c:v>
                </c:pt>
                <c:pt idx="328">
                  <c:v>45764</c:v>
                </c:pt>
                <c:pt idx="329">
                  <c:v>45768</c:v>
                </c:pt>
                <c:pt idx="330">
                  <c:v>45771</c:v>
                </c:pt>
                <c:pt idx="331">
                  <c:v>45772</c:v>
                </c:pt>
                <c:pt idx="332">
                  <c:v>45775</c:v>
                </c:pt>
                <c:pt idx="333">
                  <c:v>45776</c:v>
                </c:pt>
                <c:pt idx="334">
                  <c:v>45784</c:v>
                </c:pt>
                <c:pt idx="335">
                  <c:v>45785</c:v>
                </c:pt>
                <c:pt idx="336">
                  <c:v>45789</c:v>
                </c:pt>
                <c:pt idx="337">
                  <c:v>45790</c:v>
                </c:pt>
                <c:pt idx="338">
                  <c:v>45796</c:v>
                </c:pt>
                <c:pt idx="339">
                  <c:v>45797</c:v>
                </c:pt>
                <c:pt idx="340">
                  <c:v>45798</c:v>
                </c:pt>
                <c:pt idx="341">
                  <c:v>45799</c:v>
                </c:pt>
                <c:pt idx="342">
                  <c:v>45800</c:v>
                </c:pt>
                <c:pt idx="343">
                  <c:v>45804</c:v>
                </c:pt>
                <c:pt idx="344">
                  <c:v>45805</c:v>
                </c:pt>
                <c:pt idx="345">
                  <c:v>45806</c:v>
                </c:pt>
                <c:pt idx="346">
                  <c:v>45807</c:v>
                </c:pt>
                <c:pt idx="347">
                  <c:v>45810</c:v>
                </c:pt>
                <c:pt idx="348">
                  <c:v>45811</c:v>
                </c:pt>
                <c:pt idx="349">
                  <c:v>45812</c:v>
                </c:pt>
                <c:pt idx="350">
                  <c:v>45813</c:v>
                </c:pt>
                <c:pt idx="351">
                  <c:v>45814</c:v>
                </c:pt>
                <c:pt idx="352">
                  <c:v>45817</c:v>
                </c:pt>
                <c:pt idx="353">
                  <c:v>45818</c:v>
                </c:pt>
                <c:pt idx="354">
                  <c:v>45819</c:v>
                </c:pt>
                <c:pt idx="355">
                  <c:v>45821</c:v>
                </c:pt>
                <c:pt idx="356">
                  <c:v>45824</c:v>
                </c:pt>
                <c:pt idx="357">
                  <c:v>45825</c:v>
                </c:pt>
                <c:pt idx="358">
                  <c:v>45826</c:v>
                </c:pt>
                <c:pt idx="359">
                  <c:v>45828</c:v>
                </c:pt>
                <c:pt idx="360">
                  <c:v>45831</c:v>
                </c:pt>
                <c:pt idx="361">
                  <c:v>45832</c:v>
                </c:pt>
                <c:pt idx="362">
                  <c:v>45833</c:v>
                </c:pt>
                <c:pt idx="363">
                  <c:v>45835</c:v>
                </c:pt>
                <c:pt idx="364">
                  <c:v>45838</c:v>
                </c:pt>
                <c:pt idx="365">
                  <c:v>45839</c:v>
                </c:pt>
                <c:pt idx="366">
                  <c:v>45840</c:v>
                </c:pt>
                <c:pt idx="367">
                  <c:v>45841</c:v>
                </c:pt>
                <c:pt idx="368">
                  <c:v>45845</c:v>
                </c:pt>
                <c:pt idx="369">
                  <c:v>45846</c:v>
                </c:pt>
                <c:pt idx="370">
                  <c:v>45847</c:v>
                </c:pt>
                <c:pt idx="371">
                  <c:v>45848</c:v>
                </c:pt>
                <c:pt idx="372">
                  <c:v>45849</c:v>
                </c:pt>
                <c:pt idx="373">
                  <c:v>45852</c:v>
                </c:pt>
                <c:pt idx="374">
                  <c:v>45853</c:v>
                </c:pt>
                <c:pt idx="375">
                  <c:v>45854</c:v>
                </c:pt>
                <c:pt idx="376">
                  <c:v>45855</c:v>
                </c:pt>
                <c:pt idx="377">
                  <c:v>45856</c:v>
                </c:pt>
                <c:pt idx="378">
                  <c:v>45859</c:v>
                </c:pt>
                <c:pt idx="379">
                  <c:v>45860</c:v>
                </c:pt>
                <c:pt idx="380">
                  <c:v>45861</c:v>
                </c:pt>
                <c:pt idx="381">
                  <c:v>45862</c:v>
                </c:pt>
                <c:pt idx="382">
                  <c:v>45863</c:v>
                </c:pt>
                <c:pt idx="383">
                  <c:v>45866</c:v>
                </c:pt>
                <c:pt idx="384">
                  <c:v>45867</c:v>
                </c:pt>
                <c:pt idx="385">
                  <c:v>45868</c:v>
                </c:pt>
                <c:pt idx="386">
                  <c:v>45869</c:v>
                </c:pt>
                <c:pt idx="387">
                  <c:v>45870</c:v>
                </c:pt>
                <c:pt idx="388">
                  <c:v>45873</c:v>
                </c:pt>
                <c:pt idx="389">
                  <c:v>45874</c:v>
                </c:pt>
                <c:pt idx="390">
                  <c:v>45875</c:v>
                </c:pt>
                <c:pt idx="391">
                  <c:v>45876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Info!$AI$275:$AI$666</c15:sqref>
                  </c15:fullRef>
                </c:ext>
              </c:extLst>
              <c:f>(Info!$AI$275:$AI$283,Info!$AI$285:$AI$666)</c:f>
              <c:numCache>
                <c:formatCode>0.0%</c:formatCode>
                <c:ptCount val="391"/>
                <c:pt idx="0">
                  <c:v>0.40051714379931408</c:v>
                </c:pt>
                <c:pt idx="1">
                  <c:v>0.40306081454226506</c:v>
                </c:pt>
                <c:pt idx="2">
                  <c:v>0.40392467110846803</c:v>
                </c:pt>
                <c:pt idx="3">
                  <c:v>0.4050449761357503</c:v>
                </c:pt>
                <c:pt idx="4">
                  <c:v>0.40754801395855167</c:v>
                </c:pt>
                <c:pt idx="5">
                  <c:v>0.40888418512643698</c:v>
                </c:pt>
                <c:pt idx="6">
                  <c:v>0.41174459076649828</c:v>
                </c:pt>
                <c:pt idx="7">
                  <c:v>0.41880610985187483</c:v>
                </c:pt>
                <c:pt idx="8">
                  <c:v>0.40185125458026139</c:v>
                </c:pt>
                <c:pt idx="9">
                  <c:v>0.40923238616159929</c:v>
                </c:pt>
                <c:pt idx="10">
                  <c:v>0.41679491884962289</c:v>
                </c:pt>
                <c:pt idx="11">
                  <c:v>0.42132500301387643</c:v>
                </c:pt>
                <c:pt idx="12">
                  <c:v>0.42848797048469495</c:v>
                </c:pt>
                <c:pt idx="13">
                  <c:v>0.42737332995767224</c:v>
                </c:pt>
                <c:pt idx="14">
                  <c:v>0.42754871520503485</c:v>
                </c:pt>
                <c:pt idx="15">
                  <c:v>0.42630341616635092</c:v>
                </c:pt>
                <c:pt idx="16">
                  <c:v>0.42530089058882692</c:v>
                </c:pt>
                <c:pt idx="17">
                  <c:v>0.43261898672005722</c:v>
                </c:pt>
                <c:pt idx="18">
                  <c:v>0.4507768722715208</c:v>
                </c:pt>
                <c:pt idx="19">
                  <c:v>0.4551939893290699</c:v>
                </c:pt>
                <c:pt idx="20">
                  <c:v>0.45233949061098488</c:v>
                </c:pt>
                <c:pt idx="21">
                  <c:v>0.44471576995879419</c:v>
                </c:pt>
                <c:pt idx="22">
                  <c:v>0.45417786010768635</c:v>
                </c:pt>
                <c:pt idx="23">
                  <c:v>0.45623564286209806</c:v>
                </c:pt>
                <c:pt idx="24">
                  <c:v>0.45504540819954142</c:v>
                </c:pt>
                <c:pt idx="25">
                  <c:v>0.45176391738584676</c:v>
                </c:pt>
                <c:pt idx="26">
                  <c:v>0.45267376355263345</c:v>
                </c:pt>
                <c:pt idx="27">
                  <c:v>0.45496004097153542</c:v>
                </c:pt>
                <c:pt idx="28">
                  <c:v>0.44780073810562238</c:v>
                </c:pt>
                <c:pt idx="29">
                  <c:v>0.43893322752202885</c:v>
                </c:pt>
                <c:pt idx="30">
                  <c:v>0.4406505428320594</c:v>
                </c:pt>
                <c:pt idx="31">
                  <c:v>0.44781611207552841</c:v>
                </c:pt>
                <c:pt idx="32" formatCode="General">
                  <c:v>0.44781611207552841</c:v>
                </c:pt>
                <c:pt idx="33">
                  <c:v>0.45345881612140176</c:v>
                </c:pt>
                <c:pt idx="34">
                  <c:v>0.4525976654964956</c:v>
                </c:pt>
                <c:pt idx="35">
                  <c:v>0.4491777335209704</c:v>
                </c:pt>
                <c:pt idx="36">
                  <c:v>0.44693917645934378</c:v>
                </c:pt>
                <c:pt idx="37">
                  <c:v>0.4407709759646527</c:v>
                </c:pt>
                <c:pt idx="38">
                  <c:v>0.44328241282498709</c:v>
                </c:pt>
                <c:pt idx="39">
                  <c:v>0.44066698787679814</c:v>
                </c:pt>
                <c:pt idx="40">
                  <c:v>0.44353578771839908</c:v>
                </c:pt>
                <c:pt idx="41">
                  <c:v>0.4303495617357021</c:v>
                </c:pt>
                <c:pt idx="42">
                  <c:v>0.40110470008781135</c:v>
                </c:pt>
                <c:pt idx="43">
                  <c:v>0.38827989450344563</c:v>
                </c:pt>
                <c:pt idx="44">
                  <c:v>0.38480101807402628</c:v>
                </c:pt>
                <c:pt idx="45">
                  <c:v>0.37127364952434894</c:v>
                </c:pt>
                <c:pt idx="46">
                  <c:v>0.35692225935884259</c:v>
                </c:pt>
                <c:pt idx="47">
                  <c:v>0.33771430145716591</c:v>
                </c:pt>
                <c:pt idx="48">
                  <c:v>0.33787892727499369</c:v>
                </c:pt>
                <c:pt idx="49">
                  <c:v>0.34661931183958361</c:v>
                </c:pt>
                <c:pt idx="50">
                  <c:v>0.33060427371294765</c:v>
                </c:pt>
                <c:pt idx="51">
                  <c:v>0.33126784612219712</c:v>
                </c:pt>
                <c:pt idx="52">
                  <c:v>0.33395485635394206</c:v>
                </c:pt>
                <c:pt idx="53">
                  <c:v>0.33032369378221055</c:v>
                </c:pt>
                <c:pt idx="54">
                  <c:v>0.33229036832278286</c:v>
                </c:pt>
                <c:pt idx="55">
                  <c:v>0.3298560353711027</c:v>
                </c:pt>
                <c:pt idx="56">
                  <c:v>0.32920511289696797</c:v>
                </c:pt>
                <c:pt idx="57">
                  <c:v>0.3356015643155883</c:v>
                </c:pt>
                <c:pt idx="58">
                  <c:v>0.34248427241404733</c:v>
                </c:pt>
                <c:pt idx="59">
                  <c:v>0.35051933335583607</c:v>
                </c:pt>
                <c:pt idx="60">
                  <c:v>0.35255003702512877</c:v>
                </c:pt>
                <c:pt idx="61">
                  <c:v>0.34762591336932935</c:v>
                </c:pt>
                <c:pt idx="62">
                  <c:v>0.3555499277065064</c:v>
                </c:pt>
                <c:pt idx="63">
                  <c:v>0.35585269388277968</c:v>
                </c:pt>
                <c:pt idx="64">
                  <c:v>0.35610144871278721</c:v>
                </c:pt>
                <c:pt idx="65">
                  <c:v>0.34911573554679753</c:v>
                </c:pt>
                <c:pt idx="66">
                  <c:v>0.34919738049041082</c:v>
                </c:pt>
                <c:pt idx="67">
                  <c:v>0.3480143580344171</c:v>
                </c:pt>
                <c:pt idx="68">
                  <c:v>0.34774797890035819</c:v>
                </c:pt>
                <c:pt idx="69">
                  <c:v>0.33600124958673894</c:v>
                </c:pt>
                <c:pt idx="70">
                  <c:v>0.34215215108879676</c:v>
                </c:pt>
                <c:pt idx="71">
                  <c:v>0.34072079485530543</c:v>
                </c:pt>
                <c:pt idx="72">
                  <c:v>0.33973111615973145</c:v>
                </c:pt>
                <c:pt idx="73">
                  <c:v>0.34117153209832712</c:v>
                </c:pt>
                <c:pt idx="74">
                  <c:v>0.33788032187348699</c:v>
                </c:pt>
                <c:pt idx="75">
                  <c:v>0.34150629733346016</c:v>
                </c:pt>
                <c:pt idx="76">
                  <c:v>0.34063839005983543</c:v>
                </c:pt>
                <c:pt idx="77">
                  <c:v>0.33985244291813982</c:v>
                </c:pt>
                <c:pt idx="78">
                  <c:v>0.33830222422511197</c:v>
                </c:pt>
                <c:pt idx="79">
                  <c:v>0.3380425525352137</c:v>
                </c:pt>
                <c:pt idx="80">
                  <c:v>0.33576575750878346</c:v>
                </c:pt>
                <c:pt idx="81">
                  <c:v>0.33962342154827618</c:v>
                </c:pt>
                <c:pt idx="82">
                  <c:v>0.33909853726071015</c:v>
                </c:pt>
                <c:pt idx="83">
                  <c:v>0.33683502981389363</c:v>
                </c:pt>
                <c:pt idx="84">
                  <c:v>0.33719074532577797</c:v>
                </c:pt>
                <c:pt idx="85">
                  <c:v>0.33402268051326051</c:v>
                </c:pt>
                <c:pt idx="86">
                  <c:v>0.33251442556644994</c:v>
                </c:pt>
                <c:pt idx="87">
                  <c:v>0.33436143726940076</c:v>
                </c:pt>
                <c:pt idx="88">
                  <c:v>0.32633088535212368</c:v>
                </c:pt>
                <c:pt idx="89">
                  <c:v>0.33279503151877621</c:v>
                </c:pt>
                <c:pt idx="90">
                  <c:v>0.3343227773767975</c:v>
                </c:pt>
                <c:pt idx="91">
                  <c:v>0.33386675178601477</c:v>
                </c:pt>
                <c:pt idx="92">
                  <c:v>0.3280189480625616</c:v>
                </c:pt>
                <c:pt idx="93">
                  <c:v>0.33014517540990113</c:v>
                </c:pt>
                <c:pt idx="94">
                  <c:v>0.32405257257929804</c:v>
                </c:pt>
                <c:pt idx="95">
                  <c:v>0.33141125155840861</c:v>
                </c:pt>
                <c:pt idx="96">
                  <c:v>0.32966058351913241</c:v>
                </c:pt>
                <c:pt idx="97">
                  <c:v>0.34110297655386279</c:v>
                </c:pt>
                <c:pt idx="98">
                  <c:v>0.34733569723037983</c:v>
                </c:pt>
                <c:pt idx="99">
                  <c:v>0.35268173763052213</c:v>
                </c:pt>
                <c:pt idx="100">
                  <c:v>0.35268173763052213</c:v>
                </c:pt>
                <c:pt idx="101">
                  <c:v>0.3620929420307768</c:v>
                </c:pt>
                <c:pt idx="102">
                  <c:v>0.37057674415129921</c:v>
                </c:pt>
                <c:pt idx="103">
                  <c:v>0.36750810357075153</c:v>
                </c:pt>
                <c:pt idx="104">
                  <c:v>0.38483426686060562</c:v>
                </c:pt>
                <c:pt idx="105">
                  <c:v>0.38835702131025784</c:v>
                </c:pt>
                <c:pt idx="106">
                  <c:v>0.39495102304419338</c:v>
                </c:pt>
                <c:pt idx="107">
                  <c:v>0.38979341698113623</c:v>
                </c:pt>
                <c:pt idx="108">
                  <c:v>0.38733220190904427</c:v>
                </c:pt>
                <c:pt idx="109">
                  <c:v>0.39986269866095681</c:v>
                </c:pt>
                <c:pt idx="110">
                  <c:v>0.40604259085569527</c:v>
                </c:pt>
                <c:pt idx="111">
                  <c:v>0.40431789379591032</c:v>
                </c:pt>
                <c:pt idx="112">
                  <c:v>0.40445233913547418</c:v>
                </c:pt>
                <c:pt idx="113">
                  <c:v>0.40689147158863087</c:v>
                </c:pt>
                <c:pt idx="114">
                  <c:v>0.39913830118764843</c:v>
                </c:pt>
                <c:pt idx="115">
                  <c:v>0.40108682464692375</c:v>
                </c:pt>
                <c:pt idx="116">
                  <c:v>0.39615826522557535</c:v>
                </c:pt>
                <c:pt idx="117">
                  <c:v>0.39615826522557535</c:v>
                </c:pt>
                <c:pt idx="118">
                  <c:v>0.38432497285881995</c:v>
                </c:pt>
                <c:pt idx="119">
                  <c:v>0.3875395535735941</c:v>
                </c:pt>
                <c:pt idx="120">
                  <c:v>0.38769513255674937</c:v>
                </c:pt>
                <c:pt idx="121">
                  <c:v>0.38869225641876198</c:v>
                </c:pt>
                <c:pt idx="122">
                  <c:v>0.39789802851070566</c:v>
                </c:pt>
                <c:pt idx="123">
                  <c:v>0.3920365292153738</c:v>
                </c:pt>
                <c:pt idx="124">
                  <c:v>0.39211895747556624</c:v>
                </c:pt>
                <c:pt idx="125">
                  <c:v>0.38889086666607631</c:v>
                </c:pt>
                <c:pt idx="126">
                  <c:v>0.38630641391595011</c:v>
                </c:pt>
                <c:pt idx="127">
                  <c:v>0.36992457543002316</c:v>
                </c:pt>
                <c:pt idx="128">
                  <c:v>0.36992457543002316</c:v>
                </c:pt>
                <c:pt idx="129">
                  <c:v>0.34700341496566478</c:v>
                </c:pt>
                <c:pt idx="130">
                  <c:v>0.34701076344872339</c:v>
                </c:pt>
                <c:pt idx="131">
                  <c:v>0.34280369409518052</c:v>
                </c:pt>
                <c:pt idx="132">
                  <c:v>0.33475265404044702</c:v>
                </c:pt>
                <c:pt idx="133">
                  <c:v>0.31778919769034791</c:v>
                </c:pt>
                <c:pt idx="134">
                  <c:v>0.32210988997190149</c:v>
                </c:pt>
                <c:pt idx="135">
                  <c:v>0.31375054899569416</c:v>
                </c:pt>
                <c:pt idx="136">
                  <c:v>0.30523344080143205</c:v>
                </c:pt>
                <c:pt idx="137">
                  <c:v>0.29884437965484695</c:v>
                </c:pt>
                <c:pt idx="138">
                  <c:v>0.29378831045478948</c:v>
                </c:pt>
                <c:pt idx="139">
                  <c:v>0.30483562247615331</c:v>
                </c:pt>
                <c:pt idx="140">
                  <c:v>0.30462209499083009</c:v>
                </c:pt>
                <c:pt idx="141">
                  <c:v>0.31309974952210878</c:v>
                </c:pt>
                <c:pt idx="142">
                  <c:v>0.3137903035865352</c:v>
                </c:pt>
                <c:pt idx="143">
                  <c:v>0.33452276927603375</c:v>
                </c:pt>
                <c:pt idx="144">
                  <c:v>0.34573205008439134</c:v>
                </c:pt>
                <c:pt idx="145">
                  <c:v>0.35278152943717844</c:v>
                </c:pt>
                <c:pt idx="146">
                  <c:v>0.34909220933464341</c:v>
                </c:pt>
                <c:pt idx="147">
                  <c:v>0.35502268135516579</c:v>
                </c:pt>
                <c:pt idx="148">
                  <c:v>0.34876359333553242</c:v>
                </c:pt>
                <c:pt idx="149">
                  <c:v>0.35206911293611842</c:v>
                </c:pt>
                <c:pt idx="150">
                  <c:v>0.36626304448712615</c:v>
                </c:pt>
                <c:pt idx="151">
                  <c:v>0.37104746517700177</c:v>
                </c:pt>
                <c:pt idx="152">
                  <c:v>0.37043168526883657</c:v>
                </c:pt>
                <c:pt idx="153">
                  <c:v>0.36927283250020831</c:v>
                </c:pt>
                <c:pt idx="154">
                  <c:v>0.36727231939344712</c:v>
                </c:pt>
                <c:pt idx="155">
                  <c:v>0.35711947848330061</c:v>
                </c:pt>
                <c:pt idx="156">
                  <c:v>0.34797081848768063</c:v>
                </c:pt>
                <c:pt idx="157">
                  <c:v>0.35088752875911705</c:v>
                </c:pt>
                <c:pt idx="158">
                  <c:v>0.34922159893672561</c:v>
                </c:pt>
                <c:pt idx="159">
                  <c:v>0.33260857938956989</c:v>
                </c:pt>
                <c:pt idx="160">
                  <c:v>0.3319736121701144</c:v>
                </c:pt>
                <c:pt idx="161">
                  <c:v>0.32613632093937139</c:v>
                </c:pt>
                <c:pt idx="162">
                  <c:v>0.32553927675244831</c:v>
                </c:pt>
                <c:pt idx="163">
                  <c:v>0.33046789966473217</c:v>
                </c:pt>
                <c:pt idx="164">
                  <c:v>0.32913884222472301</c:v>
                </c:pt>
                <c:pt idx="165">
                  <c:v>0.3274412637461897</c:v>
                </c:pt>
                <c:pt idx="166">
                  <c:v>0.32932085326750471</c:v>
                </c:pt>
                <c:pt idx="167">
                  <c:v>0.32932746705558574</c:v>
                </c:pt>
                <c:pt idx="168">
                  <c:v>0.3271954431175122</c:v>
                </c:pt>
                <c:pt idx="169">
                  <c:v>0.3286222284450428</c:v>
                </c:pt>
                <c:pt idx="170">
                  <c:v>0.3286222284450428</c:v>
                </c:pt>
                <c:pt idx="171">
                  <c:v>0.33284233206035185</c:v>
                </c:pt>
                <c:pt idx="172">
                  <c:v>0.33347056034508077</c:v>
                </c:pt>
                <c:pt idx="173">
                  <c:v>0.33272070051361086</c:v>
                </c:pt>
                <c:pt idx="174">
                  <c:v>0.3355193076821581</c:v>
                </c:pt>
                <c:pt idx="175">
                  <c:v>0.33638779071466368</c:v>
                </c:pt>
                <c:pt idx="176">
                  <c:v>0.33367162255792271</c:v>
                </c:pt>
                <c:pt idx="177">
                  <c:v>0.33239274154817527</c:v>
                </c:pt>
                <c:pt idx="178">
                  <c:v>0.31786642091320366</c:v>
                </c:pt>
                <c:pt idx="179">
                  <c:v>0.31176241707510632</c:v>
                </c:pt>
                <c:pt idx="180">
                  <c:v>0.31234536136418017</c:v>
                </c:pt>
                <c:pt idx="181">
                  <c:v>0.3157144295022386</c:v>
                </c:pt>
                <c:pt idx="182">
                  <c:v>0.3151353921180674</c:v>
                </c:pt>
                <c:pt idx="183">
                  <c:v>0.31427627071146474</c:v>
                </c:pt>
                <c:pt idx="184">
                  <c:v>0.30430308323563887</c:v>
                </c:pt>
                <c:pt idx="185">
                  <c:v>0.30394172715188961</c:v>
                </c:pt>
                <c:pt idx="186">
                  <c:v>0.3002478541017285</c:v>
                </c:pt>
                <c:pt idx="187">
                  <c:v>0.30717926770712617</c:v>
                </c:pt>
                <c:pt idx="188">
                  <c:v>0.31166892114252487</c:v>
                </c:pt>
                <c:pt idx="189">
                  <c:v>0.31574343775848951</c:v>
                </c:pt>
                <c:pt idx="190">
                  <c:v>0.32631766145210378</c:v>
                </c:pt>
                <c:pt idx="191">
                  <c:v>0.32342423560373434</c:v>
                </c:pt>
                <c:pt idx="192">
                  <c:v>0.32298557591440225</c:v>
                </c:pt>
                <c:pt idx="193">
                  <c:v>0.32261588301415484</c:v>
                </c:pt>
                <c:pt idx="194">
                  <c:v>0.3217154644766464</c:v>
                </c:pt>
                <c:pt idx="195">
                  <c:v>0.32360671577876399</c:v>
                </c:pt>
                <c:pt idx="196">
                  <c:v>0.3276530747084464</c:v>
                </c:pt>
                <c:pt idx="197">
                  <c:v>0.32669868928168999</c:v>
                </c:pt>
                <c:pt idx="198">
                  <c:v>0.32099259831370758</c:v>
                </c:pt>
                <c:pt idx="199">
                  <c:v>0.31644762521021502</c:v>
                </c:pt>
                <c:pt idx="200">
                  <c:v>0.31767868606323985</c:v>
                </c:pt>
                <c:pt idx="201">
                  <c:v>0.31494528784329084</c:v>
                </c:pt>
                <c:pt idx="202">
                  <c:v>0.31138024522259833</c:v>
                </c:pt>
                <c:pt idx="203">
                  <c:v>0.30466346040756026</c:v>
                </c:pt>
                <c:pt idx="204">
                  <c:v>0.29984874619296503</c:v>
                </c:pt>
                <c:pt idx="205">
                  <c:v>0.29946186645730677</c:v>
                </c:pt>
                <c:pt idx="206">
                  <c:v>0.29616536417665923</c:v>
                </c:pt>
                <c:pt idx="207">
                  <c:v>0.30145778130742934</c:v>
                </c:pt>
                <c:pt idx="208">
                  <c:v>0.30157620394209483</c:v>
                </c:pt>
                <c:pt idx="209">
                  <c:v>0.30143432262640235</c:v>
                </c:pt>
                <c:pt idx="210">
                  <c:v>0.30358432526549411</c:v>
                </c:pt>
                <c:pt idx="211">
                  <c:v>0.29299806738249562</c:v>
                </c:pt>
                <c:pt idx="212">
                  <c:v>0.29050241271633775</c:v>
                </c:pt>
                <c:pt idx="213">
                  <c:v>0.30014991806075358</c:v>
                </c:pt>
                <c:pt idx="214">
                  <c:v>0.30472703555161107</c:v>
                </c:pt>
                <c:pt idx="215">
                  <c:v>0.30698085539977599</c:v>
                </c:pt>
                <c:pt idx="216">
                  <c:v>0.30703091553561251</c:v>
                </c:pt>
                <c:pt idx="217">
                  <c:v>0.31286681564939511</c:v>
                </c:pt>
                <c:pt idx="218">
                  <c:v>0.30952360589342559</c:v>
                </c:pt>
                <c:pt idx="219">
                  <c:v>0.31118018626539246</c:v>
                </c:pt>
                <c:pt idx="220">
                  <c:v>0.32359971457943471</c:v>
                </c:pt>
                <c:pt idx="221">
                  <c:v>0.32181250079908658</c:v>
                </c:pt>
                <c:pt idx="222">
                  <c:v>0.32634262642962841</c:v>
                </c:pt>
                <c:pt idx="223">
                  <c:v>0.33946142505255439</c:v>
                </c:pt>
                <c:pt idx="224">
                  <c:v>0.33946142505255439</c:v>
                </c:pt>
                <c:pt idx="225">
                  <c:v>0.34757089883328823</c:v>
                </c:pt>
                <c:pt idx="226">
                  <c:v>0.34966388917147906</c:v>
                </c:pt>
                <c:pt idx="227">
                  <c:v>0.35392920986231136</c:v>
                </c:pt>
                <c:pt idx="228">
                  <c:v>0.34822538221566013</c:v>
                </c:pt>
                <c:pt idx="229">
                  <c:v>0.36468024721454984</c:v>
                </c:pt>
                <c:pt idx="230">
                  <c:v>0.37569155761012146</c:v>
                </c:pt>
                <c:pt idx="231">
                  <c:v>0.37978135448088585</c:v>
                </c:pt>
                <c:pt idx="232">
                  <c:v>0.37978135448088585</c:v>
                </c:pt>
                <c:pt idx="233">
                  <c:v>0.39192050364269876</c:v>
                </c:pt>
                <c:pt idx="234">
                  <c:v>0.39054011434902902</c:v>
                </c:pt>
                <c:pt idx="235">
                  <c:v>0.38685735261016363</c:v>
                </c:pt>
                <c:pt idx="236">
                  <c:v>0.3802615599619506</c:v>
                </c:pt>
                <c:pt idx="237">
                  <c:v>0.37984408306016515</c:v>
                </c:pt>
                <c:pt idx="238">
                  <c:v>0.38132709845611412</c:v>
                </c:pt>
                <c:pt idx="239">
                  <c:v>0.37444088116626306</c:v>
                </c:pt>
                <c:pt idx="240">
                  <c:v>0.37409645552047605</c:v>
                </c:pt>
                <c:pt idx="241">
                  <c:v>0.37011345253351685</c:v>
                </c:pt>
                <c:pt idx="242">
                  <c:v>0.37544543251071671</c:v>
                </c:pt>
                <c:pt idx="243">
                  <c:v>0.3899864826269121</c:v>
                </c:pt>
                <c:pt idx="244">
                  <c:v>0.39641690854132261</c:v>
                </c:pt>
                <c:pt idx="245">
                  <c:v>0.404528699126178</c:v>
                </c:pt>
                <c:pt idx="246">
                  <c:v>0.41699391109302059</c:v>
                </c:pt>
                <c:pt idx="247">
                  <c:v>0.42083418523679927</c:v>
                </c:pt>
                <c:pt idx="248">
                  <c:v>0.42414378064468305</c:v>
                </c:pt>
                <c:pt idx="249">
                  <c:v>0.43977082384679889</c:v>
                </c:pt>
                <c:pt idx="250">
                  <c:v>0.4531408683448106</c:v>
                </c:pt>
                <c:pt idx="251">
                  <c:v>0.4764848972698939</c:v>
                </c:pt>
                <c:pt idx="252">
                  <c:v>0.48207183697363459</c:v>
                </c:pt>
                <c:pt idx="253">
                  <c:v>0.47670221776493071</c:v>
                </c:pt>
                <c:pt idx="254">
                  <c:v>0.46880238497009641</c:v>
                </c:pt>
                <c:pt idx="255">
                  <c:v>0.4696939444564564</c:v>
                </c:pt>
                <c:pt idx="256">
                  <c:v>0.47354543659482762</c:v>
                </c:pt>
                <c:pt idx="257">
                  <c:v>0.46059806470276266</c:v>
                </c:pt>
                <c:pt idx="258">
                  <c:v>0.45878454974287031</c:v>
                </c:pt>
                <c:pt idx="259">
                  <c:v>0.45428459724958908</c:v>
                </c:pt>
                <c:pt idx="260">
                  <c:v>0.44888926608629448</c:v>
                </c:pt>
                <c:pt idx="261">
                  <c:v>0.44502661287926654</c:v>
                </c:pt>
                <c:pt idx="262">
                  <c:v>0.42923970096891162</c:v>
                </c:pt>
                <c:pt idx="263">
                  <c:v>0.43419161881220442</c:v>
                </c:pt>
                <c:pt idx="264">
                  <c:v>0.42749463295345941</c:v>
                </c:pt>
                <c:pt idx="265">
                  <c:v>0.44058811721120639</c:v>
                </c:pt>
                <c:pt idx="266">
                  <c:v>0.44058811721120639</c:v>
                </c:pt>
                <c:pt idx="267">
                  <c:v>0.45302388083733092</c:v>
                </c:pt>
                <c:pt idx="268">
                  <c:v>0.44464451091000001</c:v>
                </c:pt>
                <c:pt idx="269">
                  <c:v>0.46029955808065737</c:v>
                </c:pt>
                <c:pt idx="270">
                  <c:v>0.46999355305167467</c:v>
                </c:pt>
                <c:pt idx="271">
                  <c:v>0.5020681143934741</c:v>
                </c:pt>
                <c:pt idx="272">
                  <c:v>0.51578801717734046</c:v>
                </c:pt>
                <c:pt idx="273">
                  <c:v>0.53734261282811291</c:v>
                </c:pt>
                <c:pt idx="274">
                  <c:v>0.53906540123924018</c:v>
                </c:pt>
                <c:pt idx="275">
                  <c:v>0.5707948835123815</c:v>
                </c:pt>
                <c:pt idx="276">
                  <c:v>0.59392151809608951</c:v>
                </c:pt>
                <c:pt idx="277">
                  <c:v>0.61343001381908624</c:v>
                </c:pt>
                <c:pt idx="278">
                  <c:v>0.6177744426308085</c:v>
                </c:pt>
                <c:pt idx="279">
                  <c:v>0.63403001518573021</c:v>
                </c:pt>
                <c:pt idx="280">
                  <c:v>0.6518357525935583</c:v>
                </c:pt>
                <c:pt idx="281">
                  <c:v>0.66192653334004725</c:v>
                </c:pt>
                <c:pt idx="282">
                  <c:v>0.68294694567435632</c:v>
                </c:pt>
                <c:pt idx="283">
                  <c:v>0.69035554739977767</c:v>
                </c:pt>
                <c:pt idx="284">
                  <c:v>0.69877982860418675</c:v>
                </c:pt>
                <c:pt idx="285">
                  <c:v>0.71612225532191565</c:v>
                </c:pt>
                <c:pt idx="286">
                  <c:v>0.71612225532191565</c:v>
                </c:pt>
                <c:pt idx="287">
                  <c:v>0.72000610705875601</c:v>
                </c:pt>
                <c:pt idx="288">
                  <c:v>0.72461375097294078</c:v>
                </c:pt>
                <c:pt idx="289">
                  <c:v>0.72754741539045809</c:v>
                </c:pt>
                <c:pt idx="290">
                  <c:v>0.73460763445588506</c:v>
                </c:pt>
                <c:pt idx="291">
                  <c:v>0.73258160433005837</c:v>
                </c:pt>
                <c:pt idx="292">
                  <c:v>0.75915510606643377</c:v>
                </c:pt>
                <c:pt idx="293">
                  <c:v>0.75928813352613767</c:v>
                </c:pt>
                <c:pt idx="294">
                  <c:v>0.76948220711334159</c:v>
                </c:pt>
                <c:pt idx="295">
                  <c:v>0.80186373354110974</c:v>
                </c:pt>
                <c:pt idx="296">
                  <c:v>0.80627592897091493</c:v>
                </c:pt>
                <c:pt idx="297">
                  <c:v>0.80639450029635984</c:v>
                </c:pt>
                <c:pt idx="298">
                  <c:v>0.80577901186750156</c:v>
                </c:pt>
                <c:pt idx="299">
                  <c:v>0.80367782815513522</c:v>
                </c:pt>
                <c:pt idx="300">
                  <c:v>0.79568913953451148</c:v>
                </c:pt>
                <c:pt idx="301">
                  <c:v>0.79081928086564568</c:v>
                </c:pt>
                <c:pt idx="302">
                  <c:v>0.78466318857133921</c:v>
                </c:pt>
                <c:pt idx="303">
                  <c:v>0.7892463051734373</c:v>
                </c:pt>
                <c:pt idx="304">
                  <c:v>0.77088501960486178</c:v>
                </c:pt>
                <c:pt idx="305">
                  <c:v>0.75949830298977361</c:v>
                </c:pt>
                <c:pt idx="306">
                  <c:v>0.76176818759400688</c:v>
                </c:pt>
                <c:pt idx="307">
                  <c:v>0.77074690167664361</c:v>
                </c:pt>
                <c:pt idx="308">
                  <c:v>0.77062248066325056</c:v>
                </c:pt>
                <c:pt idx="309">
                  <c:v>0.78078328096168614</c:v>
                </c:pt>
                <c:pt idx="310">
                  <c:v>0.80693370539738796</c:v>
                </c:pt>
                <c:pt idx="311">
                  <c:v>0.83559105187584193</c:v>
                </c:pt>
                <c:pt idx="312">
                  <c:v>0.83196383978321808</c:v>
                </c:pt>
                <c:pt idx="313">
                  <c:v>0.84506341780772043</c:v>
                </c:pt>
                <c:pt idx="314">
                  <c:v>0.84208342528923974</c:v>
                </c:pt>
                <c:pt idx="315">
                  <c:v>0.75410257605806297</c:v>
                </c:pt>
                <c:pt idx="316">
                  <c:v>0.86613856502534747</c:v>
                </c:pt>
                <c:pt idx="317">
                  <c:v>0.88445136147457826</c:v>
                </c:pt>
                <c:pt idx="318">
                  <c:v>0.90059124224256659</c:v>
                </c:pt>
                <c:pt idx="319">
                  <c:v>0.92878160339623261</c:v>
                </c:pt>
                <c:pt idx="320">
                  <c:v>0.96501076791154861</c:v>
                </c:pt>
                <c:pt idx="321">
                  <c:v>0.9520193613236605</c:v>
                </c:pt>
                <c:pt idx="322">
                  <c:v>1.0091333816570438</c:v>
                </c:pt>
                <c:pt idx="323">
                  <c:v>0.99918371787649163</c:v>
                </c:pt>
                <c:pt idx="324">
                  <c:v>0.97480758361189457</c:v>
                </c:pt>
                <c:pt idx="325">
                  <c:v>0.97972545113981779</c:v>
                </c:pt>
                <c:pt idx="326">
                  <c:v>0.96385587690636576</c:v>
                </c:pt>
                <c:pt idx="327">
                  <c:v>0.94106613676670481</c:v>
                </c:pt>
                <c:pt idx="328">
                  <c:v>0.9382505773719696</c:v>
                </c:pt>
                <c:pt idx="329">
                  <c:v>0.9241392076341608</c:v>
                </c:pt>
                <c:pt idx="330">
                  <c:v>0.93923939727340089</c:v>
                </c:pt>
                <c:pt idx="331">
                  <c:v>0.93605760586962572</c:v>
                </c:pt>
                <c:pt idx="332">
                  <c:v>0.92885544578474588</c:v>
                </c:pt>
                <c:pt idx="333">
                  <c:v>0.92012720064266551</c:v>
                </c:pt>
                <c:pt idx="334">
                  <c:v>0.89407585881594831</c:v>
                </c:pt>
                <c:pt idx="335">
                  <c:v>0.89253001468874238</c:v>
                </c:pt>
                <c:pt idx="336">
                  <c:v>0.88789661269747588</c:v>
                </c:pt>
                <c:pt idx="337">
                  <c:v>0.89080742073123709</c:v>
                </c:pt>
                <c:pt idx="338">
                  <c:v>0.87630821760361932</c:v>
                </c:pt>
                <c:pt idx="339">
                  <c:v>0.87019926348214283</c:v>
                </c:pt>
                <c:pt idx="340">
                  <c:v>0.85921242014823307</c:v>
                </c:pt>
                <c:pt idx="341">
                  <c:v>0.85719434619191981</c:v>
                </c:pt>
                <c:pt idx="342">
                  <c:v>0.84671565530308812</c:v>
                </c:pt>
                <c:pt idx="343">
                  <c:v>0.88649337131860551</c:v>
                </c:pt>
                <c:pt idx="344">
                  <c:v>0.90362867514701706</c:v>
                </c:pt>
                <c:pt idx="345">
                  <c:v>0.91785932871120779</c:v>
                </c:pt>
                <c:pt idx="346">
                  <c:v>0.94888521799861536</c:v>
                </c:pt>
                <c:pt idx="347">
                  <c:v>0.92138487707133543</c:v>
                </c:pt>
                <c:pt idx="348">
                  <c:v>0.92147677478296197</c:v>
                </c:pt>
                <c:pt idx="349">
                  <c:v>0.91052717478835188</c:v>
                </c:pt>
                <c:pt idx="350">
                  <c:v>0.91265482770288797</c:v>
                </c:pt>
                <c:pt idx="351">
                  <c:v>0.91636577701809308</c:v>
                </c:pt>
                <c:pt idx="352">
                  <c:v>0.91915710694752384</c:v>
                </c:pt>
                <c:pt idx="353">
                  <c:v>0.90926771951105489</c:v>
                </c:pt>
                <c:pt idx="354">
                  <c:v>0.89609300862794006</c:v>
                </c:pt>
                <c:pt idx="355">
                  <c:v>0.85949479712241339</c:v>
                </c:pt>
                <c:pt idx="356">
                  <c:v>0.86034797360016946</c:v>
                </c:pt>
                <c:pt idx="357">
                  <c:v>0.85637511484223072</c:v>
                </c:pt>
                <c:pt idx="358">
                  <c:v>0.84279675037194501</c:v>
                </c:pt>
                <c:pt idx="359">
                  <c:v>0.85373682774870663</c:v>
                </c:pt>
                <c:pt idx="360">
                  <c:v>0.85190068509089267</c:v>
                </c:pt>
                <c:pt idx="361">
                  <c:v>0.86109863329332947</c:v>
                </c:pt>
                <c:pt idx="362">
                  <c:v>0.85191593318253633</c:v>
                </c:pt>
                <c:pt idx="363">
                  <c:v>0.84968957096201569</c:v>
                </c:pt>
                <c:pt idx="364">
                  <c:v>0.85224308303850349</c:v>
                </c:pt>
                <c:pt idx="365">
                  <c:v>0.84650255128386753</c:v>
                </c:pt>
                <c:pt idx="366">
                  <c:v>0.84448233248007221</c:v>
                </c:pt>
                <c:pt idx="367">
                  <c:v>0.82865342050369439</c:v>
                </c:pt>
                <c:pt idx="368">
                  <c:v>0.82335676706043803</c:v>
                </c:pt>
                <c:pt idx="369">
                  <c:v>0.83216278286516343</c:v>
                </c:pt>
                <c:pt idx="370">
                  <c:v>0.83794518400948903</c:v>
                </c:pt>
                <c:pt idx="371">
                  <c:v>0.8515557898940973</c:v>
                </c:pt>
                <c:pt idx="372">
                  <c:v>0.82433715734548885</c:v>
                </c:pt>
                <c:pt idx="373">
                  <c:v>0.81017354987984747</c:v>
                </c:pt>
                <c:pt idx="374">
                  <c:v>0.81931153139916757</c:v>
                </c:pt>
                <c:pt idx="375">
                  <c:v>0.81615952484352194</c:v>
                </c:pt>
                <c:pt idx="376">
                  <c:v>0.83559346555055891</c:v>
                </c:pt>
                <c:pt idx="377">
                  <c:v>0.83249900819916145</c:v>
                </c:pt>
                <c:pt idx="378">
                  <c:v>0.78910430345772842</c:v>
                </c:pt>
                <c:pt idx="379">
                  <c:v>0.7659647099135104</c:v>
                </c:pt>
                <c:pt idx="380">
                  <c:v>0.77436780377268077</c:v>
                </c:pt>
                <c:pt idx="381">
                  <c:v>0.79672046286726084</c:v>
                </c:pt>
                <c:pt idx="382">
                  <c:v>0.81824629730186516</c:v>
                </c:pt>
                <c:pt idx="383">
                  <c:v>0.84343711744995475</c:v>
                </c:pt>
                <c:pt idx="384">
                  <c:v>0.85717598047428578</c:v>
                </c:pt>
                <c:pt idx="385">
                  <c:v>0.87087926590962528</c:v>
                </c:pt>
                <c:pt idx="386">
                  <c:v>0.90367478777045662</c:v>
                </c:pt>
                <c:pt idx="387">
                  <c:v>0.88436802337719878</c:v>
                </c:pt>
                <c:pt idx="388">
                  <c:v>0.87238963450285811</c:v>
                </c:pt>
                <c:pt idx="389">
                  <c:v>0.862915124197426</c:v>
                </c:pt>
                <c:pt idx="390">
                  <c:v>0.85801026428161054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CE-42C2-BC6F-22C1FB758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627551"/>
        <c:axId val="1453626719"/>
      </c:lineChart>
      <c:dateAx>
        <c:axId val="2798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46256"/>
        <c:crosses val="autoZero"/>
        <c:auto val="0"/>
        <c:lblOffset val="100"/>
        <c:baseTimeUnit val="days"/>
        <c:majorUnit val="1"/>
        <c:majorTimeUnit val="months"/>
        <c:minorUnit val="10"/>
        <c:minorTimeUnit val="months"/>
      </c:dateAx>
      <c:valAx>
        <c:axId val="279846256"/>
        <c:scaling>
          <c:orientation val="minMax"/>
          <c:max val="1000000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/>
                  <a:t>Total Silver ('000</a:t>
                </a:r>
                <a:r>
                  <a:rPr lang="en-GB" sz="1300" baseline="0"/>
                  <a:t> oz)</a:t>
                </a:r>
                <a:endParaRPr lang="en-GB" sz="13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52912"/>
        <c:crosses val="autoZero"/>
        <c:crossBetween val="between"/>
      </c:valAx>
      <c:valAx>
        <c:axId val="1453626719"/>
        <c:scaling>
          <c:orientation val="minMax"/>
          <c:max val="1.1000000000000001"/>
          <c:min val="0.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27551"/>
        <c:crosses val="max"/>
        <c:crossBetween val="between"/>
      </c:valAx>
      <c:dateAx>
        <c:axId val="1453627551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453626719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28384906938936"/>
          <c:y val="0.90980788780495403"/>
          <c:w val="0.40786647924051"/>
          <c:h val="7.69955474582758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6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XAU - EFP Disc/Prem to Implied Swap EFP - as of 07.08.25</a:t>
            </a:r>
          </a:p>
        </c:rich>
      </c:tx>
      <c:layout>
        <c:manualLayout>
          <c:xMode val="edge"/>
          <c:yMode val="edge"/>
          <c:x val="0.29911661864904743"/>
          <c:y val="1.1878247032620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703031306438387E-2"/>
          <c:y val="2.4477863325174824E-2"/>
          <c:w val="0.88505335745698688"/>
          <c:h val="0.85343172136646261"/>
        </c:manualLayout>
      </c:layout>
      <c:lineChart>
        <c:grouping val="standard"/>
        <c:varyColors val="0"/>
        <c:ser>
          <c:idx val="2"/>
          <c:order val="1"/>
          <c:tx>
            <c:strRef>
              <c:f>Info!$I$1</c:f>
              <c:strCache>
                <c:ptCount val="1"/>
                <c:pt idx="0">
                  <c:v>Nearby Contract Discount/Premium EFP over Swaps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Info!$A$4:$A$697</c:f>
              <c:numCache>
                <c:formatCode>m/d/yy</c:formatCode>
                <c:ptCount val="694"/>
                <c:pt idx="0">
                  <c:v>44896</c:v>
                </c:pt>
                <c:pt idx="1">
                  <c:v>44897</c:v>
                </c:pt>
                <c:pt idx="2">
                  <c:v>44900</c:v>
                </c:pt>
                <c:pt idx="3">
                  <c:v>44901</c:v>
                </c:pt>
                <c:pt idx="4">
                  <c:v>44902</c:v>
                </c:pt>
                <c:pt idx="5">
                  <c:v>44903</c:v>
                </c:pt>
                <c:pt idx="6">
                  <c:v>44904</c:v>
                </c:pt>
                <c:pt idx="7">
                  <c:v>44907</c:v>
                </c:pt>
                <c:pt idx="8">
                  <c:v>44908</c:v>
                </c:pt>
                <c:pt idx="9">
                  <c:v>44909</c:v>
                </c:pt>
                <c:pt idx="10">
                  <c:v>44910</c:v>
                </c:pt>
                <c:pt idx="11">
                  <c:v>44911</c:v>
                </c:pt>
                <c:pt idx="12">
                  <c:v>44914</c:v>
                </c:pt>
                <c:pt idx="13">
                  <c:v>44915</c:v>
                </c:pt>
                <c:pt idx="14">
                  <c:v>44916</c:v>
                </c:pt>
                <c:pt idx="15">
                  <c:v>44917</c:v>
                </c:pt>
                <c:pt idx="16">
                  <c:v>44918</c:v>
                </c:pt>
                <c:pt idx="17">
                  <c:v>44923</c:v>
                </c:pt>
                <c:pt idx="18">
                  <c:v>44924</c:v>
                </c:pt>
                <c:pt idx="19">
                  <c:v>44925</c:v>
                </c:pt>
                <c:pt idx="20">
                  <c:v>44929</c:v>
                </c:pt>
                <c:pt idx="21">
                  <c:v>44930</c:v>
                </c:pt>
                <c:pt idx="22">
                  <c:v>44931</c:v>
                </c:pt>
                <c:pt idx="23">
                  <c:v>44932</c:v>
                </c:pt>
                <c:pt idx="24">
                  <c:v>44935</c:v>
                </c:pt>
                <c:pt idx="25">
                  <c:v>44936</c:v>
                </c:pt>
                <c:pt idx="26">
                  <c:v>44937</c:v>
                </c:pt>
                <c:pt idx="27">
                  <c:v>44938</c:v>
                </c:pt>
                <c:pt idx="28">
                  <c:v>44939</c:v>
                </c:pt>
                <c:pt idx="29">
                  <c:v>44942</c:v>
                </c:pt>
                <c:pt idx="30">
                  <c:v>44943</c:v>
                </c:pt>
                <c:pt idx="31">
                  <c:v>44944</c:v>
                </c:pt>
                <c:pt idx="32">
                  <c:v>44945</c:v>
                </c:pt>
                <c:pt idx="33">
                  <c:v>44946</c:v>
                </c:pt>
                <c:pt idx="34">
                  <c:v>44949</c:v>
                </c:pt>
                <c:pt idx="35">
                  <c:v>44950</c:v>
                </c:pt>
                <c:pt idx="36">
                  <c:v>44951</c:v>
                </c:pt>
                <c:pt idx="37">
                  <c:v>44952</c:v>
                </c:pt>
                <c:pt idx="38">
                  <c:v>44953</c:v>
                </c:pt>
                <c:pt idx="39">
                  <c:v>44956</c:v>
                </c:pt>
                <c:pt idx="40">
                  <c:v>44958</c:v>
                </c:pt>
                <c:pt idx="41">
                  <c:v>44959</c:v>
                </c:pt>
                <c:pt idx="42">
                  <c:v>44960</c:v>
                </c:pt>
                <c:pt idx="43">
                  <c:v>44963</c:v>
                </c:pt>
                <c:pt idx="44">
                  <c:v>44964</c:v>
                </c:pt>
                <c:pt idx="45">
                  <c:v>44965</c:v>
                </c:pt>
                <c:pt idx="46">
                  <c:v>44966</c:v>
                </c:pt>
                <c:pt idx="47">
                  <c:v>44967</c:v>
                </c:pt>
                <c:pt idx="48">
                  <c:v>44970</c:v>
                </c:pt>
                <c:pt idx="49">
                  <c:v>44971</c:v>
                </c:pt>
                <c:pt idx="50">
                  <c:v>44972</c:v>
                </c:pt>
                <c:pt idx="51">
                  <c:v>44973</c:v>
                </c:pt>
                <c:pt idx="52">
                  <c:v>44974</c:v>
                </c:pt>
                <c:pt idx="53">
                  <c:v>44977</c:v>
                </c:pt>
                <c:pt idx="54">
                  <c:v>44978</c:v>
                </c:pt>
                <c:pt idx="55">
                  <c:v>44979</c:v>
                </c:pt>
                <c:pt idx="56">
                  <c:v>44980</c:v>
                </c:pt>
                <c:pt idx="57">
                  <c:v>44981</c:v>
                </c:pt>
                <c:pt idx="58">
                  <c:v>44984</c:v>
                </c:pt>
                <c:pt idx="59">
                  <c:v>44985</c:v>
                </c:pt>
                <c:pt idx="60">
                  <c:v>44986</c:v>
                </c:pt>
                <c:pt idx="61">
                  <c:v>44987</c:v>
                </c:pt>
                <c:pt idx="62">
                  <c:v>44988</c:v>
                </c:pt>
                <c:pt idx="63">
                  <c:v>44991</c:v>
                </c:pt>
                <c:pt idx="64">
                  <c:v>44992</c:v>
                </c:pt>
                <c:pt idx="65">
                  <c:v>44993</c:v>
                </c:pt>
                <c:pt idx="66">
                  <c:v>44994</c:v>
                </c:pt>
                <c:pt idx="67">
                  <c:v>44995</c:v>
                </c:pt>
                <c:pt idx="68">
                  <c:v>44998</c:v>
                </c:pt>
                <c:pt idx="69">
                  <c:v>44999</c:v>
                </c:pt>
                <c:pt idx="70">
                  <c:v>45000</c:v>
                </c:pt>
                <c:pt idx="71">
                  <c:v>45001</c:v>
                </c:pt>
                <c:pt idx="72">
                  <c:v>45002</c:v>
                </c:pt>
                <c:pt idx="73">
                  <c:v>45005</c:v>
                </c:pt>
                <c:pt idx="74">
                  <c:v>45006</c:v>
                </c:pt>
                <c:pt idx="75">
                  <c:v>45007</c:v>
                </c:pt>
                <c:pt idx="76">
                  <c:v>45008</c:v>
                </c:pt>
                <c:pt idx="77">
                  <c:v>45009</c:v>
                </c:pt>
                <c:pt idx="78">
                  <c:v>45012</c:v>
                </c:pt>
                <c:pt idx="79">
                  <c:v>45013</c:v>
                </c:pt>
                <c:pt idx="80">
                  <c:v>45014</c:v>
                </c:pt>
                <c:pt idx="81">
                  <c:v>45015</c:v>
                </c:pt>
                <c:pt idx="82">
                  <c:v>45016</c:v>
                </c:pt>
                <c:pt idx="83">
                  <c:v>45019</c:v>
                </c:pt>
                <c:pt idx="84">
                  <c:v>45020</c:v>
                </c:pt>
                <c:pt idx="85">
                  <c:v>45021</c:v>
                </c:pt>
                <c:pt idx="86">
                  <c:v>45022</c:v>
                </c:pt>
                <c:pt idx="87">
                  <c:v>45027</c:v>
                </c:pt>
                <c:pt idx="88">
                  <c:v>45028</c:v>
                </c:pt>
                <c:pt idx="89">
                  <c:v>45029</c:v>
                </c:pt>
                <c:pt idx="90">
                  <c:v>45030</c:v>
                </c:pt>
                <c:pt idx="91">
                  <c:v>45033</c:v>
                </c:pt>
                <c:pt idx="92">
                  <c:v>45034</c:v>
                </c:pt>
                <c:pt idx="93">
                  <c:v>45035</c:v>
                </c:pt>
                <c:pt idx="94">
                  <c:v>45036</c:v>
                </c:pt>
                <c:pt idx="95">
                  <c:v>45037</c:v>
                </c:pt>
                <c:pt idx="96">
                  <c:v>45040</c:v>
                </c:pt>
                <c:pt idx="97">
                  <c:v>45041</c:v>
                </c:pt>
                <c:pt idx="98">
                  <c:v>45042</c:v>
                </c:pt>
                <c:pt idx="99">
                  <c:v>45043</c:v>
                </c:pt>
                <c:pt idx="100">
                  <c:v>45044</c:v>
                </c:pt>
                <c:pt idx="101">
                  <c:v>45048</c:v>
                </c:pt>
                <c:pt idx="102">
                  <c:v>45049</c:v>
                </c:pt>
                <c:pt idx="103">
                  <c:v>45050</c:v>
                </c:pt>
                <c:pt idx="104">
                  <c:v>45051</c:v>
                </c:pt>
                <c:pt idx="105">
                  <c:v>45055</c:v>
                </c:pt>
                <c:pt idx="106">
                  <c:v>45056</c:v>
                </c:pt>
                <c:pt idx="107">
                  <c:v>45057</c:v>
                </c:pt>
                <c:pt idx="108">
                  <c:v>45058</c:v>
                </c:pt>
                <c:pt idx="109">
                  <c:v>45061</c:v>
                </c:pt>
                <c:pt idx="110">
                  <c:v>45062</c:v>
                </c:pt>
                <c:pt idx="111">
                  <c:v>45063</c:v>
                </c:pt>
                <c:pt idx="112">
                  <c:v>45064</c:v>
                </c:pt>
                <c:pt idx="113">
                  <c:v>45065</c:v>
                </c:pt>
                <c:pt idx="114">
                  <c:v>45068</c:v>
                </c:pt>
                <c:pt idx="115">
                  <c:v>45069</c:v>
                </c:pt>
                <c:pt idx="116">
                  <c:v>45070</c:v>
                </c:pt>
                <c:pt idx="117">
                  <c:v>45071</c:v>
                </c:pt>
                <c:pt idx="118">
                  <c:v>45072</c:v>
                </c:pt>
                <c:pt idx="119">
                  <c:v>45076</c:v>
                </c:pt>
                <c:pt idx="120">
                  <c:v>45077</c:v>
                </c:pt>
                <c:pt idx="121">
                  <c:v>45078</c:v>
                </c:pt>
                <c:pt idx="122">
                  <c:v>45079</c:v>
                </c:pt>
                <c:pt idx="123">
                  <c:v>45082</c:v>
                </c:pt>
                <c:pt idx="124">
                  <c:v>45083</c:v>
                </c:pt>
                <c:pt idx="125">
                  <c:v>45084</c:v>
                </c:pt>
                <c:pt idx="126">
                  <c:v>45085</c:v>
                </c:pt>
                <c:pt idx="127">
                  <c:v>45086</c:v>
                </c:pt>
                <c:pt idx="128">
                  <c:v>45089</c:v>
                </c:pt>
                <c:pt idx="129">
                  <c:v>45090</c:v>
                </c:pt>
                <c:pt idx="130">
                  <c:v>45091</c:v>
                </c:pt>
                <c:pt idx="131">
                  <c:v>45092</c:v>
                </c:pt>
                <c:pt idx="132">
                  <c:v>45093</c:v>
                </c:pt>
                <c:pt idx="133">
                  <c:v>45096</c:v>
                </c:pt>
                <c:pt idx="134">
                  <c:v>45097</c:v>
                </c:pt>
                <c:pt idx="135">
                  <c:v>45098</c:v>
                </c:pt>
                <c:pt idx="136">
                  <c:v>45099</c:v>
                </c:pt>
                <c:pt idx="137">
                  <c:v>45100</c:v>
                </c:pt>
                <c:pt idx="138">
                  <c:v>45103</c:v>
                </c:pt>
                <c:pt idx="139">
                  <c:v>45104</c:v>
                </c:pt>
                <c:pt idx="140">
                  <c:v>45105</c:v>
                </c:pt>
                <c:pt idx="141">
                  <c:v>45106</c:v>
                </c:pt>
                <c:pt idx="142">
                  <c:v>45107</c:v>
                </c:pt>
                <c:pt idx="143">
                  <c:v>45110</c:v>
                </c:pt>
                <c:pt idx="144">
                  <c:v>45111</c:v>
                </c:pt>
                <c:pt idx="145">
                  <c:v>45112</c:v>
                </c:pt>
                <c:pt idx="146">
                  <c:v>45113</c:v>
                </c:pt>
                <c:pt idx="147">
                  <c:v>45114</c:v>
                </c:pt>
                <c:pt idx="148">
                  <c:v>45117</c:v>
                </c:pt>
                <c:pt idx="149">
                  <c:v>45118</c:v>
                </c:pt>
                <c:pt idx="150">
                  <c:v>45119</c:v>
                </c:pt>
                <c:pt idx="151">
                  <c:v>45120</c:v>
                </c:pt>
                <c:pt idx="152">
                  <c:v>45121</c:v>
                </c:pt>
                <c:pt idx="153">
                  <c:v>45124</c:v>
                </c:pt>
                <c:pt idx="154">
                  <c:v>45125</c:v>
                </c:pt>
                <c:pt idx="155">
                  <c:v>45126</c:v>
                </c:pt>
                <c:pt idx="156">
                  <c:v>45127</c:v>
                </c:pt>
                <c:pt idx="157">
                  <c:v>45128</c:v>
                </c:pt>
                <c:pt idx="158">
                  <c:v>45131</c:v>
                </c:pt>
                <c:pt idx="159">
                  <c:v>45132</c:v>
                </c:pt>
                <c:pt idx="160">
                  <c:v>45133</c:v>
                </c:pt>
                <c:pt idx="161">
                  <c:v>45134</c:v>
                </c:pt>
                <c:pt idx="162">
                  <c:v>45135</c:v>
                </c:pt>
                <c:pt idx="163">
                  <c:v>45138</c:v>
                </c:pt>
                <c:pt idx="164">
                  <c:v>45139</c:v>
                </c:pt>
                <c:pt idx="165">
                  <c:v>45140</c:v>
                </c:pt>
                <c:pt idx="166">
                  <c:v>45141</c:v>
                </c:pt>
                <c:pt idx="167">
                  <c:v>45142</c:v>
                </c:pt>
                <c:pt idx="168">
                  <c:v>45145</c:v>
                </c:pt>
                <c:pt idx="169">
                  <c:v>45146</c:v>
                </c:pt>
                <c:pt idx="170">
                  <c:v>45147</c:v>
                </c:pt>
                <c:pt idx="171">
                  <c:v>45148</c:v>
                </c:pt>
                <c:pt idx="172">
                  <c:v>45149</c:v>
                </c:pt>
                <c:pt idx="173">
                  <c:v>45152</c:v>
                </c:pt>
                <c:pt idx="174">
                  <c:v>45153</c:v>
                </c:pt>
                <c:pt idx="175">
                  <c:v>45154</c:v>
                </c:pt>
                <c:pt idx="176">
                  <c:v>45155</c:v>
                </c:pt>
                <c:pt idx="177">
                  <c:v>45156</c:v>
                </c:pt>
                <c:pt idx="178">
                  <c:v>45159</c:v>
                </c:pt>
                <c:pt idx="179">
                  <c:v>45160</c:v>
                </c:pt>
                <c:pt idx="180">
                  <c:v>45161</c:v>
                </c:pt>
                <c:pt idx="181">
                  <c:v>45162</c:v>
                </c:pt>
                <c:pt idx="182">
                  <c:v>45163</c:v>
                </c:pt>
                <c:pt idx="183">
                  <c:v>45167</c:v>
                </c:pt>
                <c:pt idx="184">
                  <c:v>45168</c:v>
                </c:pt>
                <c:pt idx="185">
                  <c:v>45169</c:v>
                </c:pt>
                <c:pt idx="186">
                  <c:v>45170</c:v>
                </c:pt>
                <c:pt idx="187">
                  <c:v>45173</c:v>
                </c:pt>
                <c:pt idx="188">
                  <c:v>45174</c:v>
                </c:pt>
                <c:pt idx="189">
                  <c:v>45175</c:v>
                </c:pt>
                <c:pt idx="190">
                  <c:v>45176</c:v>
                </c:pt>
                <c:pt idx="191">
                  <c:v>45177</c:v>
                </c:pt>
                <c:pt idx="192">
                  <c:v>45180</c:v>
                </c:pt>
                <c:pt idx="193">
                  <c:v>45181</c:v>
                </c:pt>
                <c:pt idx="194">
                  <c:v>45182</c:v>
                </c:pt>
                <c:pt idx="195">
                  <c:v>45183</c:v>
                </c:pt>
                <c:pt idx="196">
                  <c:v>45184</c:v>
                </c:pt>
                <c:pt idx="197">
                  <c:v>45187</c:v>
                </c:pt>
                <c:pt idx="198">
                  <c:v>45188</c:v>
                </c:pt>
                <c:pt idx="199">
                  <c:v>45189</c:v>
                </c:pt>
                <c:pt idx="200">
                  <c:v>45190</c:v>
                </c:pt>
                <c:pt idx="201">
                  <c:v>45191</c:v>
                </c:pt>
                <c:pt idx="202">
                  <c:v>45194</c:v>
                </c:pt>
                <c:pt idx="203">
                  <c:v>45195</c:v>
                </c:pt>
                <c:pt idx="204">
                  <c:v>45196</c:v>
                </c:pt>
                <c:pt idx="205">
                  <c:v>45197</c:v>
                </c:pt>
                <c:pt idx="206">
                  <c:v>45198</c:v>
                </c:pt>
                <c:pt idx="207">
                  <c:v>45201</c:v>
                </c:pt>
                <c:pt idx="208">
                  <c:v>45202</c:v>
                </c:pt>
                <c:pt idx="209">
                  <c:v>45203</c:v>
                </c:pt>
                <c:pt idx="210">
                  <c:v>45204</c:v>
                </c:pt>
                <c:pt idx="211">
                  <c:v>45205</c:v>
                </c:pt>
                <c:pt idx="212">
                  <c:v>45208</c:v>
                </c:pt>
                <c:pt idx="213">
                  <c:v>45209</c:v>
                </c:pt>
                <c:pt idx="214">
                  <c:v>45210</c:v>
                </c:pt>
                <c:pt idx="215">
                  <c:v>45211</c:v>
                </c:pt>
                <c:pt idx="216">
                  <c:v>45212</c:v>
                </c:pt>
                <c:pt idx="217">
                  <c:v>45215</c:v>
                </c:pt>
                <c:pt idx="218">
                  <c:v>45216</c:v>
                </c:pt>
                <c:pt idx="219">
                  <c:v>45217</c:v>
                </c:pt>
                <c:pt idx="220">
                  <c:v>45218</c:v>
                </c:pt>
                <c:pt idx="221">
                  <c:v>45219</c:v>
                </c:pt>
                <c:pt idx="222">
                  <c:v>45222</c:v>
                </c:pt>
                <c:pt idx="223">
                  <c:v>45223</c:v>
                </c:pt>
                <c:pt idx="224">
                  <c:v>45224</c:v>
                </c:pt>
                <c:pt idx="225">
                  <c:v>45225</c:v>
                </c:pt>
                <c:pt idx="226">
                  <c:v>45226</c:v>
                </c:pt>
                <c:pt idx="227">
                  <c:v>45229</c:v>
                </c:pt>
                <c:pt idx="228">
                  <c:v>45230</c:v>
                </c:pt>
                <c:pt idx="229">
                  <c:v>45231</c:v>
                </c:pt>
                <c:pt idx="230">
                  <c:v>45232</c:v>
                </c:pt>
                <c:pt idx="231">
                  <c:v>45233</c:v>
                </c:pt>
                <c:pt idx="232">
                  <c:v>45236</c:v>
                </c:pt>
                <c:pt idx="233">
                  <c:v>45237</c:v>
                </c:pt>
                <c:pt idx="234">
                  <c:v>45238</c:v>
                </c:pt>
                <c:pt idx="235">
                  <c:v>45239</c:v>
                </c:pt>
                <c:pt idx="236">
                  <c:v>45240</c:v>
                </c:pt>
                <c:pt idx="237">
                  <c:v>45243</c:v>
                </c:pt>
                <c:pt idx="238">
                  <c:v>45244</c:v>
                </c:pt>
                <c:pt idx="239">
                  <c:v>45245</c:v>
                </c:pt>
                <c:pt idx="240">
                  <c:v>45246</c:v>
                </c:pt>
                <c:pt idx="241">
                  <c:v>45247</c:v>
                </c:pt>
                <c:pt idx="242">
                  <c:v>45250</c:v>
                </c:pt>
                <c:pt idx="243">
                  <c:v>45251</c:v>
                </c:pt>
                <c:pt idx="244">
                  <c:v>45252</c:v>
                </c:pt>
                <c:pt idx="245">
                  <c:v>45253</c:v>
                </c:pt>
                <c:pt idx="246">
                  <c:v>45254</c:v>
                </c:pt>
                <c:pt idx="247">
                  <c:v>45257</c:v>
                </c:pt>
                <c:pt idx="248">
                  <c:v>45258</c:v>
                </c:pt>
                <c:pt idx="249">
                  <c:v>45259</c:v>
                </c:pt>
                <c:pt idx="250">
                  <c:v>45260</c:v>
                </c:pt>
                <c:pt idx="251">
                  <c:v>45261</c:v>
                </c:pt>
                <c:pt idx="252">
                  <c:v>45264</c:v>
                </c:pt>
                <c:pt idx="253">
                  <c:v>45265</c:v>
                </c:pt>
                <c:pt idx="254">
                  <c:v>45266</c:v>
                </c:pt>
                <c:pt idx="255">
                  <c:v>45267</c:v>
                </c:pt>
                <c:pt idx="256">
                  <c:v>45268</c:v>
                </c:pt>
                <c:pt idx="257">
                  <c:v>45271</c:v>
                </c:pt>
                <c:pt idx="258">
                  <c:v>45272</c:v>
                </c:pt>
                <c:pt idx="259">
                  <c:v>45273</c:v>
                </c:pt>
                <c:pt idx="260">
                  <c:v>45274</c:v>
                </c:pt>
                <c:pt idx="261">
                  <c:v>45275</c:v>
                </c:pt>
                <c:pt idx="262">
                  <c:v>45278</c:v>
                </c:pt>
                <c:pt idx="263">
                  <c:v>45279</c:v>
                </c:pt>
                <c:pt idx="264">
                  <c:v>45280</c:v>
                </c:pt>
                <c:pt idx="265">
                  <c:v>45281</c:v>
                </c:pt>
                <c:pt idx="266">
                  <c:v>45282</c:v>
                </c:pt>
                <c:pt idx="267">
                  <c:v>45286</c:v>
                </c:pt>
                <c:pt idx="268">
                  <c:v>45287</c:v>
                </c:pt>
                <c:pt idx="269">
                  <c:v>45288</c:v>
                </c:pt>
                <c:pt idx="270">
                  <c:v>45289</c:v>
                </c:pt>
                <c:pt idx="271">
                  <c:v>45293</c:v>
                </c:pt>
                <c:pt idx="272">
                  <c:v>45294</c:v>
                </c:pt>
                <c:pt idx="273">
                  <c:v>45295</c:v>
                </c:pt>
                <c:pt idx="274">
                  <c:v>45296</c:v>
                </c:pt>
                <c:pt idx="275">
                  <c:v>45299</c:v>
                </c:pt>
                <c:pt idx="276">
                  <c:v>45300</c:v>
                </c:pt>
                <c:pt idx="277">
                  <c:v>45301</c:v>
                </c:pt>
                <c:pt idx="278">
                  <c:v>45302</c:v>
                </c:pt>
                <c:pt idx="279">
                  <c:v>45303</c:v>
                </c:pt>
                <c:pt idx="280">
                  <c:v>45306</c:v>
                </c:pt>
                <c:pt idx="281">
                  <c:v>45307</c:v>
                </c:pt>
                <c:pt idx="282">
                  <c:v>45308</c:v>
                </c:pt>
                <c:pt idx="283">
                  <c:v>45309</c:v>
                </c:pt>
                <c:pt idx="284">
                  <c:v>45310</c:v>
                </c:pt>
                <c:pt idx="285">
                  <c:v>45313</c:v>
                </c:pt>
                <c:pt idx="286">
                  <c:v>45314</c:v>
                </c:pt>
                <c:pt idx="287">
                  <c:v>45315</c:v>
                </c:pt>
                <c:pt idx="288">
                  <c:v>45316</c:v>
                </c:pt>
                <c:pt idx="289">
                  <c:v>45317</c:v>
                </c:pt>
                <c:pt idx="290">
                  <c:v>45320</c:v>
                </c:pt>
                <c:pt idx="291">
                  <c:v>45321</c:v>
                </c:pt>
                <c:pt idx="292">
                  <c:v>45322</c:v>
                </c:pt>
                <c:pt idx="293">
                  <c:v>45323</c:v>
                </c:pt>
                <c:pt idx="294">
                  <c:v>45324</c:v>
                </c:pt>
                <c:pt idx="295">
                  <c:v>45327</c:v>
                </c:pt>
                <c:pt idx="296">
                  <c:v>45328</c:v>
                </c:pt>
                <c:pt idx="297">
                  <c:v>45329</c:v>
                </c:pt>
                <c:pt idx="298">
                  <c:v>45330</c:v>
                </c:pt>
                <c:pt idx="299">
                  <c:v>45331</c:v>
                </c:pt>
                <c:pt idx="300">
                  <c:v>45334</c:v>
                </c:pt>
                <c:pt idx="301">
                  <c:v>45335</c:v>
                </c:pt>
                <c:pt idx="302">
                  <c:v>45336</c:v>
                </c:pt>
                <c:pt idx="303">
                  <c:v>45337</c:v>
                </c:pt>
                <c:pt idx="304">
                  <c:v>45338</c:v>
                </c:pt>
                <c:pt idx="305">
                  <c:v>45341</c:v>
                </c:pt>
                <c:pt idx="306">
                  <c:v>45342</c:v>
                </c:pt>
                <c:pt idx="307">
                  <c:v>45343</c:v>
                </c:pt>
                <c:pt idx="308">
                  <c:v>45344</c:v>
                </c:pt>
                <c:pt idx="309">
                  <c:v>45345</c:v>
                </c:pt>
                <c:pt idx="310">
                  <c:v>45348</c:v>
                </c:pt>
                <c:pt idx="311">
                  <c:v>45349</c:v>
                </c:pt>
                <c:pt idx="312">
                  <c:v>45350</c:v>
                </c:pt>
                <c:pt idx="313">
                  <c:v>45351</c:v>
                </c:pt>
                <c:pt idx="314">
                  <c:v>45352</c:v>
                </c:pt>
                <c:pt idx="315">
                  <c:v>45355</c:v>
                </c:pt>
                <c:pt idx="316">
                  <c:v>45356</c:v>
                </c:pt>
                <c:pt idx="317">
                  <c:v>45357</c:v>
                </c:pt>
                <c:pt idx="318">
                  <c:v>45358</c:v>
                </c:pt>
                <c:pt idx="319">
                  <c:v>45359</c:v>
                </c:pt>
                <c:pt idx="320">
                  <c:v>45362</c:v>
                </c:pt>
                <c:pt idx="321">
                  <c:v>45363</c:v>
                </c:pt>
                <c:pt idx="322">
                  <c:v>45364</c:v>
                </c:pt>
                <c:pt idx="323">
                  <c:v>45365</c:v>
                </c:pt>
                <c:pt idx="324">
                  <c:v>45366</c:v>
                </c:pt>
                <c:pt idx="325">
                  <c:v>45369</c:v>
                </c:pt>
                <c:pt idx="326">
                  <c:v>45370</c:v>
                </c:pt>
                <c:pt idx="327">
                  <c:v>45371</c:v>
                </c:pt>
                <c:pt idx="328">
                  <c:v>45372</c:v>
                </c:pt>
                <c:pt idx="329">
                  <c:v>45373</c:v>
                </c:pt>
                <c:pt idx="330">
                  <c:v>45376</c:v>
                </c:pt>
                <c:pt idx="331">
                  <c:v>45377</c:v>
                </c:pt>
                <c:pt idx="332">
                  <c:v>45378</c:v>
                </c:pt>
                <c:pt idx="333">
                  <c:v>45379</c:v>
                </c:pt>
                <c:pt idx="334">
                  <c:v>45384</c:v>
                </c:pt>
                <c:pt idx="335">
                  <c:v>45385</c:v>
                </c:pt>
                <c:pt idx="336">
                  <c:v>45386</c:v>
                </c:pt>
                <c:pt idx="337">
                  <c:v>45387</c:v>
                </c:pt>
                <c:pt idx="338">
                  <c:v>45390</c:v>
                </c:pt>
                <c:pt idx="339">
                  <c:v>45391</c:v>
                </c:pt>
                <c:pt idx="340">
                  <c:v>45392</c:v>
                </c:pt>
                <c:pt idx="341">
                  <c:v>45393</c:v>
                </c:pt>
                <c:pt idx="342">
                  <c:v>45394</c:v>
                </c:pt>
                <c:pt idx="343">
                  <c:v>45397</c:v>
                </c:pt>
                <c:pt idx="344">
                  <c:v>45398</c:v>
                </c:pt>
                <c:pt idx="345">
                  <c:v>45399</c:v>
                </c:pt>
                <c:pt idx="346">
                  <c:v>45400</c:v>
                </c:pt>
                <c:pt idx="347">
                  <c:v>45404</c:v>
                </c:pt>
                <c:pt idx="348">
                  <c:v>45405</c:v>
                </c:pt>
                <c:pt idx="349">
                  <c:v>45406</c:v>
                </c:pt>
                <c:pt idx="350">
                  <c:v>45407</c:v>
                </c:pt>
                <c:pt idx="351">
                  <c:v>45408</c:v>
                </c:pt>
                <c:pt idx="352">
                  <c:v>45411</c:v>
                </c:pt>
                <c:pt idx="353">
                  <c:v>45412</c:v>
                </c:pt>
                <c:pt idx="354">
                  <c:v>45413</c:v>
                </c:pt>
                <c:pt idx="355">
                  <c:v>45414</c:v>
                </c:pt>
                <c:pt idx="356">
                  <c:v>45415</c:v>
                </c:pt>
                <c:pt idx="357">
                  <c:v>45418</c:v>
                </c:pt>
                <c:pt idx="358">
                  <c:v>45419</c:v>
                </c:pt>
                <c:pt idx="359">
                  <c:v>45420</c:v>
                </c:pt>
                <c:pt idx="360">
                  <c:v>45421</c:v>
                </c:pt>
                <c:pt idx="361">
                  <c:v>45422</c:v>
                </c:pt>
                <c:pt idx="362">
                  <c:v>45425</c:v>
                </c:pt>
                <c:pt idx="363">
                  <c:v>45426</c:v>
                </c:pt>
                <c:pt idx="364">
                  <c:v>45427</c:v>
                </c:pt>
                <c:pt idx="365">
                  <c:v>45428</c:v>
                </c:pt>
                <c:pt idx="366">
                  <c:v>45429</c:v>
                </c:pt>
                <c:pt idx="367">
                  <c:v>45432</c:v>
                </c:pt>
                <c:pt idx="368">
                  <c:v>45433</c:v>
                </c:pt>
                <c:pt idx="369">
                  <c:v>45434</c:v>
                </c:pt>
                <c:pt idx="370">
                  <c:v>45435</c:v>
                </c:pt>
                <c:pt idx="371">
                  <c:v>45436</c:v>
                </c:pt>
                <c:pt idx="372">
                  <c:v>45439</c:v>
                </c:pt>
                <c:pt idx="373">
                  <c:v>45440</c:v>
                </c:pt>
                <c:pt idx="374">
                  <c:v>45441</c:v>
                </c:pt>
                <c:pt idx="375">
                  <c:v>45442</c:v>
                </c:pt>
                <c:pt idx="376">
                  <c:v>45443</c:v>
                </c:pt>
                <c:pt idx="377">
                  <c:v>45446</c:v>
                </c:pt>
                <c:pt idx="378">
                  <c:v>45447</c:v>
                </c:pt>
                <c:pt idx="379">
                  <c:v>45448</c:v>
                </c:pt>
                <c:pt idx="380">
                  <c:v>45449</c:v>
                </c:pt>
                <c:pt idx="381">
                  <c:v>45450</c:v>
                </c:pt>
                <c:pt idx="382">
                  <c:v>45453</c:v>
                </c:pt>
                <c:pt idx="383">
                  <c:v>45454</c:v>
                </c:pt>
                <c:pt idx="384">
                  <c:v>45455</c:v>
                </c:pt>
                <c:pt idx="385">
                  <c:v>45456</c:v>
                </c:pt>
                <c:pt idx="386">
                  <c:v>45457</c:v>
                </c:pt>
                <c:pt idx="387">
                  <c:v>45460</c:v>
                </c:pt>
                <c:pt idx="388">
                  <c:v>45461</c:v>
                </c:pt>
                <c:pt idx="389">
                  <c:v>45462</c:v>
                </c:pt>
                <c:pt idx="390">
                  <c:v>45463</c:v>
                </c:pt>
                <c:pt idx="391">
                  <c:v>45464</c:v>
                </c:pt>
                <c:pt idx="392">
                  <c:v>45467</c:v>
                </c:pt>
                <c:pt idx="393">
                  <c:v>45468</c:v>
                </c:pt>
                <c:pt idx="394">
                  <c:v>45469</c:v>
                </c:pt>
                <c:pt idx="395">
                  <c:v>45470</c:v>
                </c:pt>
                <c:pt idx="396">
                  <c:v>45471</c:v>
                </c:pt>
                <c:pt idx="397">
                  <c:v>45474</c:v>
                </c:pt>
                <c:pt idx="398">
                  <c:v>45475</c:v>
                </c:pt>
                <c:pt idx="399">
                  <c:v>45476</c:v>
                </c:pt>
                <c:pt idx="400">
                  <c:v>45477</c:v>
                </c:pt>
                <c:pt idx="401">
                  <c:v>45478</c:v>
                </c:pt>
                <c:pt idx="402">
                  <c:v>45481</c:v>
                </c:pt>
                <c:pt idx="403">
                  <c:v>45482</c:v>
                </c:pt>
                <c:pt idx="404">
                  <c:v>45483</c:v>
                </c:pt>
                <c:pt idx="405">
                  <c:v>45484</c:v>
                </c:pt>
                <c:pt idx="406">
                  <c:v>45485</c:v>
                </c:pt>
                <c:pt idx="407">
                  <c:v>45488</c:v>
                </c:pt>
                <c:pt idx="408">
                  <c:v>45489</c:v>
                </c:pt>
                <c:pt idx="409">
                  <c:v>45490</c:v>
                </c:pt>
                <c:pt idx="410">
                  <c:v>45491</c:v>
                </c:pt>
                <c:pt idx="411">
                  <c:v>45492</c:v>
                </c:pt>
                <c:pt idx="412">
                  <c:v>45495</c:v>
                </c:pt>
                <c:pt idx="413">
                  <c:v>45496</c:v>
                </c:pt>
                <c:pt idx="414">
                  <c:v>45497</c:v>
                </c:pt>
                <c:pt idx="415">
                  <c:v>45498</c:v>
                </c:pt>
                <c:pt idx="416">
                  <c:v>45499</c:v>
                </c:pt>
                <c:pt idx="417">
                  <c:v>45502</c:v>
                </c:pt>
                <c:pt idx="418">
                  <c:v>45503</c:v>
                </c:pt>
                <c:pt idx="419">
                  <c:v>45504</c:v>
                </c:pt>
                <c:pt idx="420">
                  <c:v>45505</c:v>
                </c:pt>
                <c:pt idx="421">
                  <c:v>45506</c:v>
                </c:pt>
                <c:pt idx="422">
                  <c:v>45509</c:v>
                </c:pt>
                <c:pt idx="423">
                  <c:v>45510</c:v>
                </c:pt>
                <c:pt idx="424">
                  <c:v>45511</c:v>
                </c:pt>
                <c:pt idx="425">
                  <c:v>45512</c:v>
                </c:pt>
                <c:pt idx="426">
                  <c:v>45513</c:v>
                </c:pt>
                <c:pt idx="427">
                  <c:v>45516</c:v>
                </c:pt>
                <c:pt idx="428">
                  <c:v>45517</c:v>
                </c:pt>
                <c:pt idx="429">
                  <c:v>45518</c:v>
                </c:pt>
                <c:pt idx="430">
                  <c:v>45519</c:v>
                </c:pt>
                <c:pt idx="431">
                  <c:v>45520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45530</c:v>
                </c:pt>
                <c:pt idx="438">
                  <c:v>45531</c:v>
                </c:pt>
                <c:pt idx="439">
                  <c:v>45532</c:v>
                </c:pt>
                <c:pt idx="440">
                  <c:v>45533</c:v>
                </c:pt>
                <c:pt idx="441">
                  <c:v>45534</c:v>
                </c:pt>
                <c:pt idx="442">
                  <c:v>45537</c:v>
                </c:pt>
                <c:pt idx="443">
                  <c:v>45538</c:v>
                </c:pt>
                <c:pt idx="444">
                  <c:v>45539</c:v>
                </c:pt>
                <c:pt idx="445">
                  <c:v>45540</c:v>
                </c:pt>
                <c:pt idx="446">
                  <c:v>45541</c:v>
                </c:pt>
                <c:pt idx="447">
                  <c:v>45544</c:v>
                </c:pt>
                <c:pt idx="448">
                  <c:v>45545</c:v>
                </c:pt>
                <c:pt idx="449">
                  <c:v>45546</c:v>
                </c:pt>
                <c:pt idx="450">
                  <c:v>45547</c:v>
                </c:pt>
                <c:pt idx="451">
                  <c:v>45548</c:v>
                </c:pt>
                <c:pt idx="452">
                  <c:v>45551</c:v>
                </c:pt>
                <c:pt idx="453">
                  <c:v>45552</c:v>
                </c:pt>
                <c:pt idx="454">
                  <c:v>45553</c:v>
                </c:pt>
                <c:pt idx="455">
                  <c:v>45554</c:v>
                </c:pt>
                <c:pt idx="456">
                  <c:v>45555</c:v>
                </c:pt>
                <c:pt idx="457">
                  <c:v>45558</c:v>
                </c:pt>
                <c:pt idx="458">
                  <c:v>45559</c:v>
                </c:pt>
                <c:pt idx="459">
                  <c:v>45560</c:v>
                </c:pt>
                <c:pt idx="460">
                  <c:v>45561</c:v>
                </c:pt>
                <c:pt idx="461">
                  <c:v>45562</c:v>
                </c:pt>
                <c:pt idx="462">
                  <c:v>45565</c:v>
                </c:pt>
                <c:pt idx="463">
                  <c:v>45566</c:v>
                </c:pt>
                <c:pt idx="464">
                  <c:v>45567</c:v>
                </c:pt>
                <c:pt idx="465">
                  <c:v>45568</c:v>
                </c:pt>
                <c:pt idx="466">
                  <c:v>45569</c:v>
                </c:pt>
                <c:pt idx="467">
                  <c:v>45572</c:v>
                </c:pt>
                <c:pt idx="468">
                  <c:v>45573</c:v>
                </c:pt>
                <c:pt idx="469">
                  <c:v>45574</c:v>
                </c:pt>
                <c:pt idx="470">
                  <c:v>45575</c:v>
                </c:pt>
                <c:pt idx="471">
                  <c:v>45576</c:v>
                </c:pt>
                <c:pt idx="472">
                  <c:v>45579</c:v>
                </c:pt>
                <c:pt idx="473">
                  <c:v>45580</c:v>
                </c:pt>
                <c:pt idx="474">
                  <c:v>45581</c:v>
                </c:pt>
                <c:pt idx="475">
                  <c:v>45582</c:v>
                </c:pt>
                <c:pt idx="476">
                  <c:v>45583</c:v>
                </c:pt>
                <c:pt idx="477">
                  <c:v>45586</c:v>
                </c:pt>
                <c:pt idx="478">
                  <c:v>45587</c:v>
                </c:pt>
                <c:pt idx="479">
                  <c:v>45588</c:v>
                </c:pt>
                <c:pt idx="480">
                  <c:v>45589</c:v>
                </c:pt>
                <c:pt idx="481">
                  <c:v>45590</c:v>
                </c:pt>
                <c:pt idx="482">
                  <c:v>45593</c:v>
                </c:pt>
                <c:pt idx="483">
                  <c:v>45594</c:v>
                </c:pt>
                <c:pt idx="484">
                  <c:v>45595</c:v>
                </c:pt>
                <c:pt idx="485">
                  <c:v>45596</c:v>
                </c:pt>
                <c:pt idx="486">
                  <c:v>45597</c:v>
                </c:pt>
                <c:pt idx="487">
                  <c:v>45600</c:v>
                </c:pt>
                <c:pt idx="488">
                  <c:v>45601</c:v>
                </c:pt>
                <c:pt idx="489">
                  <c:v>45602</c:v>
                </c:pt>
                <c:pt idx="490">
                  <c:v>45603</c:v>
                </c:pt>
                <c:pt idx="491">
                  <c:v>45604</c:v>
                </c:pt>
                <c:pt idx="492">
                  <c:v>45608</c:v>
                </c:pt>
                <c:pt idx="493">
                  <c:v>45609</c:v>
                </c:pt>
                <c:pt idx="494">
                  <c:v>45610</c:v>
                </c:pt>
                <c:pt idx="495">
                  <c:v>45611</c:v>
                </c:pt>
                <c:pt idx="496">
                  <c:v>45614</c:v>
                </c:pt>
                <c:pt idx="497">
                  <c:v>45615</c:v>
                </c:pt>
                <c:pt idx="498">
                  <c:v>45616</c:v>
                </c:pt>
                <c:pt idx="499">
                  <c:v>45617</c:v>
                </c:pt>
                <c:pt idx="500">
                  <c:v>45618</c:v>
                </c:pt>
                <c:pt idx="501">
                  <c:v>45621</c:v>
                </c:pt>
                <c:pt idx="502">
                  <c:v>45622</c:v>
                </c:pt>
                <c:pt idx="503">
                  <c:v>45623</c:v>
                </c:pt>
                <c:pt idx="504">
                  <c:v>45624</c:v>
                </c:pt>
                <c:pt idx="505">
                  <c:v>45625</c:v>
                </c:pt>
                <c:pt idx="506">
                  <c:v>45628</c:v>
                </c:pt>
                <c:pt idx="507">
                  <c:v>45629</c:v>
                </c:pt>
                <c:pt idx="508">
                  <c:v>45630</c:v>
                </c:pt>
                <c:pt idx="509">
                  <c:v>45631</c:v>
                </c:pt>
                <c:pt idx="510">
                  <c:v>45632</c:v>
                </c:pt>
                <c:pt idx="511">
                  <c:v>45635</c:v>
                </c:pt>
                <c:pt idx="512">
                  <c:v>45636</c:v>
                </c:pt>
                <c:pt idx="513">
                  <c:v>45637</c:v>
                </c:pt>
                <c:pt idx="514">
                  <c:v>45638</c:v>
                </c:pt>
                <c:pt idx="515">
                  <c:v>45639</c:v>
                </c:pt>
                <c:pt idx="516">
                  <c:v>45642</c:v>
                </c:pt>
                <c:pt idx="517">
                  <c:v>45643</c:v>
                </c:pt>
                <c:pt idx="518">
                  <c:v>45644</c:v>
                </c:pt>
                <c:pt idx="519">
                  <c:v>45645</c:v>
                </c:pt>
                <c:pt idx="520">
                  <c:v>45646</c:v>
                </c:pt>
                <c:pt idx="521">
                  <c:v>45649</c:v>
                </c:pt>
                <c:pt idx="522">
                  <c:v>45650</c:v>
                </c:pt>
                <c:pt idx="523">
                  <c:v>45653</c:v>
                </c:pt>
                <c:pt idx="524">
                  <c:v>45656</c:v>
                </c:pt>
                <c:pt idx="525">
                  <c:v>45657</c:v>
                </c:pt>
                <c:pt idx="526">
                  <c:v>45659</c:v>
                </c:pt>
                <c:pt idx="527">
                  <c:v>45660</c:v>
                </c:pt>
                <c:pt idx="528">
                  <c:v>45663</c:v>
                </c:pt>
                <c:pt idx="529">
                  <c:v>45664</c:v>
                </c:pt>
                <c:pt idx="530">
                  <c:v>45665</c:v>
                </c:pt>
                <c:pt idx="531">
                  <c:v>45666</c:v>
                </c:pt>
                <c:pt idx="532">
                  <c:v>45667</c:v>
                </c:pt>
                <c:pt idx="533">
                  <c:v>45670</c:v>
                </c:pt>
                <c:pt idx="534">
                  <c:v>45671</c:v>
                </c:pt>
                <c:pt idx="535">
                  <c:v>45672</c:v>
                </c:pt>
                <c:pt idx="536">
                  <c:v>45673</c:v>
                </c:pt>
                <c:pt idx="537">
                  <c:v>45674</c:v>
                </c:pt>
                <c:pt idx="538">
                  <c:v>45677</c:v>
                </c:pt>
                <c:pt idx="539">
                  <c:v>45678</c:v>
                </c:pt>
                <c:pt idx="540">
                  <c:v>45679</c:v>
                </c:pt>
                <c:pt idx="541">
                  <c:v>45680</c:v>
                </c:pt>
                <c:pt idx="542">
                  <c:v>45681</c:v>
                </c:pt>
                <c:pt idx="543">
                  <c:v>45684</c:v>
                </c:pt>
                <c:pt idx="544">
                  <c:v>45685</c:v>
                </c:pt>
                <c:pt idx="545">
                  <c:v>45686</c:v>
                </c:pt>
                <c:pt idx="546">
                  <c:v>45687</c:v>
                </c:pt>
                <c:pt idx="547">
                  <c:v>45688</c:v>
                </c:pt>
                <c:pt idx="548">
                  <c:v>45691</c:v>
                </c:pt>
                <c:pt idx="549">
                  <c:v>45692</c:v>
                </c:pt>
                <c:pt idx="550">
                  <c:v>45693</c:v>
                </c:pt>
                <c:pt idx="551">
                  <c:v>45694</c:v>
                </c:pt>
                <c:pt idx="552">
                  <c:v>45695</c:v>
                </c:pt>
                <c:pt idx="553">
                  <c:v>45698</c:v>
                </c:pt>
                <c:pt idx="554">
                  <c:v>45699</c:v>
                </c:pt>
                <c:pt idx="555">
                  <c:v>45700</c:v>
                </c:pt>
                <c:pt idx="556">
                  <c:v>45701</c:v>
                </c:pt>
                <c:pt idx="557">
                  <c:v>45702</c:v>
                </c:pt>
                <c:pt idx="558">
                  <c:v>45705</c:v>
                </c:pt>
                <c:pt idx="559">
                  <c:v>45706</c:v>
                </c:pt>
                <c:pt idx="560">
                  <c:v>45707</c:v>
                </c:pt>
                <c:pt idx="561">
                  <c:v>45708</c:v>
                </c:pt>
                <c:pt idx="562">
                  <c:v>45709</c:v>
                </c:pt>
                <c:pt idx="563">
                  <c:v>45712</c:v>
                </c:pt>
                <c:pt idx="564">
                  <c:v>45713</c:v>
                </c:pt>
                <c:pt idx="565">
                  <c:v>45714</c:v>
                </c:pt>
                <c:pt idx="566">
                  <c:v>45715</c:v>
                </c:pt>
                <c:pt idx="567">
                  <c:v>45716</c:v>
                </c:pt>
                <c:pt idx="568">
                  <c:v>45719</c:v>
                </c:pt>
                <c:pt idx="569">
                  <c:v>45720</c:v>
                </c:pt>
                <c:pt idx="570">
                  <c:v>45721</c:v>
                </c:pt>
                <c:pt idx="571">
                  <c:v>45722</c:v>
                </c:pt>
                <c:pt idx="572">
                  <c:v>45723</c:v>
                </c:pt>
                <c:pt idx="573">
                  <c:v>45726</c:v>
                </c:pt>
                <c:pt idx="574">
                  <c:v>45727</c:v>
                </c:pt>
                <c:pt idx="575">
                  <c:v>45728</c:v>
                </c:pt>
                <c:pt idx="576">
                  <c:v>45729</c:v>
                </c:pt>
                <c:pt idx="577">
                  <c:v>45730</c:v>
                </c:pt>
                <c:pt idx="578">
                  <c:v>45733</c:v>
                </c:pt>
                <c:pt idx="579">
                  <c:v>45734</c:v>
                </c:pt>
                <c:pt idx="580">
                  <c:v>45735</c:v>
                </c:pt>
                <c:pt idx="581">
                  <c:v>45736</c:v>
                </c:pt>
                <c:pt idx="582">
                  <c:v>45737</c:v>
                </c:pt>
                <c:pt idx="583">
                  <c:v>45740</c:v>
                </c:pt>
                <c:pt idx="584">
                  <c:v>45741</c:v>
                </c:pt>
                <c:pt idx="585">
                  <c:v>45742</c:v>
                </c:pt>
                <c:pt idx="586">
                  <c:v>45743</c:v>
                </c:pt>
                <c:pt idx="587">
                  <c:v>45744</c:v>
                </c:pt>
                <c:pt idx="588">
                  <c:v>45747</c:v>
                </c:pt>
                <c:pt idx="589">
                  <c:v>45748</c:v>
                </c:pt>
                <c:pt idx="590">
                  <c:v>45749</c:v>
                </c:pt>
                <c:pt idx="591">
                  <c:v>45750</c:v>
                </c:pt>
                <c:pt idx="592">
                  <c:v>45751</c:v>
                </c:pt>
                <c:pt idx="593">
                  <c:v>45754</c:v>
                </c:pt>
                <c:pt idx="594">
                  <c:v>45755</c:v>
                </c:pt>
                <c:pt idx="595">
                  <c:v>45756</c:v>
                </c:pt>
                <c:pt idx="596">
                  <c:v>45757</c:v>
                </c:pt>
                <c:pt idx="597">
                  <c:v>45761</c:v>
                </c:pt>
                <c:pt idx="598">
                  <c:v>45762</c:v>
                </c:pt>
                <c:pt idx="599">
                  <c:v>45763</c:v>
                </c:pt>
                <c:pt idx="600">
                  <c:v>45764</c:v>
                </c:pt>
                <c:pt idx="601">
                  <c:v>45768</c:v>
                </c:pt>
                <c:pt idx="602">
                  <c:v>45771</c:v>
                </c:pt>
                <c:pt idx="603">
                  <c:v>45772</c:v>
                </c:pt>
                <c:pt idx="604">
                  <c:v>45775</c:v>
                </c:pt>
                <c:pt idx="605">
                  <c:v>45776</c:v>
                </c:pt>
                <c:pt idx="606">
                  <c:v>45784</c:v>
                </c:pt>
                <c:pt idx="607">
                  <c:v>45785</c:v>
                </c:pt>
                <c:pt idx="608">
                  <c:v>45789</c:v>
                </c:pt>
                <c:pt idx="609">
                  <c:v>45790</c:v>
                </c:pt>
                <c:pt idx="610">
                  <c:v>45796</c:v>
                </c:pt>
                <c:pt idx="611">
                  <c:v>45797</c:v>
                </c:pt>
                <c:pt idx="612">
                  <c:v>45798</c:v>
                </c:pt>
                <c:pt idx="613">
                  <c:v>45799</c:v>
                </c:pt>
                <c:pt idx="614">
                  <c:v>45800</c:v>
                </c:pt>
                <c:pt idx="615">
                  <c:v>45804</c:v>
                </c:pt>
                <c:pt idx="616">
                  <c:v>45805</c:v>
                </c:pt>
                <c:pt idx="617">
                  <c:v>45806</c:v>
                </c:pt>
                <c:pt idx="618">
                  <c:v>45807</c:v>
                </c:pt>
                <c:pt idx="619">
                  <c:v>45810</c:v>
                </c:pt>
                <c:pt idx="620">
                  <c:v>45811</c:v>
                </c:pt>
                <c:pt idx="621">
                  <c:v>45812</c:v>
                </c:pt>
                <c:pt idx="622">
                  <c:v>45813</c:v>
                </c:pt>
                <c:pt idx="623">
                  <c:v>45814</c:v>
                </c:pt>
                <c:pt idx="624">
                  <c:v>45817</c:v>
                </c:pt>
                <c:pt idx="625">
                  <c:v>45818</c:v>
                </c:pt>
                <c:pt idx="626">
                  <c:v>45819</c:v>
                </c:pt>
                <c:pt idx="627">
                  <c:v>45821</c:v>
                </c:pt>
                <c:pt idx="628">
                  <c:v>45824</c:v>
                </c:pt>
                <c:pt idx="629">
                  <c:v>45825</c:v>
                </c:pt>
                <c:pt idx="630">
                  <c:v>45826</c:v>
                </c:pt>
                <c:pt idx="631">
                  <c:v>45828</c:v>
                </c:pt>
                <c:pt idx="632">
                  <c:v>45831</c:v>
                </c:pt>
                <c:pt idx="633">
                  <c:v>45832</c:v>
                </c:pt>
                <c:pt idx="634">
                  <c:v>45833</c:v>
                </c:pt>
                <c:pt idx="635">
                  <c:v>45835</c:v>
                </c:pt>
                <c:pt idx="636">
                  <c:v>45838</c:v>
                </c:pt>
                <c:pt idx="637">
                  <c:v>45839</c:v>
                </c:pt>
                <c:pt idx="638">
                  <c:v>45840</c:v>
                </c:pt>
                <c:pt idx="639">
                  <c:v>45841</c:v>
                </c:pt>
                <c:pt idx="640">
                  <c:v>45845</c:v>
                </c:pt>
                <c:pt idx="641">
                  <c:v>45846</c:v>
                </c:pt>
                <c:pt idx="642">
                  <c:v>45847</c:v>
                </c:pt>
                <c:pt idx="643">
                  <c:v>45848</c:v>
                </c:pt>
                <c:pt idx="644">
                  <c:v>45849</c:v>
                </c:pt>
                <c:pt idx="645">
                  <c:v>45852</c:v>
                </c:pt>
                <c:pt idx="646">
                  <c:v>45853</c:v>
                </c:pt>
                <c:pt idx="647">
                  <c:v>45854</c:v>
                </c:pt>
                <c:pt idx="648">
                  <c:v>45855</c:v>
                </c:pt>
                <c:pt idx="649">
                  <c:v>45856</c:v>
                </c:pt>
                <c:pt idx="650">
                  <c:v>45859</c:v>
                </c:pt>
                <c:pt idx="651">
                  <c:v>45860</c:v>
                </c:pt>
                <c:pt idx="652">
                  <c:v>45861</c:v>
                </c:pt>
                <c:pt idx="653">
                  <c:v>45862</c:v>
                </c:pt>
                <c:pt idx="654">
                  <c:v>45863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45880</c:v>
                </c:pt>
                <c:pt idx="666">
                  <c:v>45881</c:v>
                </c:pt>
                <c:pt idx="667">
                  <c:v>45882</c:v>
                </c:pt>
                <c:pt idx="668">
                  <c:v>45883</c:v>
                </c:pt>
                <c:pt idx="669">
                  <c:v>45884</c:v>
                </c:pt>
                <c:pt idx="670">
                  <c:v>45887</c:v>
                </c:pt>
                <c:pt idx="671">
                  <c:v>45888</c:v>
                </c:pt>
                <c:pt idx="672">
                  <c:v>45889</c:v>
                </c:pt>
                <c:pt idx="673">
                  <c:v>45890</c:v>
                </c:pt>
                <c:pt idx="674">
                  <c:v>45891</c:v>
                </c:pt>
                <c:pt idx="675">
                  <c:v>45894</c:v>
                </c:pt>
                <c:pt idx="676">
                  <c:v>45895</c:v>
                </c:pt>
                <c:pt idx="677">
                  <c:v>45896</c:v>
                </c:pt>
                <c:pt idx="678">
                  <c:v>45897</c:v>
                </c:pt>
                <c:pt idx="679">
                  <c:v>45898</c:v>
                </c:pt>
                <c:pt idx="680">
                  <c:v>45901</c:v>
                </c:pt>
                <c:pt idx="681">
                  <c:v>45902</c:v>
                </c:pt>
                <c:pt idx="682">
                  <c:v>45903</c:v>
                </c:pt>
                <c:pt idx="683">
                  <c:v>45904</c:v>
                </c:pt>
                <c:pt idx="684">
                  <c:v>45905</c:v>
                </c:pt>
                <c:pt idx="685">
                  <c:v>45908</c:v>
                </c:pt>
                <c:pt idx="686">
                  <c:v>45909</c:v>
                </c:pt>
                <c:pt idx="687">
                  <c:v>45910</c:v>
                </c:pt>
                <c:pt idx="688">
                  <c:v>45911</c:v>
                </c:pt>
                <c:pt idx="689">
                  <c:v>45912</c:v>
                </c:pt>
                <c:pt idx="690">
                  <c:v>45915</c:v>
                </c:pt>
                <c:pt idx="691">
                  <c:v>45916</c:v>
                </c:pt>
                <c:pt idx="692">
                  <c:v>45917</c:v>
                </c:pt>
                <c:pt idx="693">
                  <c:v>45918</c:v>
                </c:pt>
              </c:numCache>
            </c:numRef>
          </c:cat>
          <c:val>
            <c:numRef>
              <c:f>Info!$I$4:$I$697</c:f>
              <c:numCache>
                <c:formatCode>0.00</c:formatCode>
                <c:ptCount val="694"/>
                <c:pt idx="0">
                  <c:v>0.52892566666666596</c:v>
                </c:pt>
                <c:pt idx="1">
                  <c:v>0.65726150000000061</c:v>
                </c:pt>
                <c:pt idx="2">
                  <c:v>6.1573600000000894E-2</c:v>
                </c:pt>
                <c:pt idx="3">
                  <c:v>-0.54647555555555627</c:v>
                </c:pt>
                <c:pt idx="4">
                  <c:v>-7.5262999999999636E-2</c:v>
                </c:pt>
                <c:pt idx="5">
                  <c:v>0.23938640000000078</c:v>
                </c:pt>
                <c:pt idx="6">
                  <c:v>0.19230833333333308</c:v>
                </c:pt>
                <c:pt idx="7">
                  <c:v>5.2227200000000806E-2</c:v>
                </c:pt>
                <c:pt idx="8">
                  <c:v>0.10060799999999936</c:v>
                </c:pt>
                <c:pt idx="9">
                  <c:v>-0.51912963333333373</c:v>
                </c:pt>
                <c:pt idx="10">
                  <c:v>-0.12014788888888717</c:v>
                </c:pt>
                <c:pt idx="11">
                  <c:v>-0.20906516666666697</c:v>
                </c:pt>
                <c:pt idx="12">
                  <c:v>-0.10612736666666578</c:v>
                </c:pt>
                <c:pt idx="13">
                  <c:v>-0.19116840000000046</c:v>
                </c:pt>
                <c:pt idx="14">
                  <c:v>0.26677088888888889</c:v>
                </c:pt>
                <c:pt idx="15">
                  <c:v>0.70772500000000083</c:v>
                </c:pt>
                <c:pt idx="16">
                  <c:v>0.35764999999999958</c:v>
                </c:pt>
                <c:pt idx="17">
                  <c:v>-0.2602443749999992</c:v>
                </c:pt>
                <c:pt idx="18">
                  <c:v>0.16715233333333313</c:v>
                </c:pt>
                <c:pt idx="19">
                  <c:v>5.7798222222222861E-2</c:v>
                </c:pt>
                <c:pt idx="20">
                  <c:v>2.971600000000052E-2</c:v>
                </c:pt>
                <c:pt idx="21">
                  <c:v>-6.0349777777776836E-2</c:v>
                </c:pt>
                <c:pt idx="22">
                  <c:v>-0.31100809722222156</c:v>
                </c:pt>
                <c:pt idx="23">
                  <c:v>4.0374083333333921E-2</c:v>
                </c:pt>
                <c:pt idx="24">
                  <c:v>-5.4312333333332852E-2</c:v>
                </c:pt>
                <c:pt idx="25">
                  <c:v>-0.28829555555555508</c:v>
                </c:pt>
                <c:pt idx="26">
                  <c:v>-0.45576899999999965</c:v>
                </c:pt>
                <c:pt idx="27">
                  <c:v>-0.42799833333333259</c:v>
                </c:pt>
                <c:pt idx="28">
                  <c:v>-0.28572688888888864</c:v>
                </c:pt>
                <c:pt idx="29">
                  <c:v>-0.37852311111111092</c:v>
                </c:pt>
                <c:pt idx="30">
                  <c:v>-0.43269633333333291</c:v>
                </c:pt>
                <c:pt idx="31">
                  <c:v>-0.79269466666666633</c:v>
                </c:pt>
                <c:pt idx="32">
                  <c:v>-0.82546399999999998</c:v>
                </c:pt>
                <c:pt idx="33">
                  <c:v>-0.58327822222222214</c:v>
                </c:pt>
                <c:pt idx="34">
                  <c:v>-0.35211199999999998</c:v>
                </c:pt>
                <c:pt idx="35">
                  <c:v>-0.42073066666666659</c:v>
                </c:pt>
                <c:pt idx="36">
                  <c:v>-0.48928944444444422</c:v>
                </c:pt>
                <c:pt idx="37">
                  <c:v>-0.27158466666666664</c:v>
                </c:pt>
                <c:pt idx="38">
                  <c:v>-0.23564933333333332</c:v>
                </c:pt>
                <c:pt idx="39">
                  <c:v>0.38408780555555389</c:v>
                </c:pt>
                <c:pt idx="40">
                  <c:v>0.42557788888888837</c:v>
                </c:pt>
                <c:pt idx="41">
                  <c:v>0.7158915555555545</c:v>
                </c:pt>
                <c:pt idx="42">
                  <c:v>0.11546449999999808</c:v>
                </c:pt>
                <c:pt idx="43">
                  <c:v>-0.60970960000000041</c:v>
                </c:pt>
                <c:pt idx="44">
                  <c:v>-0.30565900000000035</c:v>
                </c:pt>
                <c:pt idx="45">
                  <c:v>-7.8312399999999727E-2</c:v>
                </c:pt>
                <c:pt idx="46">
                  <c:v>-0.20953859999999835</c:v>
                </c:pt>
                <c:pt idx="47">
                  <c:v>-0.64115679999999919</c:v>
                </c:pt>
                <c:pt idx="48">
                  <c:v>-0.62482390000000088</c:v>
                </c:pt>
                <c:pt idx="49">
                  <c:v>-0.69399795555555244</c:v>
                </c:pt>
                <c:pt idx="50">
                  <c:v>-0.40295775000000056</c:v>
                </c:pt>
                <c:pt idx="51">
                  <c:v>-0.12048599999999965</c:v>
                </c:pt>
                <c:pt idx="52">
                  <c:v>-0.65191933333333374</c:v>
                </c:pt>
                <c:pt idx="53">
                  <c:v>-0.51149777777777672</c:v>
                </c:pt>
                <c:pt idx="54">
                  <c:v>-0.10450559166666729</c:v>
                </c:pt>
                <c:pt idx="55">
                  <c:v>-0.14035457777777616</c:v>
                </c:pt>
                <c:pt idx="56">
                  <c:v>-0.78822416666666673</c:v>
                </c:pt>
                <c:pt idx="57">
                  <c:v>-1.1534839999999997</c:v>
                </c:pt>
                <c:pt idx="58">
                  <c:v>-0.91218771666666587</c:v>
                </c:pt>
                <c:pt idx="59">
                  <c:v>-0.51622648888888989</c:v>
                </c:pt>
                <c:pt idx="60">
                  <c:v>-0.63361400000000057</c:v>
                </c:pt>
                <c:pt idx="61">
                  <c:v>-0.73968275555555607</c:v>
                </c:pt>
                <c:pt idx="62">
                  <c:v>-0.99978639999999963</c:v>
                </c:pt>
                <c:pt idx="63">
                  <c:v>-0.72241739999999854</c:v>
                </c:pt>
                <c:pt idx="64">
                  <c:v>-0.99445972222222334</c:v>
                </c:pt>
                <c:pt idx="65">
                  <c:v>-1.4799760000000006</c:v>
                </c:pt>
                <c:pt idx="66">
                  <c:v>-1.4302890416666667</c:v>
                </c:pt>
                <c:pt idx="67">
                  <c:v>-0.96126822222222241</c:v>
                </c:pt>
                <c:pt idx="68">
                  <c:v>7.216016666666647E-2</c:v>
                </c:pt>
                <c:pt idx="69">
                  <c:v>-0.35058390000000017</c:v>
                </c:pt>
                <c:pt idx="70">
                  <c:v>0.75121866666666648</c:v>
                </c:pt>
                <c:pt idx="71">
                  <c:v>0.31689599999999984</c:v>
                </c:pt>
                <c:pt idx="72">
                  <c:v>0.90196666666666614</c:v>
                </c:pt>
                <c:pt idx="73">
                  <c:v>1.433856</c:v>
                </c:pt>
                <c:pt idx="74">
                  <c:v>0.89528408333333331</c:v>
                </c:pt>
                <c:pt idx="75">
                  <c:v>0.61846138888888902</c:v>
                </c:pt>
                <c:pt idx="76">
                  <c:v>0.58135249999999994</c:v>
                </c:pt>
                <c:pt idx="77">
                  <c:v>0.85149166666666676</c:v>
                </c:pt>
                <c:pt idx="78">
                  <c:v>-0.25879861111111113</c:v>
                </c:pt>
                <c:pt idx="79">
                  <c:v>3.5888888888890857E-3</c:v>
                </c:pt>
                <c:pt idx="80">
                  <c:v>-0.56862499999999994</c:v>
                </c:pt>
                <c:pt idx="81">
                  <c:v>0.77459986388889135</c:v>
                </c:pt>
                <c:pt idx="82">
                  <c:v>1.4411736888888864</c:v>
                </c:pt>
                <c:pt idx="83">
                  <c:v>0.93818749999999795</c:v>
                </c:pt>
                <c:pt idx="84">
                  <c:v>1.7856222222222211</c:v>
                </c:pt>
                <c:pt idx="85">
                  <c:v>2.0864958333333306</c:v>
                </c:pt>
                <c:pt idx="86">
                  <c:v>1.9061805555555527</c:v>
                </c:pt>
                <c:pt idx="87">
                  <c:v>1.2824382944444466</c:v>
                </c:pt>
                <c:pt idx="88">
                  <c:v>1.3671333333333333</c:v>
                </c:pt>
                <c:pt idx="89">
                  <c:v>1.2486249999999988</c:v>
                </c:pt>
                <c:pt idx="90">
                  <c:v>1.4522944444444441</c:v>
                </c:pt>
                <c:pt idx="91">
                  <c:v>0.68428194444444124</c:v>
                </c:pt>
                <c:pt idx="92">
                  <c:v>0.10154166666666598</c:v>
                </c:pt>
                <c:pt idx="93">
                  <c:v>0.32638176388888951</c:v>
                </c:pt>
                <c:pt idx="94">
                  <c:v>0.81330222222222126</c:v>
                </c:pt>
                <c:pt idx="95">
                  <c:v>0.60736774999999987</c:v>
                </c:pt>
                <c:pt idx="96">
                  <c:v>0.40484299999999784</c:v>
                </c:pt>
                <c:pt idx="97">
                  <c:v>0.44336993055555496</c:v>
                </c:pt>
                <c:pt idx="98">
                  <c:v>0.81338422222222384</c:v>
                </c:pt>
                <c:pt idx="99">
                  <c:v>0.63475916666666699</c:v>
                </c:pt>
                <c:pt idx="100">
                  <c:v>0.34426388888888759</c:v>
                </c:pt>
                <c:pt idx="101">
                  <c:v>0.36522333333333279</c:v>
                </c:pt>
                <c:pt idx="102">
                  <c:v>1.0215556250000013</c:v>
                </c:pt>
                <c:pt idx="103">
                  <c:v>1.3230191666666666</c:v>
                </c:pt>
                <c:pt idx="104">
                  <c:v>1.5294654166666675</c:v>
                </c:pt>
                <c:pt idx="105">
                  <c:v>0.86915999999999993</c:v>
                </c:pt>
                <c:pt idx="106">
                  <c:v>0.82890416666666766</c:v>
                </c:pt>
                <c:pt idx="107">
                  <c:v>0.90435520833333438</c:v>
                </c:pt>
                <c:pt idx="108">
                  <c:v>0.37076062222222195</c:v>
                </c:pt>
                <c:pt idx="109">
                  <c:v>0.23093833333333347</c:v>
                </c:pt>
                <c:pt idx="110">
                  <c:v>0.20839886666666629</c:v>
                </c:pt>
                <c:pt idx="111">
                  <c:v>7.1714666666675697E-3</c:v>
                </c:pt>
                <c:pt idx="112">
                  <c:v>-0.30582166666666621</c:v>
                </c:pt>
                <c:pt idx="113">
                  <c:v>-0.29148584999999994</c:v>
                </c:pt>
                <c:pt idx="114">
                  <c:v>-0.35230231111111143</c:v>
                </c:pt>
                <c:pt idx="115">
                  <c:v>-0.12413264999999973</c:v>
                </c:pt>
                <c:pt idx="116">
                  <c:v>0.32336626666666635</c:v>
                </c:pt>
                <c:pt idx="117">
                  <c:v>0.1206195888888888</c:v>
                </c:pt>
                <c:pt idx="118">
                  <c:v>-0.2779112333333334</c:v>
                </c:pt>
                <c:pt idx="119">
                  <c:v>0.67012687500000112</c:v>
                </c:pt>
                <c:pt idx="120">
                  <c:v>0.67611250000000211</c:v>
                </c:pt>
                <c:pt idx="121">
                  <c:v>0.75455608333333757</c:v>
                </c:pt>
                <c:pt idx="122">
                  <c:v>0.74006955555555365</c:v>
                </c:pt>
                <c:pt idx="123">
                  <c:v>0.11438361111111206</c:v>
                </c:pt>
                <c:pt idx="124">
                  <c:v>0.3900160000000028</c:v>
                </c:pt>
                <c:pt idx="125">
                  <c:v>0.31964802777777557</c:v>
                </c:pt>
                <c:pt idx="126">
                  <c:v>9.5540277777777405E-2</c:v>
                </c:pt>
                <c:pt idx="127">
                  <c:v>0.41872337499999901</c:v>
                </c:pt>
                <c:pt idx="128">
                  <c:v>0.33407466666666963</c:v>
                </c:pt>
                <c:pt idx="129">
                  <c:v>0.47728208333333377</c:v>
                </c:pt>
                <c:pt idx="130">
                  <c:v>6.8928333333335701E-2</c:v>
                </c:pt>
                <c:pt idx="131">
                  <c:v>-0.34281125000000046</c:v>
                </c:pt>
                <c:pt idx="132">
                  <c:v>0.49291125000000058</c:v>
                </c:pt>
                <c:pt idx="133">
                  <c:v>0.28775499999999887</c:v>
                </c:pt>
                <c:pt idx="134">
                  <c:v>0.50421666666666809</c:v>
                </c:pt>
                <c:pt idx="135">
                  <c:v>-9.137812500000031E-2</c:v>
                </c:pt>
                <c:pt idx="136">
                  <c:v>0.20144750000000045</c:v>
                </c:pt>
                <c:pt idx="137">
                  <c:v>0.10048333333333304</c:v>
                </c:pt>
                <c:pt idx="138">
                  <c:v>7.3015222222222675E-2</c:v>
                </c:pt>
                <c:pt idx="139">
                  <c:v>0.20265608333333418</c:v>
                </c:pt>
                <c:pt idx="140">
                  <c:v>-8.559644444444281E-2</c:v>
                </c:pt>
                <c:pt idx="141">
                  <c:v>-0.14695388888888949</c:v>
                </c:pt>
                <c:pt idx="142">
                  <c:v>-2.94162499999997E-2</c:v>
                </c:pt>
                <c:pt idx="143">
                  <c:v>0.24438911111111228</c:v>
                </c:pt>
                <c:pt idx="144">
                  <c:v>0.22969044444444542</c:v>
                </c:pt>
                <c:pt idx="145">
                  <c:v>0.17403055555555547</c:v>
                </c:pt>
                <c:pt idx="146">
                  <c:v>3.7451777777778084E-2</c:v>
                </c:pt>
                <c:pt idx="147">
                  <c:v>2.5928166666666641E-2</c:v>
                </c:pt>
                <c:pt idx="148">
                  <c:v>-9.0478888888887887E-2</c:v>
                </c:pt>
                <c:pt idx="149">
                  <c:v>-0.12527245555555488</c:v>
                </c:pt>
                <c:pt idx="150">
                  <c:v>-6.5509999999999735E-3</c:v>
                </c:pt>
                <c:pt idx="151">
                  <c:v>0.1042028333333338</c:v>
                </c:pt>
                <c:pt idx="152">
                  <c:v>4.8877555555550956E-3</c:v>
                </c:pt>
                <c:pt idx="153">
                  <c:v>-0.12702866666666646</c:v>
                </c:pt>
                <c:pt idx="154">
                  <c:v>0.17128266666666647</c:v>
                </c:pt>
                <c:pt idx="155">
                  <c:v>0.2687426666666668</c:v>
                </c:pt>
                <c:pt idx="156">
                  <c:v>0.25844766666666663</c:v>
                </c:pt>
                <c:pt idx="157">
                  <c:v>5.9037416666666509E-2</c:v>
                </c:pt>
                <c:pt idx="158">
                  <c:v>0.13203241666666665</c:v>
                </c:pt>
                <c:pt idx="159">
                  <c:v>-6.0074444444444541E-2</c:v>
                </c:pt>
                <c:pt idx="160">
                  <c:v>-0.17228605555555543</c:v>
                </c:pt>
                <c:pt idx="161">
                  <c:v>1.3005799999999965</c:v>
                </c:pt>
                <c:pt idx="162">
                  <c:v>0.84761446666666274</c:v>
                </c:pt>
                <c:pt idx="163">
                  <c:v>1.0484438999999952</c:v>
                </c:pt>
                <c:pt idx="164">
                  <c:v>1.0065866666666707</c:v>
                </c:pt>
                <c:pt idx="165">
                  <c:v>0.69118111111111347</c:v>
                </c:pt>
                <c:pt idx="166">
                  <c:v>0.70096177777777768</c:v>
                </c:pt>
                <c:pt idx="167">
                  <c:v>0.6434988888888924</c:v>
                </c:pt>
                <c:pt idx="168">
                  <c:v>0.35833600000000843</c:v>
                </c:pt>
                <c:pt idx="169">
                  <c:v>0.47942139999999966</c:v>
                </c:pt>
                <c:pt idx="170">
                  <c:v>0.48409635555555752</c:v>
                </c:pt>
                <c:pt idx="171">
                  <c:v>0.24655604444444634</c:v>
                </c:pt>
                <c:pt idx="172">
                  <c:v>0.22107040000000566</c:v>
                </c:pt>
                <c:pt idx="173">
                  <c:v>0.3274297500000003</c:v>
                </c:pt>
                <c:pt idx="174">
                  <c:v>0.51815000000000211</c:v>
                </c:pt>
                <c:pt idx="175">
                  <c:v>0.17632562500000049</c:v>
                </c:pt>
                <c:pt idx="176">
                  <c:v>-0.11128674999999788</c:v>
                </c:pt>
                <c:pt idx="177">
                  <c:v>-0.26813112500000358</c:v>
                </c:pt>
                <c:pt idx="178">
                  <c:v>-0.31350416666667158</c:v>
                </c:pt>
                <c:pt idx="179">
                  <c:v>-0.16028850000000006</c:v>
                </c:pt>
                <c:pt idx="180">
                  <c:v>0.11028966666666662</c:v>
                </c:pt>
                <c:pt idx="181">
                  <c:v>2.0779249999996807E-2</c:v>
                </c:pt>
                <c:pt idx="182">
                  <c:v>0.14426100000000019</c:v>
                </c:pt>
                <c:pt idx="183">
                  <c:v>0.41922433333333586</c:v>
                </c:pt>
                <c:pt idx="184">
                  <c:v>0.60086900000000298</c:v>
                </c:pt>
                <c:pt idx="185">
                  <c:v>0.4772016249999993</c:v>
                </c:pt>
                <c:pt idx="186">
                  <c:v>0.27894525000000314</c:v>
                </c:pt>
                <c:pt idx="187">
                  <c:v>0.54316841666666349</c:v>
                </c:pt>
                <c:pt idx="188">
                  <c:v>0.25980250000000282</c:v>
                </c:pt>
                <c:pt idx="189">
                  <c:v>0.18054799999999815</c:v>
                </c:pt>
                <c:pt idx="190">
                  <c:v>0.12799599999999955</c:v>
                </c:pt>
                <c:pt idx="191">
                  <c:v>0.33134666666666845</c:v>
                </c:pt>
                <c:pt idx="192">
                  <c:v>0.28327455555555758</c:v>
                </c:pt>
                <c:pt idx="193">
                  <c:v>0.10274674999999789</c:v>
                </c:pt>
                <c:pt idx="194">
                  <c:v>5.7151166666670861E-2</c:v>
                </c:pt>
                <c:pt idx="195">
                  <c:v>-6.1557499999977949E-3</c:v>
                </c:pt>
                <c:pt idx="196">
                  <c:v>0.33812240277777761</c:v>
                </c:pt>
                <c:pt idx="197">
                  <c:v>-0.17223999999999862</c:v>
                </c:pt>
                <c:pt idx="198">
                  <c:v>0.15010888888889085</c:v>
                </c:pt>
                <c:pt idx="199">
                  <c:v>0.55651388888888675</c:v>
                </c:pt>
                <c:pt idx="200">
                  <c:v>0.24646194444444447</c:v>
                </c:pt>
                <c:pt idx="201">
                  <c:v>0.38726416666666807</c:v>
                </c:pt>
                <c:pt idx="202">
                  <c:v>0.27384999999999948</c:v>
                </c:pt>
                <c:pt idx="203">
                  <c:v>-8.413333333333739E-2</c:v>
                </c:pt>
                <c:pt idx="204">
                  <c:v>1.7599200000002924E-2</c:v>
                </c:pt>
                <c:pt idx="205">
                  <c:v>1.7520666666669626E-2</c:v>
                </c:pt>
                <c:pt idx="206">
                  <c:v>-0.1118604583333358</c:v>
                </c:pt>
                <c:pt idx="207">
                  <c:v>-0.25111897222222268</c:v>
                </c:pt>
                <c:pt idx="208">
                  <c:v>-8.6821000000000481E-2</c:v>
                </c:pt>
                <c:pt idx="209">
                  <c:v>-0.19942399999999871</c:v>
                </c:pt>
                <c:pt idx="210">
                  <c:v>-0.49834000000000067</c:v>
                </c:pt>
                <c:pt idx="211">
                  <c:v>-0.52252650000000145</c:v>
                </c:pt>
                <c:pt idx="212">
                  <c:v>-1.1716363750000003</c:v>
                </c:pt>
                <c:pt idx="213">
                  <c:v>-0.58219444444444512</c:v>
                </c:pt>
                <c:pt idx="214">
                  <c:v>-0.50410661111110855</c:v>
                </c:pt>
                <c:pt idx="215">
                  <c:v>-0.41481194444444469</c:v>
                </c:pt>
                <c:pt idx="216">
                  <c:v>-0.16733624999999996</c:v>
                </c:pt>
                <c:pt idx="217">
                  <c:v>-0.19066555555555453</c:v>
                </c:pt>
                <c:pt idx="218">
                  <c:v>8.0632416666665208E-2</c:v>
                </c:pt>
                <c:pt idx="219">
                  <c:v>0.16682791666666752</c:v>
                </c:pt>
                <c:pt idx="220">
                  <c:v>-5.7540916666667385E-2</c:v>
                </c:pt>
                <c:pt idx="221">
                  <c:v>0.40144611111111139</c:v>
                </c:pt>
                <c:pt idx="222">
                  <c:v>4.7917361111110779E-2</c:v>
                </c:pt>
                <c:pt idx="223">
                  <c:v>0.3596649999999979</c:v>
                </c:pt>
                <c:pt idx="224">
                  <c:v>0.36399722222222053</c:v>
                </c:pt>
                <c:pt idx="225">
                  <c:v>0.3969733333333334</c:v>
                </c:pt>
                <c:pt idx="226">
                  <c:v>0.19760874999999878</c:v>
                </c:pt>
                <c:pt idx="227">
                  <c:v>0.35120833333333401</c:v>
                </c:pt>
                <c:pt idx="228">
                  <c:v>0.36030944444444302</c:v>
                </c:pt>
                <c:pt idx="229">
                  <c:v>0.21917722222222125</c:v>
                </c:pt>
                <c:pt idx="230">
                  <c:v>1.5423611111110347E-2</c:v>
                </c:pt>
                <c:pt idx="231">
                  <c:v>0.32018533333333288</c:v>
                </c:pt>
                <c:pt idx="232">
                  <c:v>-5.0964166666665811E-2</c:v>
                </c:pt>
                <c:pt idx="233">
                  <c:v>-0.3195402777777776</c:v>
                </c:pt>
                <c:pt idx="234">
                  <c:v>-0.15689166666666754</c:v>
                </c:pt>
                <c:pt idx="235">
                  <c:v>-0.38601250000000054</c:v>
                </c:pt>
                <c:pt idx="236">
                  <c:v>-0.57080644444444406</c:v>
                </c:pt>
                <c:pt idx="237">
                  <c:v>-0.35913777777777778</c:v>
                </c:pt>
                <c:pt idx="238">
                  <c:v>-0.30149791666666648</c:v>
                </c:pt>
                <c:pt idx="239">
                  <c:v>-0.29190138888888884</c:v>
                </c:pt>
                <c:pt idx="240">
                  <c:v>-0.42901250000000024</c:v>
                </c:pt>
                <c:pt idx="241">
                  <c:v>-0.42625277777777759</c:v>
                </c:pt>
                <c:pt idx="242">
                  <c:v>-0.36929800000000057</c:v>
                </c:pt>
                <c:pt idx="243">
                  <c:v>-0.47591577777777805</c:v>
                </c:pt>
                <c:pt idx="244">
                  <c:v>0.36167199999999999</c:v>
                </c:pt>
                <c:pt idx="245">
                  <c:v>0.36037777777777769</c:v>
                </c:pt>
                <c:pt idx="246">
                  <c:v>-0.13371600000000006</c:v>
                </c:pt>
                <c:pt idx="247">
                  <c:v>-0.1266182222222223</c:v>
                </c:pt>
                <c:pt idx="248">
                  <c:v>0.99849400000000088</c:v>
                </c:pt>
                <c:pt idx="249">
                  <c:v>0.28444088888888786</c:v>
                </c:pt>
                <c:pt idx="250">
                  <c:v>0.31028155555555159</c:v>
                </c:pt>
                <c:pt idx="251">
                  <c:v>0.20397066666666674</c:v>
                </c:pt>
                <c:pt idx="252">
                  <c:v>0.24514691666666266</c:v>
                </c:pt>
                <c:pt idx="253">
                  <c:v>0.55206933333333552</c:v>
                </c:pt>
                <c:pt idx="254">
                  <c:v>0.51556493055555208</c:v>
                </c:pt>
                <c:pt idx="255">
                  <c:v>0.44543094444444264</c:v>
                </c:pt>
                <c:pt idx="256">
                  <c:v>0.25428720833333429</c:v>
                </c:pt>
                <c:pt idx="257">
                  <c:v>-0.19774791666666935</c:v>
                </c:pt>
                <c:pt idx="258">
                  <c:v>-0.16932499444444282</c:v>
                </c:pt>
                <c:pt idx="259">
                  <c:v>-0.62156826666666909</c:v>
                </c:pt>
                <c:pt idx="260">
                  <c:v>-0.33088350000000055</c:v>
                </c:pt>
                <c:pt idx="261">
                  <c:v>0.10277037777777842</c:v>
                </c:pt>
                <c:pt idx="262">
                  <c:v>0.36771035833333165</c:v>
                </c:pt>
                <c:pt idx="263">
                  <c:v>0.19830108333333207</c:v>
                </c:pt>
                <c:pt idx="264">
                  <c:v>0.39051654999999919</c:v>
                </c:pt>
                <c:pt idx="265">
                  <c:v>0.58359899999999776</c:v>
                </c:pt>
                <c:pt idx="266">
                  <c:v>0.62271250000000045</c:v>
                </c:pt>
                <c:pt idx="267">
                  <c:v>-5.9632291666666504E-2</c:v>
                </c:pt>
                <c:pt idx="268">
                  <c:v>0.31428252777777921</c:v>
                </c:pt>
                <c:pt idx="269">
                  <c:v>0.39491349999999947</c:v>
                </c:pt>
                <c:pt idx="270">
                  <c:v>9.3667999999999196E-2</c:v>
                </c:pt>
                <c:pt idx="271">
                  <c:v>-6.791466666666679E-2</c:v>
                </c:pt>
                <c:pt idx="272">
                  <c:v>-0.27425799999999967</c:v>
                </c:pt>
                <c:pt idx="273">
                  <c:v>-0.4296266666666666</c:v>
                </c:pt>
                <c:pt idx="274">
                  <c:v>-0.31816555555555581</c:v>
                </c:pt>
                <c:pt idx="275">
                  <c:v>-0.65247502777777822</c:v>
                </c:pt>
                <c:pt idx="276">
                  <c:v>-0.62672933333333436</c:v>
                </c:pt>
                <c:pt idx="277">
                  <c:v>-0.58813822222222267</c:v>
                </c:pt>
                <c:pt idx="278">
                  <c:v>-0.54973155555555575</c:v>
                </c:pt>
                <c:pt idx="279">
                  <c:v>-8.1139999999999546E-2</c:v>
                </c:pt>
                <c:pt idx="280">
                  <c:v>-9.8616666666666575E-2</c:v>
                </c:pt>
                <c:pt idx="281">
                  <c:v>-0.49916588888888924</c:v>
                </c:pt>
                <c:pt idx="282">
                  <c:v>-0.64841145833333291</c:v>
                </c:pt>
                <c:pt idx="283">
                  <c:v>-0.89121388888888831</c:v>
                </c:pt>
                <c:pt idx="284">
                  <c:v>-0.43907425</c:v>
                </c:pt>
                <c:pt idx="285">
                  <c:v>-0.70357666666666696</c:v>
                </c:pt>
                <c:pt idx="286">
                  <c:v>-0.61101488888888911</c:v>
                </c:pt>
                <c:pt idx="287">
                  <c:v>-0.79571858333333334</c:v>
                </c:pt>
                <c:pt idx="288">
                  <c:v>-0.80095783333333337</c:v>
                </c:pt>
                <c:pt idx="289">
                  <c:v>-0.69994900000000004</c:v>
                </c:pt>
                <c:pt idx="290">
                  <c:v>0.44999999999999929</c:v>
                </c:pt>
                <c:pt idx="291">
                  <c:v>0.20641166666666777</c:v>
                </c:pt>
                <c:pt idx="292">
                  <c:v>0.38422626666666559</c:v>
                </c:pt>
                <c:pt idx="293">
                  <c:v>0.29791655555555607</c:v>
                </c:pt>
                <c:pt idx="294">
                  <c:v>0.12779500000000255</c:v>
                </c:pt>
                <c:pt idx="295">
                  <c:v>0.30037550000000124</c:v>
                </c:pt>
                <c:pt idx="296">
                  <c:v>0.21245205555555557</c:v>
                </c:pt>
                <c:pt idx="297">
                  <c:v>0.46818844444444707</c:v>
                </c:pt>
                <c:pt idx="298">
                  <c:v>0.22319877777777997</c:v>
                </c:pt>
                <c:pt idx="299">
                  <c:v>0.29522933333333157</c:v>
                </c:pt>
                <c:pt idx="300">
                  <c:v>-0.6094881249999986</c:v>
                </c:pt>
                <c:pt idx="301">
                  <c:v>-0.8253948611111106</c:v>
                </c:pt>
                <c:pt idx="302">
                  <c:v>-1.0999999999999996</c:v>
                </c:pt>
                <c:pt idx="303">
                  <c:v>-0.71292055555555578</c:v>
                </c:pt>
                <c:pt idx="304">
                  <c:v>-0.46967388888888628</c:v>
                </c:pt>
                <c:pt idx="305">
                  <c:v>-0.5911927777777759</c:v>
                </c:pt>
                <c:pt idx="306">
                  <c:v>-0.73314295833333354</c:v>
                </c:pt>
                <c:pt idx="307">
                  <c:v>-0.44121574999999957</c:v>
                </c:pt>
                <c:pt idx="308">
                  <c:v>-0.42963965277777838</c:v>
                </c:pt>
                <c:pt idx="309">
                  <c:v>-0.6844238888888885</c:v>
                </c:pt>
                <c:pt idx="310">
                  <c:v>-0.64877889999999816</c:v>
                </c:pt>
                <c:pt idx="311">
                  <c:v>-0.34215786666666759</c:v>
                </c:pt>
                <c:pt idx="312">
                  <c:v>-1.0132167083333332</c:v>
                </c:pt>
                <c:pt idx="313">
                  <c:v>-0.23376033333333268</c:v>
                </c:pt>
                <c:pt idx="314">
                  <c:v>-8.2691699999999813E-2</c:v>
                </c:pt>
                <c:pt idx="315">
                  <c:v>0.16993126222222266</c:v>
                </c:pt>
                <c:pt idx="316">
                  <c:v>9.0293888888888674E-2</c:v>
                </c:pt>
                <c:pt idx="317">
                  <c:v>0.33790960000000059</c:v>
                </c:pt>
                <c:pt idx="318">
                  <c:v>0.45826334999999929</c:v>
                </c:pt>
                <c:pt idx="319">
                  <c:v>0.19051833333333335</c:v>
                </c:pt>
                <c:pt idx="320">
                  <c:v>2.9162500000000868E-2</c:v>
                </c:pt>
                <c:pt idx="321">
                  <c:v>0.17248199999999958</c:v>
                </c:pt>
                <c:pt idx="322">
                  <c:v>-0.19474549999999979</c:v>
                </c:pt>
                <c:pt idx="323">
                  <c:v>-0.24059900000000045</c:v>
                </c:pt>
                <c:pt idx="324">
                  <c:v>-0.35400499999999946</c:v>
                </c:pt>
                <c:pt idx="325">
                  <c:v>-0.19584920000000006</c:v>
                </c:pt>
                <c:pt idx="326">
                  <c:v>-0.26002350000000085</c:v>
                </c:pt>
                <c:pt idx="327">
                  <c:v>-0.37958500000000006</c:v>
                </c:pt>
                <c:pt idx="328">
                  <c:v>-0.19039649999999986</c:v>
                </c:pt>
                <c:pt idx="329">
                  <c:v>-0.34889599999999965</c:v>
                </c:pt>
                <c:pt idx="330">
                  <c:v>-0.72887249999999992</c:v>
                </c:pt>
                <c:pt idx="331">
                  <c:v>-0.81454266666666686</c:v>
                </c:pt>
                <c:pt idx="332">
                  <c:v>0.17505551666666364</c:v>
                </c:pt>
                <c:pt idx="333">
                  <c:v>-1.666222500000103E-2</c:v>
                </c:pt>
                <c:pt idx="334">
                  <c:v>-0.2900634999999987</c:v>
                </c:pt>
                <c:pt idx="335">
                  <c:v>-0.11808333333333465</c:v>
                </c:pt>
                <c:pt idx="336">
                  <c:v>-8.0653333333202681E-4</c:v>
                </c:pt>
                <c:pt idx="337">
                  <c:v>-2.7217708333335366E-2</c:v>
                </c:pt>
                <c:pt idx="338">
                  <c:v>-0.18648480000000234</c:v>
                </c:pt>
                <c:pt idx="339">
                  <c:v>5.6846399999997743E-2</c:v>
                </c:pt>
                <c:pt idx="340">
                  <c:v>-7.4081555555551404E-2</c:v>
                </c:pt>
                <c:pt idx="341">
                  <c:v>-0.29948516666666336</c:v>
                </c:pt>
                <c:pt idx="342">
                  <c:v>-0.83575533333333141</c:v>
                </c:pt>
                <c:pt idx="343">
                  <c:v>-0.80254700000000057</c:v>
                </c:pt>
                <c:pt idx="344">
                  <c:v>-0.24194099999999708</c:v>
                </c:pt>
                <c:pt idx="345">
                  <c:v>-0.83688500000000055</c:v>
                </c:pt>
                <c:pt idx="346">
                  <c:v>-1.1267293333333335</c:v>
                </c:pt>
                <c:pt idx="347">
                  <c:v>-0.49309444444444495</c:v>
                </c:pt>
                <c:pt idx="348">
                  <c:v>-0.45959308333333304</c:v>
                </c:pt>
                <c:pt idx="349">
                  <c:v>-0.92441130555555517</c:v>
                </c:pt>
                <c:pt idx="350">
                  <c:v>4.1201527777777969E-2</c:v>
                </c:pt>
                <c:pt idx="351">
                  <c:v>0.29975813333333257</c:v>
                </c:pt>
                <c:pt idx="352">
                  <c:v>-0.77561916666666519</c:v>
                </c:pt>
                <c:pt idx="353">
                  <c:v>-0.63818888888888914</c:v>
                </c:pt>
                <c:pt idx="354">
                  <c:v>-0.98569388888888909</c:v>
                </c:pt>
                <c:pt idx="355">
                  <c:v>-0.90329875000000115</c:v>
                </c:pt>
                <c:pt idx="356">
                  <c:v>-0.8430227777777759</c:v>
                </c:pt>
                <c:pt idx="357">
                  <c:v>-1.3977568222222212</c:v>
                </c:pt>
                <c:pt idx="358">
                  <c:v>-1.3385763888888889</c:v>
                </c:pt>
                <c:pt idx="359">
                  <c:v>-0.96578333333333255</c:v>
                </c:pt>
                <c:pt idx="360">
                  <c:v>-0.52780874999999927</c:v>
                </c:pt>
                <c:pt idx="361">
                  <c:v>-0.31263888888888847</c:v>
                </c:pt>
                <c:pt idx="362">
                  <c:v>-0.38181777777777803</c:v>
                </c:pt>
                <c:pt idx="363">
                  <c:v>-0.73483000000000054</c:v>
                </c:pt>
                <c:pt idx="364">
                  <c:v>-0.39694624999999917</c:v>
                </c:pt>
                <c:pt idx="365">
                  <c:v>-0.48383944444444538</c:v>
                </c:pt>
                <c:pt idx="366">
                  <c:v>-0.69689527777777727</c:v>
                </c:pt>
                <c:pt idx="367">
                  <c:v>-0.14640166666666676</c:v>
                </c:pt>
                <c:pt idx="368">
                  <c:v>-0.28350433333333314</c:v>
                </c:pt>
                <c:pt idx="369">
                  <c:v>0.15242999999999984</c:v>
                </c:pt>
                <c:pt idx="370">
                  <c:v>-0.24292839999999982</c:v>
                </c:pt>
                <c:pt idx="371">
                  <c:v>-0.28926966666666631</c:v>
                </c:pt>
                <c:pt idx="372">
                  <c:v>-0.40241033333333309</c:v>
                </c:pt>
                <c:pt idx="373">
                  <c:v>-0.54827013333333341</c:v>
                </c:pt>
                <c:pt idx="374">
                  <c:v>-0.17553519999999978</c:v>
                </c:pt>
                <c:pt idx="375">
                  <c:v>0.20302673333332777</c:v>
                </c:pt>
                <c:pt idx="376">
                  <c:v>0.6022785333333367</c:v>
                </c:pt>
                <c:pt idx="377">
                  <c:v>-4.5554999999996681E-2</c:v>
                </c:pt>
                <c:pt idx="378">
                  <c:v>0.11874079999999765</c:v>
                </c:pt>
                <c:pt idx="379">
                  <c:v>-0.11319866666666911</c:v>
                </c:pt>
                <c:pt idx="380">
                  <c:v>5.4881600000005193E-2</c:v>
                </c:pt>
                <c:pt idx="381">
                  <c:v>0.1626404000000008</c:v>
                </c:pt>
                <c:pt idx="382">
                  <c:v>-0.15626888888889212</c:v>
                </c:pt>
                <c:pt idx="383">
                  <c:v>-0.34539430555555484</c:v>
                </c:pt>
                <c:pt idx="384">
                  <c:v>5.1453333333313367E-3</c:v>
                </c:pt>
                <c:pt idx="385">
                  <c:v>0.14496412500000133</c:v>
                </c:pt>
                <c:pt idx="386">
                  <c:v>-9.7668533333333585E-2</c:v>
                </c:pt>
                <c:pt idx="387">
                  <c:v>-0.32465803333333199</c:v>
                </c:pt>
                <c:pt idx="388">
                  <c:v>-0.13866020000000034</c:v>
                </c:pt>
                <c:pt idx="389">
                  <c:v>-0.85075977777777823</c:v>
                </c:pt>
                <c:pt idx="390">
                  <c:v>-7.707330555555636E-2</c:v>
                </c:pt>
                <c:pt idx="391">
                  <c:v>0.49368702777777784</c:v>
                </c:pt>
                <c:pt idx="392">
                  <c:v>0.72946449999999885</c:v>
                </c:pt>
                <c:pt idx="393">
                  <c:v>6.4131972222222444E-2</c:v>
                </c:pt>
                <c:pt idx="394">
                  <c:v>-2.2911538888889638E-2</c:v>
                </c:pt>
                <c:pt idx="395">
                  <c:v>-0.30434357500000075</c:v>
                </c:pt>
                <c:pt idx="396">
                  <c:v>-0.12549166666666522</c:v>
                </c:pt>
                <c:pt idx="397">
                  <c:v>-0.1440430000000017</c:v>
                </c:pt>
                <c:pt idx="398">
                  <c:v>-0.37408060000000098</c:v>
                </c:pt>
                <c:pt idx="399">
                  <c:v>0.7577240000000014</c:v>
                </c:pt>
                <c:pt idx="400">
                  <c:v>-0.39406286666666723</c:v>
                </c:pt>
                <c:pt idx="401">
                  <c:v>-0.57521795555555588</c:v>
                </c:pt>
                <c:pt idx="402">
                  <c:v>-0.46488115000000008</c:v>
                </c:pt>
                <c:pt idx="403">
                  <c:v>-0.48478875000000166</c:v>
                </c:pt>
                <c:pt idx="404">
                  <c:v>-0.69551666666666723</c:v>
                </c:pt>
                <c:pt idx="405">
                  <c:v>-0.77353833333333366</c:v>
                </c:pt>
                <c:pt idx="406">
                  <c:v>-0.93747653333333325</c:v>
                </c:pt>
                <c:pt idx="407">
                  <c:v>-0.80149937499999968</c:v>
                </c:pt>
                <c:pt idx="408">
                  <c:v>-0.67312733333333341</c:v>
                </c:pt>
                <c:pt idx="409">
                  <c:v>-0.26100941666666611</c:v>
                </c:pt>
                <c:pt idx="410">
                  <c:v>-0.471376666666667</c:v>
                </c:pt>
                <c:pt idx="411">
                  <c:v>-1.0911723750000002</c:v>
                </c:pt>
                <c:pt idx="412">
                  <c:v>-1.3291655555555559</c:v>
                </c:pt>
                <c:pt idx="413">
                  <c:v>-1.3863469333333331</c:v>
                </c:pt>
                <c:pt idx="414">
                  <c:v>-1.1898993333333334</c:v>
                </c:pt>
                <c:pt idx="415">
                  <c:v>-1.5798157333333331</c:v>
                </c:pt>
                <c:pt idx="416">
                  <c:v>-1.44505025</c:v>
                </c:pt>
                <c:pt idx="417">
                  <c:v>0.74345550000000316</c:v>
                </c:pt>
                <c:pt idx="418">
                  <c:v>0.30926741666666402</c:v>
                </c:pt>
                <c:pt idx="419">
                  <c:v>-0.20581222222222095</c:v>
                </c:pt>
                <c:pt idx="420">
                  <c:v>0.4299465833333258</c:v>
                </c:pt>
                <c:pt idx="421">
                  <c:v>0.95465200000000294</c:v>
                </c:pt>
                <c:pt idx="422">
                  <c:v>0.53599967499999934</c:v>
                </c:pt>
                <c:pt idx="423">
                  <c:v>0.64048266666667075</c:v>
                </c:pt>
                <c:pt idx="424">
                  <c:v>0.71705111111111108</c:v>
                </c:pt>
                <c:pt idx="425">
                  <c:v>0.42795911111111451</c:v>
                </c:pt>
                <c:pt idx="426">
                  <c:v>0.61783600000000405</c:v>
                </c:pt>
                <c:pt idx="427">
                  <c:v>0.20836666666666304</c:v>
                </c:pt>
                <c:pt idx="428">
                  <c:v>0.93742533333334421</c:v>
                </c:pt>
                <c:pt idx="429">
                  <c:v>0.49323350000000232</c:v>
                </c:pt>
                <c:pt idx="430">
                  <c:v>8.0403125000003683E-2</c:v>
                </c:pt>
                <c:pt idx="431">
                  <c:v>0.96184833333333586</c:v>
                </c:pt>
                <c:pt idx="432">
                  <c:v>0.62537633333333531</c:v>
                </c:pt>
                <c:pt idx="433">
                  <c:v>0.39210158333333567</c:v>
                </c:pt>
                <c:pt idx="434">
                  <c:v>0.38717233333333922</c:v>
                </c:pt>
                <c:pt idx="435">
                  <c:v>8.1638541666670505E-2</c:v>
                </c:pt>
                <c:pt idx="436">
                  <c:v>0.15371600000000285</c:v>
                </c:pt>
                <c:pt idx="437">
                  <c:v>0.17754773333332707</c:v>
                </c:pt>
                <c:pt idx="438">
                  <c:v>9.0104444444442322E-2</c:v>
                </c:pt>
                <c:pt idx="439">
                  <c:v>0.13898049999999529</c:v>
                </c:pt>
                <c:pt idx="440">
                  <c:v>-0.10855000000000103</c:v>
                </c:pt>
                <c:pt idx="441">
                  <c:v>0.93186268611110989</c:v>
                </c:pt>
                <c:pt idx="442">
                  <c:v>0.78203000833332936</c:v>
                </c:pt>
                <c:pt idx="443">
                  <c:v>0.25140620000000169</c:v>
                </c:pt>
                <c:pt idx="444">
                  <c:v>0.33868483333333899</c:v>
                </c:pt>
                <c:pt idx="445">
                  <c:v>0.13310719999999776</c:v>
                </c:pt>
                <c:pt idx="446">
                  <c:v>1.9462399999998325E-2</c:v>
                </c:pt>
                <c:pt idx="447">
                  <c:v>7.0039466666663941E-2</c:v>
                </c:pt>
                <c:pt idx="448">
                  <c:v>0.20727039999999519</c:v>
                </c:pt>
                <c:pt idx="449">
                  <c:v>0.42175288888888929</c:v>
                </c:pt>
                <c:pt idx="450">
                  <c:v>0.22402097222222395</c:v>
                </c:pt>
                <c:pt idx="451">
                  <c:v>7.4672777777784916E-2</c:v>
                </c:pt>
                <c:pt idx="452">
                  <c:v>0.52287187499999987</c:v>
                </c:pt>
                <c:pt idx="453">
                  <c:v>0.32152750000000196</c:v>
                </c:pt>
                <c:pt idx="454">
                  <c:v>0.59605079166666641</c:v>
                </c:pt>
                <c:pt idx="455">
                  <c:v>0.20024572222222758</c:v>
                </c:pt>
                <c:pt idx="456">
                  <c:v>0.22289190000000048</c:v>
                </c:pt>
                <c:pt idx="457">
                  <c:v>7.3199999999999932E-2</c:v>
                </c:pt>
                <c:pt idx="458">
                  <c:v>0.32146625000000029</c:v>
                </c:pt>
                <c:pt idx="459">
                  <c:v>0.63227150000000165</c:v>
                </c:pt>
                <c:pt idx="460">
                  <c:v>8.4341500000000735E-2</c:v>
                </c:pt>
                <c:pt idx="461">
                  <c:v>0.39631200000000533</c:v>
                </c:pt>
                <c:pt idx="462">
                  <c:v>4.8875194444441661E-2</c:v>
                </c:pt>
                <c:pt idx="463">
                  <c:v>0.2722241666666676</c:v>
                </c:pt>
                <c:pt idx="464">
                  <c:v>0.36710712499999687</c:v>
                </c:pt>
                <c:pt idx="465">
                  <c:v>3.8843911111111851E-2</c:v>
                </c:pt>
                <c:pt idx="466">
                  <c:v>0.17269111111111002</c:v>
                </c:pt>
                <c:pt idx="467">
                  <c:v>0.20804694999999995</c:v>
                </c:pt>
                <c:pt idx="468">
                  <c:v>0.38640969444444551</c:v>
                </c:pt>
                <c:pt idx="469">
                  <c:v>0.29278344444444571</c:v>
                </c:pt>
                <c:pt idx="470">
                  <c:v>0.21903200000000211</c:v>
                </c:pt>
                <c:pt idx="471">
                  <c:v>0.50520341666666368</c:v>
                </c:pt>
                <c:pt idx="472">
                  <c:v>0.1567010555555548</c:v>
                </c:pt>
                <c:pt idx="473">
                  <c:v>7.9290777777778487E-2</c:v>
                </c:pt>
                <c:pt idx="474">
                  <c:v>0.32279124999999809</c:v>
                </c:pt>
                <c:pt idx="475">
                  <c:v>0.20667450000000009</c:v>
                </c:pt>
                <c:pt idx="476">
                  <c:v>0.31274127777777672</c:v>
                </c:pt>
                <c:pt idx="477">
                  <c:v>0.44303055555555559</c:v>
                </c:pt>
                <c:pt idx="478">
                  <c:v>0.15624329166666406</c:v>
                </c:pt>
                <c:pt idx="479">
                  <c:v>0.35522091666666356</c:v>
                </c:pt>
                <c:pt idx="480">
                  <c:v>0.28440997222221931</c:v>
                </c:pt>
                <c:pt idx="481">
                  <c:v>0.29629302222222087</c:v>
                </c:pt>
                <c:pt idx="482">
                  <c:v>0.48345443333333371</c:v>
                </c:pt>
                <c:pt idx="483">
                  <c:v>0.4611093333333347</c:v>
                </c:pt>
                <c:pt idx="484">
                  <c:v>0.27787866666666616</c:v>
                </c:pt>
                <c:pt idx="485">
                  <c:v>0.75584533333333503</c:v>
                </c:pt>
                <c:pt idx="486">
                  <c:v>0.24849199999999882</c:v>
                </c:pt>
                <c:pt idx="487">
                  <c:v>0.21132416666666742</c:v>
                </c:pt>
                <c:pt idx="488">
                  <c:v>0.44864409722222298</c:v>
                </c:pt>
                <c:pt idx="489">
                  <c:v>0.36827866666666509</c:v>
                </c:pt>
                <c:pt idx="490">
                  <c:v>0.25804912500000032</c:v>
                </c:pt>
                <c:pt idx="491">
                  <c:v>0.38976722222222371</c:v>
                </c:pt>
                <c:pt idx="492">
                  <c:v>0.65874325000000056</c:v>
                </c:pt>
                <c:pt idx="493">
                  <c:v>0.37446511666666638</c:v>
                </c:pt>
                <c:pt idx="494">
                  <c:v>0.56189625000000021</c:v>
                </c:pt>
                <c:pt idx="495">
                  <c:v>0.3958760416666669</c:v>
                </c:pt>
                <c:pt idx="496">
                  <c:v>0.46460249999999981</c:v>
                </c:pt>
                <c:pt idx="497">
                  <c:v>0.19591326666666653</c:v>
                </c:pt>
                <c:pt idx="498">
                  <c:v>0.16586666666666749</c:v>
                </c:pt>
                <c:pt idx="499">
                  <c:v>0.27192347777777748</c:v>
                </c:pt>
                <c:pt idx="500">
                  <c:v>0.19535911666666683</c:v>
                </c:pt>
                <c:pt idx="501">
                  <c:v>-0.1500066666666664</c:v>
                </c:pt>
                <c:pt idx="502">
                  <c:v>-0.88971805555555572</c:v>
                </c:pt>
                <c:pt idx="503">
                  <c:v>-0.53244116666666663</c:v>
                </c:pt>
                <c:pt idx="504">
                  <c:v>0.84147199999999955</c:v>
                </c:pt>
                <c:pt idx="505">
                  <c:v>2.0999599999999958</c:v>
                </c:pt>
                <c:pt idx="506">
                  <c:v>2.1139503666666641</c:v>
                </c:pt>
                <c:pt idx="507">
                  <c:v>1.5723708333333377</c:v>
                </c:pt>
                <c:pt idx="508">
                  <c:v>4.5884091666666649</c:v>
                </c:pt>
                <c:pt idx="509">
                  <c:v>4.1823794888888912</c:v>
                </c:pt>
                <c:pt idx="510">
                  <c:v>3.2725647083333307</c:v>
                </c:pt>
                <c:pt idx="511">
                  <c:v>5.143930000000001</c:v>
                </c:pt>
                <c:pt idx="512">
                  <c:v>6.8332709722222233</c:v>
                </c:pt>
                <c:pt idx="513">
                  <c:v>31.257837222222221</c:v>
                </c:pt>
                <c:pt idx="514">
                  <c:v>11.229300138888888</c:v>
                </c:pt>
                <c:pt idx="515">
                  <c:v>7.6415933333333328</c:v>
                </c:pt>
                <c:pt idx="516">
                  <c:v>7.185888666666667</c:v>
                </c:pt>
                <c:pt idx="517">
                  <c:v>3.1627880555555556</c:v>
                </c:pt>
                <c:pt idx="518">
                  <c:v>3.5732499999999998</c:v>
                </c:pt>
                <c:pt idx="519">
                  <c:v>1.1840820000000001</c:v>
                </c:pt>
                <c:pt idx="520">
                  <c:v>2.7556667083333366</c:v>
                </c:pt>
                <c:pt idx="521">
                  <c:v>4.003995333333334</c:v>
                </c:pt>
                <c:pt idx="522">
                  <c:v>4.9328206250000015</c:v>
                </c:pt>
                <c:pt idx="523">
                  <c:v>3.7352616666666663</c:v>
                </c:pt>
                <c:pt idx="524">
                  <c:v>2.3239999999999998</c:v>
                </c:pt>
                <c:pt idx="525">
                  <c:v>3.8300625000000004</c:v>
                </c:pt>
                <c:pt idx="526">
                  <c:v>4.5507127777777789</c:v>
                </c:pt>
                <c:pt idx="527">
                  <c:v>6.0372740000000018</c:v>
                </c:pt>
                <c:pt idx="528">
                  <c:v>3.42900773888889</c:v>
                </c:pt>
                <c:pt idx="529">
                  <c:v>5.907086111111111</c:v>
                </c:pt>
                <c:pt idx="530">
                  <c:v>8.5303740000000001</c:v>
                </c:pt>
                <c:pt idx="531">
                  <c:v>12.965237500000001</c:v>
                </c:pt>
                <c:pt idx="532">
                  <c:v>31.172186666666668</c:v>
                </c:pt>
                <c:pt idx="533">
                  <c:v>16.080551666666665</c:v>
                </c:pt>
                <c:pt idx="534">
                  <c:v>9.3144449999999992</c:v>
                </c:pt>
                <c:pt idx="535">
                  <c:v>21.090106666666667</c:v>
                </c:pt>
                <c:pt idx="536">
                  <c:v>32.960335000000001</c:v>
                </c:pt>
                <c:pt idx="537">
                  <c:v>44.901083333333332</c:v>
                </c:pt>
                <c:pt idx="538">
                  <c:v>43.805473333333332</c:v>
                </c:pt>
                <c:pt idx="539">
                  <c:v>14.161308055555555</c:v>
                </c:pt>
                <c:pt idx="540">
                  <c:v>17.67991111111111</c:v>
                </c:pt>
                <c:pt idx="541">
                  <c:v>7</c:v>
                </c:pt>
                <c:pt idx="542">
                  <c:v>8</c:v>
                </c:pt>
                <c:pt idx="543">
                  <c:v>3.5</c:v>
                </c:pt>
                <c:pt idx="544">
                  <c:v>5</c:v>
                </c:pt>
                <c:pt idx="545">
                  <c:v>18.459893333333333</c:v>
                </c:pt>
                <c:pt idx="546">
                  <c:v>36.495604499999999</c:v>
                </c:pt>
                <c:pt idx="547">
                  <c:v>35.681986222222221</c:v>
                </c:pt>
                <c:pt idx="548">
                  <c:v>32.322715625000001</c:v>
                </c:pt>
                <c:pt idx="549">
                  <c:v>27.735934999999998</c:v>
                </c:pt>
                <c:pt idx="550">
                  <c:v>18.723481944444444</c:v>
                </c:pt>
                <c:pt idx="551">
                  <c:v>13.08236111111111</c:v>
                </c:pt>
                <c:pt idx="552">
                  <c:v>17.264414583333334</c:v>
                </c:pt>
                <c:pt idx="553">
                  <c:v>17.581336</c:v>
                </c:pt>
                <c:pt idx="554">
                  <c:v>22.257418874999999</c:v>
                </c:pt>
                <c:pt idx="555">
                  <c:v>21.933923333333333</c:v>
                </c:pt>
                <c:pt idx="556">
                  <c:v>25.583755</c:v>
                </c:pt>
                <c:pt idx="557">
                  <c:v>13.075677916666667</c:v>
                </c:pt>
                <c:pt idx="558">
                  <c:v>8.7218240000000016</c:v>
                </c:pt>
                <c:pt idx="559">
                  <c:v>7.2132666666666676</c:v>
                </c:pt>
                <c:pt idx="560">
                  <c:v>7.6720227083333334</c:v>
                </c:pt>
                <c:pt idx="561">
                  <c:v>8.4483149999999991</c:v>
                </c:pt>
                <c:pt idx="562">
                  <c:v>5.5801729166666671</c:v>
                </c:pt>
                <c:pt idx="563">
                  <c:v>3.8004414999999998</c:v>
                </c:pt>
                <c:pt idx="564">
                  <c:v>3.1133594999999996</c:v>
                </c:pt>
                <c:pt idx="565">
                  <c:v>4.1490826666666667</c:v>
                </c:pt>
                <c:pt idx="566">
                  <c:v>3.1120909999999995</c:v>
                </c:pt>
                <c:pt idx="567">
                  <c:v>3.1089733333333331</c:v>
                </c:pt>
                <c:pt idx="568">
                  <c:v>3.321810000000001</c:v>
                </c:pt>
                <c:pt idx="569">
                  <c:v>2.6759082500000009</c:v>
                </c:pt>
                <c:pt idx="570">
                  <c:v>3.2960541666666661</c:v>
                </c:pt>
                <c:pt idx="571">
                  <c:v>3.271983333333333</c:v>
                </c:pt>
                <c:pt idx="572">
                  <c:v>1.5605874999999996</c:v>
                </c:pt>
                <c:pt idx="573">
                  <c:v>1.1330638888888886</c:v>
                </c:pt>
                <c:pt idx="574">
                  <c:v>1.344211111111111</c:v>
                </c:pt>
                <c:pt idx="575">
                  <c:v>1.0570907499999995</c:v>
                </c:pt>
                <c:pt idx="576">
                  <c:v>7.4557587500000002</c:v>
                </c:pt>
                <c:pt idx="577">
                  <c:v>6.2999480000000005</c:v>
                </c:pt>
                <c:pt idx="578">
                  <c:v>4.1116225000000002</c:v>
                </c:pt>
                <c:pt idx="579">
                  <c:v>3.3525356666666664</c:v>
                </c:pt>
                <c:pt idx="580">
                  <c:v>5.6352329583333329</c:v>
                </c:pt>
                <c:pt idx="581">
                  <c:v>5.6242611111111103</c:v>
                </c:pt>
                <c:pt idx="582">
                  <c:v>3.4731468055555554</c:v>
                </c:pt>
                <c:pt idx="583">
                  <c:v>3.3420880000000004</c:v>
                </c:pt>
                <c:pt idx="584">
                  <c:v>3.2173079861111109</c:v>
                </c:pt>
                <c:pt idx="585">
                  <c:v>6.5741816666666661</c:v>
                </c:pt>
                <c:pt idx="586">
                  <c:v>7.6390699305555554</c:v>
                </c:pt>
                <c:pt idx="587">
                  <c:v>12.684298666666667</c:v>
                </c:pt>
                <c:pt idx="588">
                  <c:v>12.035229291666663</c:v>
                </c:pt>
                <c:pt idx="589">
                  <c:v>10.984684999999999</c:v>
                </c:pt>
                <c:pt idx="590">
                  <c:v>15.710602263888887</c:v>
                </c:pt>
                <c:pt idx="591">
                  <c:v>2.131053777777776</c:v>
                </c:pt>
                <c:pt idx="592">
                  <c:v>-0.79910999999999888</c:v>
                </c:pt>
                <c:pt idx="593">
                  <c:v>-0.3626895999999995</c:v>
                </c:pt>
                <c:pt idx="594">
                  <c:v>-3.128941916666669</c:v>
                </c:pt>
                <c:pt idx="595">
                  <c:v>-0.97907388888888747</c:v>
                </c:pt>
                <c:pt idx="596">
                  <c:v>-2.0897683611111084</c:v>
                </c:pt>
                <c:pt idx="597">
                  <c:v>-2.1546113749999982</c:v>
                </c:pt>
                <c:pt idx="598">
                  <c:v>-1.8702328888888857</c:v>
                </c:pt>
                <c:pt idx="599">
                  <c:v>-0.25274577777777552</c:v>
                </c:pt>
                <c:pt idx="600">
                  <c:v>-3.134249999999998</c:v>
                </c:pt>
                <c:pt idx="601">
                  <c:v>-4.168794444444444</c:v>
                </c:pt>
                <c:pt idx="602">
                  <c:v>-3.5129894166666649</c:v>
                </c:pt>
                <c:pt idx="603">
                  <c:v>-3.5452808888888878</c:v>
                </c:pt>
                <c:pt idx="604">
                  <c:v>-2.987385999999999</c:v>
                </c:pt>
                <c:pt idx="605">
                  <c:v>-2.9606638222222212</c:v>
                </c:pt>
                <c:pt idx="606">
                  <c:v>-2.9107899999999987</c:v>
                </c:pt>
                <c:pt idx="607">
                  <c:v>-3.2353650999999992</c:v>
                </c:pt>
                <c:pt idx="608">
                  <c:v>-3.9876690916666666</c:v>
                </c:pt>
                <c:pt idx="609">
                  <c:v>-2.9432099000000003</c:v>
                </c:pt>
                <c:pt idx="610">
                  <c:v>-2.0019919999999995</c:v>
                </c:pt>
                <c:pt idx="611">
                  <c:v>-1.6043541499999998</c:v>
                </c:pt>
                <c:pt idx="612">
                  <c:v>-1.9857822222222214</c:v>
                </c:pt>
                <c:pt idx="613">
                  <c:v>-3.5257986666666667</c:v>
                </c:pt>
                <c:pt idx="614">
                  <c:v>-2.15440225</c:v>
                </c:pt>
                <c:pt idx="615">
                  <c:v>-3.1871113333333332</c:v>
                </c:pt>
                <c:pt idx="616">
                  <c:v>-2.760200666666667</c:v>
                </c:pt>
                <c:pt idx="617">
                  <c:v>-0.16104500000000144</c:v>
                </c:pt>
                <c:pt idx="618">
                  <c:v>-0.41994020833333323</c:v>
                </c:pt>
                <c:pt idx="619">
                  <c:v>-0.56133922222222665</c:v>
                </c:pt>
                <c:pt idx="620">
                  <c:v>0.3258515000000024</c:v>
                </c:pt>
                <c:pt idx="621">
                  <c:v>0.10399200000000164</c:v>
                </c:pt>
                <c:pt idx="622">
                  <c:v>0.64703379166666508</c:v>
                </c:pt>
                <c:pt idx="623">
                  <c:v>9.9732577777778886E-2</c:v>
                </c:pt>
                <c:pt idx="624">
                  <c:v>-0.58142944999999813</c:v>
                </c:pt>
                <c:pt idx="625">
                  <c:v>-0.25387430555555568</c:v>
                </c:pt>
                <c:pt idx="626">
                  <c:v>0.10855617777778193</c:v>
                </c:pt>
                <c:pt idx="627">
                  <c:v>1.4430875000000007</c:v>
                </c:pt>
                <c:pt idx="628">
                  <c:v>1.1312350000000002</c:v>
                </c:pt>
                <c:pt idx="629">
                  <c:v>0.5147827499999984</c:v>
                </c:pt>
                <c:pt idx="630">
                  <c:v>1.8917644166666676</c:v>
                </c:pt>
                <c:pt idx="631">
                  <c:v>-0.35540477777777824</c:v>
                </c:pt>
                <c:pt idx="632">
                  <c:v>-0.17542488888888919</c:v>
                </c:pt>
                <c:pt idx="633">
                  <c:v>-2.1385921000000003</c:v>
                </c:pt>
                <c:pt idx="634">
                  <c:v>-0.65292027777777761</c:v>
                </c:pt>
                <c:pt idx="635">
                  <c:v>-0.96998494444444461</c:v>
                </c:pt>
                <c:pt idx="636">
                  <c:v>-0.4120366666666655</c:v>
                </c:pt>
                <c:pt idx="637">
                  <c:v>-0.29156847777777806</c:v>
                </c:pt>
                <c:pt idx="638">
                  <c:v>-0.10860937500000034</c:v>
                </c:pt>
                <c:pt idx="639">
                  <c:v>-8.923066666666557E-2</c:v>
                </c:pt>
                <c:pt idx="640">
                  <c:v>-0.15638708333333184</c:v>
                </c:pt>
                <c:pt idx="641">
                  <c:v>-0.33028000000000013</c:v>
                </c:pt>
                <c:pt idx="642">
                  <c:v>-0.19835749999999841</c:v>
                </c:pt>
                <c:pt idx="643">
                  <c:v>2.6538494999999989</c:v>
                </c:pt>
                <c:pt idx="644">
                  <c:v>7.0278296666666673</c:v>
                </c:pt>
                <c:pt idx="645">
                  <c:v>1.4615804444444436</c:v>
                </c:pt>
                <c:pt idx="646">
                  <c:v>1.2664687499999996</c:v>
                </c:pt>
                <c:pt idx="647">
                  <c:v>1.012356333333333</c:v>
                </c:pt>
                <c:pt idx="648">
                  <c:v>0.80689216666666752</c:v>
                </c:pt>
                <c:pt idx="649">
                  <c:v>2.1264672222222218</c:v>
                </c:pt>
                <c:pt idx="650">
                  <c:v>10.50846625</c:v>
                </c:pt>
                <c:pt idx="651">
                  <c:v>10.166009777777777</c:v>
                </c:pt>
                <c:pt idx="652">
                  <c:v>7.3714613194444443</c:v>
                </c:pt>
                <c:pt idx="653">
                  <c:v>2.2220855555555552</c:v>
                </c:pt>
                <c:pt idx="654">
                  <c:v>-0.83492000000000011</c:v>
                </c:pt>
                <c:pt idx="655">
                  <c:v>-0.88389600000000002</c:v>
                </c:pt>
                <c:pt idx="656">
                  <c:v>-1.4435493333333334</c:v>
                </c:pt>
                <c:pt idx="657">
                  <c:v>3.9425127888888909</c:v>
                </c:pt>
                <c:pt idx="658">
                  <c:v>3.5622912500000012</c:v>
                </c:pt>
                <c:pt idx="659">
                  <c:v>4.4911440000000056</c:v>
                </c:pt>
                <c:pt idx="660">
                  <c:v>5.4769463499999986</c:v>
                </c:pt>
                <c:pt idx="661">
                  <c:v>6.3973957777777741</c:v>
                </c:pt>
                <c:pt idx="662">
                  <c:v>8.2879832500000106</c:v>
                </c:pt>
                <c:pt idx="663">
                  <c:v>17.563983111111114</c:v>
                </c:pt>
                <c:pt idx="664">
                  <c:v>17.951497916666668</c:v>
                </c:pt>
                <c:pt idx="665">
                  <c:v>13.574332083333331</c:v>
                </c:pt>
                <c:pt idx="666">
                  <c:v>5.1033813277777824</c:v>
                </c:pt>
                <c:pt idx="667">
                  <c:v>7.0046753999999964</c:v>
                </c:pt>
                <c:pt idx="668">
                  <c:v>5.6822393750000018</c:v>
                </c:pt>
                <c:pt idx="669">
                  <c:v>6.0752123333333401</c:v>
                </c:pt>
                <c:pt idx="670">
                  <c:v>4.5215223333333441</c:v>
                </c:pt>
                <c:pt idx="671">
                  <c:v>3.4148527999999985</c:v>
                </c:pt>
                <c:pt idx="672">
                  <c:v>0</c:v>
                </c:pt>
                <c:pt idx="673">
                  <c:v>0</c:v>
                </c:pt>
                <c:pt idx="674">
                  <c:v>6.7570101333333312</c:v>
                </c:pt>
                <c:pt idx="675">
                  <c:v>8.5068906666666706</c:v>
                </c:pt>
                <c:pt idx="676">
                  <c:v>6.7759867500000013</c:v>
                </c:pt>
                <c:pt idx="677">
                  <c:v>0</c:v>
                </c:pt>
                <c:pt idx="678">
                  <c:v>58</c:v>
                </c:pt>
                <c:pt idx="679">
                  <c:v>27.834930055555553</c:v>
                </c:pt>
                <c:pt idx="680">
                  <c:v>34.875572399999996</c:v>
                </c:pt>
                <c:pt idx="681">
                  <c:v>24.689830400000005</c:v>
                </c:pt>
                <c:pt idx="682">
                  <c:v>29.011693833333332</c:v>
                </c:pt>
                <c:pt idx="683">
                  <c:v>23.423304999999999</c:v>
                </c:pt>
                <c:pt idx="684">
                  <c:v>20.941908049999995</c:v>
                </c:pt>
                <c:pt idx="685">
                  <c:v>20.9673327</c:v>
                </c:pt>
                <c:pt idx="686">
                  <c:v>5.3203506249999961</c:v>
                </c:pt>
                <c:pt idx="687">
                  <c:v>4.4533277777777798</c:v>
                </c:pt>
                <c:pt idx="688">
                  <c:v>5.043022955555557</c:v>
                </c:pt>
                <c:pt idx="689">
                  <c:v>5.4667598000000055</c:v>
                </c:pt>
                <c:pt idx="690">
                  <c:v>5.6555462500000004</c:v>
                </c:pt>
                <c:pt idx="691">
                  <c:v>4.0673230777777789</c:v>
                </c:pt>
                <c:pt idx="692">
                  <c:v>3.4587784722222175</c:v>
                </c:pt>
                <c:pt idx="693">
                  <c:v>2.1512286388888882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D-40F4-A5DD-E9C4939E8428}"/>
            </c:ext>
          </c:extLst>
        </c:ser>
        <c:ser>
          <c:idx val="0"/>
          <c:order val="2"/>
          <c:tx>
            <c:strRef>
              <c:f>Info!$J$1</c:f>
              <c:strCache>
                <c:ptCount val="1"/>
                <c:pt idx="0">
                  <c:v>$4 - 50% of Uncovered Position Outside Nearby</c:v>
                </c:pt>
              </c:strCache>
            </c:strRef>
          </c:tx>
          <c:spPr>
            <a:ln w="34925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Info!$A$4:$A$697</c:f>
              <c:numCache>
                <c:formatCode>m/d/yy</c:formatCode>
                <c:ptCount val="694"/>
                <c:pt idx="0">
                  <c:v>44896</c:v>
                </c:pt>
                <c:pt idx="1">
                  <c:v>44897</c:v>
                </c:pt>
                <c:pt idx="2">
                  <c:v>44900</c:v>
                </c:pt>
                <c:pt idx="3">
                  <c:v>44901</c:v>
                </c:pt>
                <c:pt idx="4">
                  <c:v>44902</c:v>
                </c:pt>
                <c:pt idx="5">
                  <c:v>44903</c:v>
                </c:pt>
                <c:pt idx="6">
                  <c:v>44904</c:v>
                </c:pt>
                <c:pt idx="7">
                  <c:v>44907</c:v>
                </c:pt>
                <c:pt idx="8">
                  <c:v>44908</c:v>
                </c:pt>
                <c:pt idx="9">
                  <c:v>44909</c:v>
                </c:pt>
                <c:pt idx="10">
                  <c:v>44910</c:v>
                </c:pt>
                <c:pt idx="11">
                  <c:v>44911</c:v>
                </c:pt>
                <c:pt idx="12">
                  <c:v>44914</c:v>
                </c:pt>
                <c:pt idx="13">
                  <c:v>44915</c:v>
                </c:pt>
                <c:pt idx="14">
                  <c:v>44916</c:v>
                </c:pt>
                <c:pt idx="15">
                  <c:v>44917</c:v>
                </c:pt>
                <c:pt idx="16">
                  <c:v>44918</c:v>
                </c:pt>
                <c:pt idx="17">
                  <c:v>44923</c:v>
                </c:pt>
                <c:pt idx="18">
                  <c:v>44924</c:v>
                </c:pt>
                <c:pt idx="19">
                  <c:v>44925</c:v>
                </c:pt>
                <c:pt idx="20">
                  <c:v>44929</c:v>
                </c:pt>
                <c:pt idx="21">
                  <c:v>44930</c:v>
                </c:pt>
                <c:pt idx="22">
                  <c:v>44931</c:v>
                </c:pt>
                <c:pt idx="23">
                  <c:v>44932</c:v>
                </c:pt>
                <c:pt idx="24">
                  <c:v>44935</c:v>
                </c:pt>
                <c:pt idx="25">
                  <c:v>44936</c:v>
                </c:pt>
                <c:pt idx="26">
                  <c:v>44937</c:v>
                </c:pt>
                <c:pt idx="27">
                  <c:v>44938</c:v>
                </c:pt>
                <c:pt idx="28">
                  <c:v>44939</c:v>
                </c:pt>
                <c:pt idx="29">
                  <c:v>44942</c:v>
                </c:pt>
                <c:pt idx="30">
                  <c:v>44943</c:v>
                </c:pt>
                <c:pt idx="31">
                  <c:v>44944</c:v>
                </c:pt>
                <c:pt idx="32">
                  <c:v>44945</c:v>
                </c:pt>
                <c:pt idx="33">
                  <c:v>44946</c:v>
                </c:pt>
                <c:pt idx="34">
                  <c:v>44949</c:v>
                </c:pt>
                <c:pt idx="35">
                  <c:v>44950</c:v>
                </c:pt>
                <c:pt idx="36">
                  <c:v>44951</c:v>
                </c:pt>
                <c:pt idx="37">
                  <c:v>44952</c:v>
                </c:pt>
                <c:pt idx="38">
                  <c:v>44953</c:v>
                </c:pt>
                <c:pt idx="39">
                  <c:v>44956</c:v>
                </c:pt>
                <c:pt idx="40">
                  <c:v>44958</c:v>
                </c:pt>
                <c:pt idx="41">
                  <c:v>44959</c:v>
                </c:pt>
                <c:pt idx="42">
                  <c:v>44960</c:v>
                </c:pt>
                <c:pt idx="43">
                  <c:v>44963</c:v>
                </c:pt>
                <c:pt idx="44">
                  <c:v>44964</c:v>
                </c:pt>
                <c:pt idx="45">
                  <c:v>44965</c:v>
                </c:pt>
                <c:pt idx="46">
                  <c:v>44966</c:v>
                </c:pt>
                <c:pt idx="47">
                  <c:v>44967</c:v>
                </c:pt>
                <c:pt idx="48">
                  <c:v>44970</c:v>
                </c:pt>
                <c:pt idx="49">
                  <c:v>44971</c:v>
                </c:pt>
                <c:pt idx="50">
                  <c:v>44972</c:v>
                </c:pt>
                <c:pt idx="51">
                  <c:v>44973</c:v>
                </c:pt>
                <c:pt idx="52">
                  <c:v>44974</c:v>
                </c:pt>
                <c:pt idx="53">
                  <c:v>44977</c:v>
                </c:pt>
                <c:pt idx="54">
                  <c:v>44978</c:v>
                </c:pt>
                <c:pt idx="55">
                  <c:v>44979</c:v>
                </c:pt>
                <c:pt idx="56">
                  <c:v>44980</c:v>
                </c:pt>
                <c:pt idx="57">
                  <c:v>44981</c:v>
                </c:pt>
                <c:pt idx="58">
                  <c:v>44984</c:v>
                </c:pt>
                <c:pt idx="59">
                  <c:v>44985</c:v>
                </c:pt>
                <c:pt idx="60">
                  <c:v>44986</c:v>
                </c:pt>
                <c:pt idx="61">
                  <c:v>44987</c:v>
                </c:pt>
                <c:pt idx="62">
                  <c:v>44988</c:v>
                </c:pt>
                <c:pt idx="63">
                  <c:v>44991</c:v>
                </c:pt>
                <c:pt idx="64">
                  <c:v>44992</c:v>
                </c:pt>
                <c:pt idx="65">
                  <c:v>44993</c:v>
                </c:pt>
                <c:pt idx="66">
                  <c:v>44994</c:v>
                </c:pt>
                <c:pt idx="67">
                  <c:v>44995</c:v>
                </c:pt>
                <c:pt idx="68">
                  <c:v>44998</c:v>
                </c:pt>
                <c:pt idx="69">
                  <c:v>44999</c:v>
                </c:pt>
                <c:pt idx="70">
                  <c:v>45000</c:v>
                </c:pt>
                <c:pt idx="71">
                  <c:v>45001</c:v>
                </c:pt>
                <c:pt idx="72">
                  <c:v>45002</c:v>
                </c:pt>
                <c:pt idx="73">
                  <c:v>45005</c:v>
                </c:pt>
                <c:pt idx="74">
                  <c:v>45006</c:v>
                </c:pt>
                <c:pt idx="75">
                  <c:v>45007</c:v>
                </c:pt>
                <c:pt idx="76">
                  <c:v>45008</c:v>
                </c:pt>
                <c:pt idx="77">
                  <c:v>45009</c:v>
                </c:pt>
                <c:pt idx="78">
                  <c:v>45012</c:v>
                </c:pt>
                <c:pt idx="79">
                  <c:v>45013</c:v>
                </c:pt>
                <c:pt idx="80">
                  <c:v>45014</c:v>
                </c:pt>
                <c:pt idx="81">
                  <c:v>45015</c:v>
                </c:pt>
                <c:pt idx="82">
                  <c:v>45016</c:v>
                </c:pt>
                <c:pt idx="83">
                  <c:v>45019</c:v>
                </c:pt>
                <c:pt idx="84">
                  <c:v>45020</c:v>
                </c:pt>
                <c:pt idx="85">
                  <c:v>45021</c:v>
                </c:pt>
                <c:pt idx="86">
                  <c:v>45022</c:v>
                </c:pt>
                <c:pt idx="87">
                  <c:v>45027</c:v>
                </c:pt>
                <c:pt idx="88">
                  <c:v>45028</c:v>
                </c:pt>
                <c:pt idx="89">
                  <c:v>45029</c:v>
                </c:pt>
                <c:pt idx="90">
                  <c:v>45030</c:v>
                </c:pt>
                <c:pt idx="91">
                  <c:v>45033</c:v>
                </c:pt>
                <c:pt idx="92">
                  <c:v>45034</c:v>
                </c:pt>
                <c:pt idx="93">
                  <c:v>45035</c:v>
                </c:pt>
                <c:pt idx="94">
                  <c:v>45036</c:v>
                </c:pt>
                <c:pt idx="95">
                  <c:v>45037</c:v>
                </c:pt>
                <c:pt idx="96">
                  <c:v>45040</c:v>
                </c:pt>
                <c:pt idx="97">
                  <c:v>45041</c:v>
                </c:pt>
                <c:pt idx="98">
                  <c:v>45042</c:v>
                </c:pt>
                <c:pt idx="99">
                  <c:v>45043</c:v>
                </c:pt>
                <c:pt idx="100">
                  <c:v>45044</c:v>
                </c:pt>
                <c:pt idx="101">
                  <c:v>45048</c:v>
                </c:pt>
                <c:pt idx="102">
                  <c:v>45049</c:v>
                </c:pt>
                <c:pt idx="103">
                  <c:v>45050</c:v>
                </c:pt>
                <c:pt idx="104">
                  <c:v>45051</c:v>
                </c:pt>
                <c:pt idx="105">
                  <c:v>45055</c:v>
                </c:pt>
                <c:pt idx="106">
                  <c:v>45056</c:v>
                </c:pt>
                <c:pt idx="107">
                  <c:v>45057</c:v>
                </c:pt>
                <c:pt idx="108">
                  <c:v>45058</c:v>
                </c:pt>
                <c:pt idx="109">
                  <c:v>45061</c:v>
                </c:pt>
                <c:pt idx="110">
                  <c:v>45062</c:v>
                </c:pt>
                <c:pt idx="111">
                  <c:v>45063</c:v>
                </c:pt>
                <c:pt idx="112">
                  <c:v>45064</c:v>
                </c:pt>
                <c:pt idx="113">
                  <c:v>45065</c:v>
                </c:pt>
                <c:pt idx="114">
                  <c:v>45068</c:v>
                </c:pt>
                <c:pt idx="115">
                  <c:v>45069</c:v>
                </c:pt>
                <c:pt idx="116">
                  <c:v>45070</c:v>
                </c:pt>
                <c:pt idx="117">
                  <c:v>45071</c:v>
                </c:pt>
                <c:pt idx="118">
                  <c:v>45072</c:v>
                </c:pt>
                <c:pt idx="119">
                  <c:v>45076</c:v>
                </c:pt>
                <c:pt idx="120">
                  <c:v>45077</c:v>
                </c:pt>
                <c:pt idx="121">
                  <c:v>45078</c:v>
                </c:pt>
                <c:pt idx="122">
                  <c:v>45079</c:v>
                </c:pt>
                <c:pt idx="123">
                  <c:v>45082</c:v>
                </c:pt>
                <c:pt idx="124">
                  <c:v>45083</c:v>
                </c:pt>
                <c:pt idx="125">
                  <c:v>45084</c:v>
                </c:pt>
                <c:pt idx="126">
                  <c:v>45085</c:v>
                </c:pt>
                <c:pt idx="127">
                  <c:v>45086</c:v>
                </c:pt>
                <c:pt idx="128">
                  <c:v>45089</c:v>
                </c:pt>
                <c:pt idx="129">
                  <c:v>45090</c:v>
                </c:pt>
                <c:pt idx="130">
                  <c:v>45091</c:v>
                </c:pt>
                <c:pt idx="131">
                  <c:v>45092</c:v>
                </c:pt>
                <c:pt idx="132">
                  <c:v>45093</c:v>
                </c:pt>
                <c:pt idx="133">
                  <c:v>45096</c:v>
                </c:pt>
                <c:pt idx="134">
                  <c:v>45097</c:v>
                </c:pt>
                <c:pt idx="135">
                  <c:v>45098</c:v>
                </c:pt>
                <c:pt idx="136">
                  <c:v>45099</c:v>
                </c:pt>
                <c:pt idx="137">
                  <c:v>45100</c:v>
                </c:pt>
                <c:pt idx="138">
                  <c:v>45103</c:v>
                </c:pt>
                <c:pt idx="139">
                  <c:v>45104</c:v>
                </c:pt>
                <c:pt idx="140">
                  <c:v>45105</c:v>
                </c:pt>
                <c:pt idx="141">
                  <c:v>45106</c:v>
                </c:pt>
                <c:pt idx="142">
                  <c:v>45107</c:v>
                </c:pt>
                <c:pt idx="143">
                  <c:v>45110</c:v>
                </c:pt>
                <c:pt idx="144">
                  <c:v>45111</c:v>
                </c:pt>
                <c:pt idx="145">
                  <c:v>45112</c:v>
                </c:pt>
                <c:pt idx="146">
                  <c:v>45113</c:v>
                </c:pt>
                <c:pt idx="147">
                  <c:v>45114</c:v>
                </c:pt>
                <c:pt idx="148">
                  <c:v>45117</c:v>
                </c:pt>
                <c:pt idx="149">
                  <c:v>45118</c:v>
                </c:pt>
                <c:pt idx="150">
                  <c:v>45119</c:v>
                </c:pt>
                <c:pt idx="151">
                  <c:v>45120</c:v>
                </c:pt>
                <c:pt idx="152">
                  <c:v>45121</c:v>
                </c:pt>
                <c:pt idx="153">
                  <c:v>45124</c:v>
                </c:pt>
                <c:pt idx="154">
                  <c:v>45125</c:v>
                </c:pt>
                <c:pt idx="155">
                  <c:v>45126</c:v>
                </c:pt>
                <c:pt idx="156">
                  <c:v>45127</c:v>
                </c:pt>
                <c:pt idx="157">
                  <c:v>45128</c:v>
                </c:pt>
                <c:pt idx="158">
                  <c:v>45131</c:v>
                </c:pt>
                <c:pt idx="159">
                  <c:v>45132</c:v>
                </c:pt>
                <c:pt idx="160">
                  <c:v>45133</c:v>
                </c:pt>
                <c:pt idx="161">
                  <c:v>45134</c:v>
                </c:pt>
                <c:pt idx="162">
                  <c:v>45135</c:v>
                </c:pt>
                <c:pt idx="163">
                  <c:v>45138</c:v>
                </c:pt>
                <c:pt idx="164">
                  <c:v>45139</c:v>
                </c:pt>
                <c:pt idx="165">
                  <c:v>45140</c:v>
                </c:pt>
                <c:pt idx="166">
                  <c:v>45141</c:v>
                </c:pt>
                <c:pt idx="167">
                  <c:v>45142</c:v>
                </c:pt>
                <c:pt idx="168">
                  <c:v>45145</c:v>
                </c:pt>
                <c:pt idx="169">
                  <c:v>45146</c:v>
                </c:pt>
                <c:pt idx="170">
                  <c:v>45147</c:v>
                </c:pt>
                <c:pt idx="171">
                  <c:v>45148</c:v>
                </c:pt>
                <c:pt idx="172">
                  <c:v>45149</c:v>
                </c:pt>
                <c:pt idx="173">
                  <c:v>45152</c:v>
                </c:pt>
                <c:pt idx="174">
                  <c:v>45153</c:v>
                </c:pt>
                <c:pt idx="175">
                  <c:v>45154</c:v>
                </c:pt>
                <c:pt idx="176">
                  <c:v>45155</c:v>
                </c:pt>
                <c:pt idx="177">
                  <c:v>45156</c:v>
                </c:pt>
                <c:pt idx="178">
                  <c:v>45159</c:v>
                </c:pt>
                <c:pt idx="179">
                  <c:v>45160</c:v>
                </c:pt>
                <c:pt idx="180">
                  <c:v>45161</c:v>
                </c:pt>
                <c:pt idx="181">
                  <c:v>45162</c:v>
                </c:pt>
                <c:pt idx="182">
                  <c:v>45163</c:v>
                </c:pt>
                <c:pt idx="183">
                  <c:v>45167</c:v>
                </c:pt>
                <c:pt idx="184">
                  <c:v>45168</c:v>
                </c:pt>
                <c:pt idx="185">
                  <c:v>45169</c:v>
                </c:pt>
                <c:pt idx="186">
                  <c:v>45170</c:v>
                </c:pt>
                <c:pt idx="187">
                  <c:v>45173</c:v>
                </c:pt>
                <c:pt idx="188">
                  <c:v>45174</c:v>
                </c:pt>
                <c:pt idx="189">
                  <c:v>45175</c:v>
                </c:pt>
                <c:pt idx="190">
                  <c:v>45176</c:v>
                </c:pt>
                <c:pt idx="191">
                  <c:v>45177</c:v>
                </c:pt>
                <c:pt idx="192">
                  <c:v>45180</c:v>
                </c:pt>
                <c:pt idx="193">
                  <c:v>45181</c:v>
                </c:pt>
                <c:pt idx="194">
                  <c:v>45182</c:v>
                </c:pt>
                <c:pt idx="195">
                  <c:v>45183</c:v>
                </c:pt>
                <c:pt idx="196">
                  <c:v>45184</c:v>
                </c:pt>
                <c:pt idx="197">
                  <c:v>45187</c:v>
                </c:pt>
                <c:pt idx="198">
                  <c:v>45188</c:v>
                </c:pt>
                <c:pt idx="199">
                  <c:v>45189</c:v>
                </c:pt>
                <c:pt idx="200">
                  <c:v>45190</c:v>
                </c:pt>
                <c:pt idx="201">
                  <c:v>45191</c:v>
                </c:pt>
                <c:pt idx="202">
                  <c:v>45194</c:v>
                </c:pt>
                <c:pt idx="203">
                  <c:v>45195</c:v>
                </c:pt>
                <c:pt idx="204">
                  <c:v>45196</c:v>
                </c:pt>
                <c:pt idx="205">
                  <c:v>45197</c:v>
                </c:pt>
                <c:pt idx="206">
                  <c:v>45198</c:v>
                </c:pt>
                <c:pt idx="207">
                  <c:v>45201</c:v>
                </c:pt>
                <c:pt idx="208">
                  <c:v>45202</c:v>
                </c:pt>
                <c:pt idx="209">
                  <c:v>45203</c:v>
                </c:pt>
                <c:pt idx="210">
                  <c:v>45204</c:v>
                </c:pt>
                <c:pt idx="211">
                  <c:v>45205</c:v>
                </c:pt>
                <c:pt idx="212">
                  <c:v>45208</c:v>
                </c:pt>
                <c:pt idx="213">
                  <c:v>45209</c:v>
                </c:pt>
                <c:pt idx="214">
                  <c:v>45210</c:v>
                </c:pt>
                <c:pt idx="215">
                  <c:v>45211</c:v>
                </c:pt>
                <c:pt idx="216">
                  <c:v>45212</c:v>
                </c:pt>
                <c:pt idx="217">
                  <c:v>45215</c:v>
                </c:pt>
                <c:pt idx="218">
                  <c:v>45216</c:v>
                </c:pt>
                <c:pt idx="219">
                  <c:v>45217</c:v>
                </c:pt>
                <c:pt idx="220">
                  <c:v>45218</c:v>
                </c:pt>
                <c:pt idx="221">
                  <c:v>45219</c:v>
                </c:pt>
                <c:pt idx="222">
                  <c:v>45222</c:v>
                </c:pt>
                <c:pt idx="223">
                  <c:v>45223</c:v>
                </c:pt>
                <c:pt idx="224">
                  <c:v>45224</c:v>
                </c:pt>
                <c:pt idx="225">
                  <c:v>45225</c:v>
                </c:pt>
                <c:pt idx="226">
                  <c:v>45226</c:v>
                </c:pt>
                <c:pt idx="227">
                  <c:v>45229</c:v>
                </c:pt>
                <c:pt idx="228">
                  <c:v>45230</c:v>
                </c:pt>
                <c:pt idx="229">
                  <c:v>45231</c:v>
                </c:pt>
                <c:pt idx="230">
                  <c:v>45232</c:v>
                </c:pt>
                <c:pt idx="231">
                  <c:v>45233</c:v>
                </c:pt>
                <c:pt idx="232">
                  <c:v>45236</c:v>
                </c:pt>
                <c:pt idx="233">
                  <c:v>45237</c:v>
                </c:pt>
                <c:pt idx="234">
                  <c:v>45238</c:v>
                </c:pt>
                <c:pt idx="235">
                  <c:v>45239</c:v>
                </c:pt>
                <c:pt idx="236">
                  <c:v>45240</c:v>
                </c:pt>
                <c:pt idx="237">
                  <c:v>45243</c:v>
                </c:pt>
                <c:pt idx="238">
                  <c:v>45244</c:v>
                </c:pt>
                <c:pt idx="239">
                  <c:v>45245</c:v>
                </c:pt>
                <c:pt idx="240">
                  <c:v>45246</c:v>
                </c:pt>
                <c:pt idx="241">
                  <c:v>45247</c:v>
                </c:pt>
                <c:pt idx="242">
                  <c:v>45250</c:v>
                </c:pt>
                <c:pt idx="243">
                  <c:v>45251</c:v>
                </c:pt>
                <c:pt idx="244">
                  <c:v>45252</c:v>
                </c:pt>
                <c:pt idx="245">
                  <c:v>45253</c:v>
                </c:pt>
                <c:pt idx="246">
                  <c:v>45254</c:v>
                </c:pt>
                <c:pt idx="247">
                  <c:v>45257</c:v>
                </c:pt>
                <c:pt idx="248">
                  <c:v>45258</c:v>
                </c:pt>
                <c:pt idx="249">
                  <c:v>45259</c:v>
                </c:pt>
                <c:pt idx="250">
                  <c:v>45260</c:v>
                </c:pt>
                <c:pt idx="251">
                  <c:v>45261</c:v>
                </c:pt>
                <c:pt idx="252">
                  <c:v>45264</c:v>
                </c:pt>
                <c:pt idx="253">
                  <c:v>45265</c:v>
                </c:pt>
                <c:pt idx="254">
                  <c:v>45266</c:v>
                </c:pt>
                <c:pt idx="255">
                  <c:v>45267</c:v>
                </c:pt>
                <c:pt idx="256">
                  <c:v>45268</c:v>
                </c:pt>
                <c:pt idx="257">
                  <c:v>45271</c:v>
                </c:pt>
                <c:pt idx="258">
                  <c:v>45272</c:v>
                </c:pt>
                <c:pt idx="259">
                  <c:v>45273</c:v>
                </c:pt>
                <c:pt idx="260">
                  <c:v>45274</c:v>
                </c:pt>
                <c:pt idx="261">
                  <c:v>45275</c:v>
                </c:pt>
                <c:pt idx="262">
                  <c:v>45278</c:v>
                </c:pt>
                <c:pt idx="263">
                  <c:v>45279</c:v>
                </c:pt>
                <c:pt idx="264">
                  <c:v>45280</c:v>
                </c:pt>
                <c:pt idx="265">
                  <c:v>45281</c:v>
                </c:pt>
                <c:pt idx="266">
                  <c:v>45282</c:v>
                </c:pt>
                <c:pt idx="267">
                  <c:v>45286</c:v>
                </c:pt>
                <c:pt idx="268">
                  <c:v>45287</c:v>
                </c:pt>
                <c:pt idx="269">
                  <c:v>45288</c:v>
                </c:pt>
                <c:pt idx="270">
                  <c:v>45289</c:v>
                </c:pt>
                <c:pt idx="271">
                  <c:v>45293</c:v>
                </c:pt>
                <c:pt idx="272">
                  <c:v>45294</c:v>
                </c:pt>
                <c:pt idx="273">
                  <c:v>45295</c:v>
                </c:pt>
                <c:pt idx="274">
                  <c:v>45296</c:v>
                </c:pt>
                <c:pt idx="275">
                  <c:v>45299</c:v>
                </c:pt>
                <c:pt idx="276">
                  <c:v>45300</c:v>
                </c:pt>
                <c:pt idx="277">
                  <c:v>45301</c:v>
                </c:pt>
                <c:pt idx="278">
                  <c:v>45302</c:v>
                </c:pt>
                <c:pt idx="279">
                  <c:v>45303</c:v>
                </c:pt>
                <c:pt idx="280">
                  <c:v>45306</c:v>
                </c:pt>
                <c:pt idx="281">
                  <c:v>45307</c:v>
                </c:pt>
                <c:pt idx="282">
                  <c:v>45308</c:v>
                </c:pt>
                <c:pt idx="283">
                  <c:v>45309</c:v>
                </c:pt>
                <c:pt idx="284">
                  <c:v>45310</c:v>
                </c:pt>
                <c:pt idx="285">
                  <c:v>45313</c:v>
                </c:pt>
                <c:pt idx="286">
                  <c:v>45314</c:v>
                </c:pt>
                <c:pt idx="287">
                  <c:v>45315</c:v>
                </c:pt>
                <c:pt idx="288">
                  <c:v>45316</c:v>
                </c:pt>
                <c:pt idx="289">
                  <c:v>45317</c:v>
                </c:pt>
                <c:pt idx="290">
                  <c:v>45320</c:v>
                </c:pt>
                <c:pt idx="291">
                  <c:v>45321</c:v>
                </c:pt>
                <c:pt idx="292">
                  <c:v>45322</c:v>
                </c:pt>
                <c:pt idx="293">
                  <c:v>45323</c:v>
                </c:pt>
                <c:pt idx="294">
                  <c:v>45324</c:v>
                </c:pt>
                <c:pt idx="295">
                  <c:v>45327</c:v>
                </c:pt>
                <c:pt idx="296">
                  <c:v>45328</c:v>
                </c:pt>
                <c:pt idx="297">
                  <c:v>45329</c:v>
                </c:pt>
                <c:pt idx="298">
                  <c:v>45330</c:v>
                </c:pt>
                <c:pt idx="299">
                  <c:v>45331</c:v>
                </c:pt>
                <c:pt idx="300">
                  <c:v>45334</c:v>
                </c:pt>
                <c:pt idx="301">
                  <c:v>45335</c:v>
                </c:pt>
                <c:pt idx="302">
                  <c:v>45336</c:v>
                </c:pt>
                <c:pt idx="303">
                  <c:v>45337</c:v>
                </c:pt>
                <c:pt idx="304">
                  <c:v>45338</c:v>
                </c:pt>
                <c:pt idx="305">
                  <c:v>45341</c:v>
                </c:pt>
                <c:pt idx="306">
                  <c:v>45342</c:v>
                </c:pt>
                <c:pt idx="307">
                  <c:v>45343</c:v>
                </c:pt>
                <c:pt idx="308">
                  <c:v>45344</c:v>
                </c:pt>
                <c:pt idx="309">
                  <c:v>45345</c:v>
                </c:pt>
                <c:pt idx="310">
                  <c:v>45348</c:v>
                </c:pt>
                <c:pt idx="311">
                  <c:v>45349</c:v>
                </c:pt>
                <c:pt idx="312">
                  <c:v>45350</c:v>
                </c:pt>
                <c:pt idx="313">
                  <c:v>45351</c:v>
                </c:pt>
                <c:pt idx="314">
                  <c:v>45352</c:v>
                </c:pt>
                <c:pt idx="315">
                  <c:v>45355</c:v>
                </c:pt>
                <c:pt idx="316">
                  <c:v>45356</c:v>
                </c:pt>
                <c:pt idx="317">
                  <c:v>45357</c:v>
                </c:pt>
                <c:pt idx="318">
                  <c:v>45358</c:v>
                </c:pt>
                <c:pt idx="319">
                  <c:v>45359</c:v>
                </c:pt>
                <c:pt idx="320">
                  <c:v>45362</c:v>
                </c:pt>
                <c:pt idx="321">
                  <c:v>45363</c:v>
                </c:pt>
                <c:pt idx="322">
                  <c:v>45364</c:v>
                </c:pt>
                <c:pt idx="323">
                  <c:v>45365</c:v>
                </c:pt>
                <c:pt idx="324">
                  <c:v>45366</c:v>
                </c:pt>
                <c:pt idx="325">
                  <c:v>45369</c:v>
                </c:pt>
                <c:pt idx="326">
                  <c:v>45370</c:v>
                </c:pt>
                <c:pt idx="327">
                  <c:v>45371</c:v>
                </c:pt>
                <c:pt idx="328">
                  <c:v>45372</c:v>
                </c:pt>
                <c:pt idx="329">
                  <c:v>45373</c:v>
                </c:pt>
                <c:pt idx="330">
                  <c:v>45376</c:v>
                </c:pt>
                <c:pt idx="331">
                  <c:v>45377</c:v>
                </c:pt>
                <c:pt idx="332">
                  <c:v>45378</c:v>
                </c:pt>
                <c:pt idx="333">
                  <c:v>45379</c:v>
                </c:pt>
                <c:pt idx="334">
                  <c:v>45384</c:v>
                </c:pt>
                <c:pt idx="335">
                  <c:v>45385</c:v>
                </c:pt>
                <c:pt idx="336">
                  <c:v>45386</c:v>
                </c:pt>
                <c:pt idx="337">
                  <c:v>45387</c:v>
                </c:pt>
                <c:pt idx="338">
                  <c:v>45390</c:v>
                </c:pt>
                <c:pt idx="339">
                  <c:v>45391</c:v>
                </c:pt>
                <c:pt idx="340">
                  <c:v>45392</c:v>
                </c:pt>
                <c:pt idx="341">
                  <c:v>45393</c:v>
                </c:pt>
                <c:pt idx="342">
                  <c:v>45394</c:v>
                </c:pt>
                <c:pt idx="343">
                  <c:v>45397</c:v>
                </c:pt>
                <c:pt idx="344">
                  <c:v>45398</c:v>
                </c:pt>
                <c:pt idx="345">
                  <c:v>45399</c:v>
                </c:pt>
                <c:pt idx="346">
                  <c:v>45400</c:v>
                </c:pt>
                <c:pt idx="347">
                  <c:v>45404</c:v>
                </c:pt>
                <c:pt idx="348">
                  <c:v>45405</c:v>
                </c:pt>
                <c:pt idx="349">
                  <c:v>45406</c:v>
                </c:pt>
                <c:pt idx="350">
                  <c:v>45407</c:v>
                </c:pt>
                <c:pt idx="351">
                  <c:v>45408</c:v>
                </c:pt>
                <c:pt idx="352">
                  <c:v>45411</c:v>
                </c:pt>
                <c:pt idx="353">
                  <c:v>45412</c:v>
                </c:pt>
                <c:pt idx="354">
                  <c:v>45413</c:v>
                </c:pt>
                <c:pt idx="355">
                  <c:v>45414</c:v>
                </c:pt>
                <c:pt idx="356">
                  <c:v>45415</c:v>
                </c:pt>
                <c:pt idx="357">
                  <c:v>45418</c:v>
                </c:pt>
                <c:pt idx="358">
                  <c:v>45419</c:v>
                </c:pt>
                <c:pt idx="359">
                  <c:v>45420</c:v>
                </c:pt>
                <c:pt idx="360">
                  <c:v>45421</c:v>
                </c:pt>
                <c:pt idx="361">
                  <c:v>45422</c:v>
                </c:pt>
                <c:pt idx="362">
                  <c:v>45425</c:v>
                </c:pt>
                <c:pt idx="363">
                  <c:v>45426</c:v>
                </c:pt>
                <c:pt idx="364">
                  <c:v>45427</c:v>
                </c:pt>
                <c:pt idx="365">
                  <c:v>45428</c:v>
                </c:pt>
                <c:pt idx="366">
                  <c:v>45429</c:v>
                </c:pt>
                <c:pt idx="367">
                  <c:v>45432</c:v>
                </c:pt>
                <c:pt idx="368">
                  <c:v>45433</c:v>
                </c:pt>
                <c:pt idx="369">
                  <c:v>45434</c:v>
                </c:pt>
                <c:pt idx="370">
                  <c:v>45435</c:v>
                </c:pt>
                <c:pt idx="371">
                  <c:v>45436</c:v>
                </c:pt>
                <c:pt idx="372">
                  <c:v>45439</c:v>
                </c:pt>
                <c:pt idx="373">
                  <c:v>45440</c:v>
                </c:pt>
                <c:pt idx="374">
                  <c:v>45441</c:v>
                </c:pt>
                <c:pt idx="375">
                  <c:v>45442</c:v>
                </c:pt>
                <c:pt idx="376">
                  <c:v>45443</c:v>
                </c:pt>
                <c:pt idx="377">
                  <c:v>45446</c:v>
                </c:pt>
                <c:pt idx="378">
                  <c:v>45447</c:v>
                </c:pt>
                <c:pt idx="379">
                  <c:v>45448</c:v>
                </c:pt>
                <c:pt idx="380">
                  <c:v>45449</c:v>
                </c:pt>
                <c:pt idx="381">
                  <c:v>45450</c:v>
                </c:pt>
                <c:pt idx="382">
                  <c:v>45453</c:v>
                </c:pt>
                <c:pt idx="383">
                  <c:v>45454</c:v>
                </c:pt>
                <c:pt idx="384">
                  <c:v>45455</c:v>
                </c:pt>
                <c:pt idx="385">
                  <c:v>45456</c:v>
                </c:pt>
                <c:pt idx="386">
                  <c:v>45457</c:v>
                </c:pt>
                <c:pt idx="387">
                  <c:v>45460</c:v>
                </c:pt>
                <c:pt idx="388">
                  <c:v>45461</c:v>
                </c:pt>
                <c:pt idx="389">
                  <c:v>45462</c:v>
                </c:pt>
                <c:pt idx="390">
                  <c:v>45463</c:v>
                </c:pt>
                <c:pt idx="391">
                  <c:v>45464</c:v>
                </c:pt>
                <c:pt idx="392">
                  <c:v>45467</c:v>
                </c:pt>
                <c:pt idx="393">
                  <c:v>45468</c:v>
                </c:pt>
                <c:pt idx="394">
                  <c:v>45469</c:v>
                </c:pt>
                <c:pt idx="395">
                  <c:v>45470</c:v>
                </c:pt>
                <c:pt idx="396">
                  <c:v>45471</c:v>
                </c:pt>
                <c:pt idx="397">
                  <c:v>45474</c:v>
                </c:pt>
                <c:pt idx="398">
                  <c:v>45475</c:v>
                </c:pt>
                <c:pt idx="399">
                  <c:v>45476</c:v>
                </c:pt>
                <c:pt idx="400">
                  <c:v>45477</c:v>
                </c:pt>
                <c:pt idx="401">
                  <c:v>45478</c:v>
                </c:pt>
                <c:pt idx="402">
                  <c:v>45481</c:v>
                </c:pt>
                <c:pt idx="403">
                  <c:v>45482</c:v>
                </c:pt>
                <c:pt idx="404">
                  <c:v>45483</c:v>
                </c:pt>
                <c:pt idx="405">
                  <c:v>45484</c:v>
                </c:pt>
                <c:pt idx="406">
                  <c:v>45485</c:v>
                </c:pt>
                <c:pt idx="407">
                  <c:v>45488</c:v>
                </c:pt>
                <c:pt idx="408">
                  <c:v>45489</c:v>
                </c:pt>
                <c:pt idx="409">
                  <c:v>45490</c:v>
                </c:pt>
                <c:pt idx="410">
                  <c:v>45491</c:v>
                </c:pt>
                <c:pt idx="411">
                  <c:v>45492</c:v>
                </c:pt>
                <c:pt idx="412">
                  <c:v>45495</c:v>
                </c:pt>
                <c:pt idx="413">
                  <c:v>45496</c:v>
                </c:pt>
                <c:pt idx="414">
                  <c:v>45497</c:v>
                </c:pt>
                <c:pt idx="415">
                  <c:v>45498</c:v>
                </c:pt>
                <c:pt idx="416">
                  <c:v>45499</c:v>
                </c:pt>
                <c:pt idx="417">
                  <c:v>45502</c:v>
                </c:pt>
                <c:pt idx="418">
                  <c:v>45503</c:v>
                </c:pt>
                <c:pt idx="419">
                  <c:v>45504</c:v>
                </c:pt>
                <c:pt idx="420">
                  <c:v>45505</c:v>
                </c:pt>
                <c:pt idx="421">
                  <c:v>45506</c:v>
                </c:pt>
                <c:pt idx="422">
                  <c:v>45509</c:v>
                </c:pt>
                <c:pt idx="423">
                  <c:v>45510</c:v>
                </c:pt>
                <c:pt idx="424">
                  <c:v>45511</c:v>
                </c:pt>
                <c:pt idx="425">
                  <c:v>45512</c:v>
                </c:pt>
                <c:pt idx="426">
                  <c:v>45513</c:v>
                </c:pt>
                <c:pt idx="427">
                  <c:v>45516</c:v>
                </c:pt>
                <c:pt idx="428">
                  <c:v>45517</c:v>
                </c:pt>
                <c:pt idx="429">
                  <c:v>45518</c:v>
                </c:pt>
                <c:pt idx="430">
                  <c:v>45519</c:v>
                </c:pt>
                <c:pt idx="431">
                  <c:v>45520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45530</c:v>
                </c:pt>
                <c:pt idx="438">
                  <c:v>45531</c:v>
                </c:pt>
                <c:pt idx="439">
                  <c:v>45532</c:v>
                </c:pt>
                <c:pt idx="440">
                  <c:v>45533</c:v>
                </c:pt>
                <c:pt idx="441">
                  <c:v>45534</c:v>
                </c:pt>
                <c:pt idx="442">
                  <c:v>45537</c:v>
                </c:pt>
                <c:pt idx="443">
                  <c:v>45538</c:v>
                </c:pt>
                <c:pt idx="444">
                  <c:v>45539</c:v>
                </c:pt>
                <c:pt idx="445">
                  <c:v>45540</c:v>
                </c:pt>
                <c:pt idx="446">
                  <c:v>45541</c:v>
                </c:pt>
                <c:pt idx="447">
                  <c:v>45544</c:v>
                </c:pt>
                <c:pt idx="448">
                  <c:v>45545</c:v>
                </c:pt>
                <c:pt idx="449">
                  <c:v>45546</c:v>
                </c:pt>
                <c:pt idx="450">
                  <c:v>45547</c:v>
                </c:pt>
                <c:pt idx="451">
                  <c:v>45548</c:v>
                </c:pt>
                <c:pt idx="452">
                  <c:v>45551</c:v>
                </c:pt>
                <c:pt idx="453">
                  <c:v>45552</c:v>
                </c:pt>
                <c:pt idx="454">
                  <c:v>45553</c:v>
                </c:pt>
                <c:pt idx="455">
                  <c:v>45554</c:v>
                </c:pt>
                <c:pt idx="456">
                  <c:v>45555</c:v>
                </c:pt>
                <c:pt idx="457">
                  <c:v>45558</c:v>
                </c:pt>
                <c:pt idx="458">
                  <c:v>45559</c:v>
                </c:pt>
                <c:pt idx="459">
                  <c:v>45560</c:v>
                </c:pt>
                <c:pt idx="460">
                  <c:v>45561</c:v>
                </c:pt>
                <c:pt idx="461">
                  <c:v>45562</c:v>
                </c:pt>
                <c:pt idx="462">
                  <c:v>45565</c:v>
                </c:pt>
                <c:pt idx="463">
                  <c:v>45566</c:v>
                </c:pt>
                <c:pt idx="464">
                  <c:v>45567</c:v>
                </c:pt>
                <c:pt idx="465">
                  <c:v>45568</c:v>
                </c:pt>
                <c:pt idx="466">
                  <c:v>45569</c:v>
                </c:pt>
                <c:pt idx="467">
                  <c:v>45572</c:v>
                </c:pt>
                <c:pt idx="468">
                  <c:v>45573</c:v>
                </c:pt>
                <c:pt idx="469">
                  <c:v>45574</c:v>
                </c:pt>
                <c:pt idx="470">
                  <c:v>45575</c:v>
                </c:pt>
                <c:pt idx="471">
                  <c:v>45576</c:v>
                </c:pt>
                <c:pt idx="472">
                  <c:v>45579</c:v>
                </c:pt>
                <c:pt idx="473">
                  <c:v>45580</c:v>
                </c:pt>
                <c:pt idx="474">
                  <c:v>45581</c:v>
                </c:pt>
                <c:pt idx="475">
                  <c:v>45582</c:v>
                </c:pt>
                <c:pt idx="476">
                  <c:v>45583</c:v>
                </c:pt>
                <c:pt idx="477">
                  <c:v>45586</c:v>
                </c:pt>
                <c:pt idx="478">
                  <c:v>45587</c:v>
                </c:pt>
                <c:pt idx="479">
                  <c:v>45588</c:v>
                </c:pt>
                <c:pt idx="480">
                  <c:v>45589</c:v>
                </c:pt>
                <c:pt idx="481">
                  <c:v>45590</c:v>
                </c:pt>
                <c:pt idx="482">
                  <c:v>45593</c:v>
                </c:pt>
                <c:pt idx="483">
                  <c:v>45594</c:v>
                </c:pt>
                <c:pt idx="484">
                  <c:v>45595</c:v>
                </c:pt>
                <c:pt idx="485">
                  <c:v>45596</c:v>
                </c:pt>
                <c:pt idx="486">
                  <c:v>45597</c:v>
                </c:pt>
                <c:pt idx="487">
                  <c:v>45600</c:v>
                </c:pt>
                <c:pt idx="488">
                  <c:v>45601</c:v>
                </c:pt>
                <c:pt idx="489">
                  <c:v>45602</c:v>
                </c:pt>
                <c:pt idx="490">
                  <c:v>45603</c:v>
                </c:pt>
                <c:pt idx="491">
                  <c:v>45604</c:v>
                </c:pt>
                <c:pt idx="492">
                  <c:v>45608</c:v>
                </c:pt>
                <c:pt idx="493">
                  <c:v>45609</c:v>
                </c:pt>
                <c:pt idx="494">
                  <c:v>45610</c:v>
                </c:pt>
                <c:pt idx="495">
                  <c:v>45611</c:v>
                </c:pt>
                <c:pt idx="496">
                  <c:v>45614</c:v>
                </c:pt>
                <c:pt idx="497">
                  <c:v>45615</c:v>
                </c:pt>
                <c:pt idx="498">
                  <c:v>45616</c:v>
                </c:pt>
                <c:pt idx="499">
                  <c:v>45617</c:v>
                </c:pt>
                <c:pt idx="500">
                  <c:v>45618</c:v>
                </c:pt>
                <c:pt idx="501">
                  <c:v>45621</c:v>
                </c:pt>
                <c:pt idx="502">
                  <c:v>45622</c:v>
                </c:pt>
                <c:pt idx="503">
                  <c:v>45623</c:v>
                </c:pt>
                <c:pt idx="504">
                  <c:v>45624</c:v>
                </c:pt>
                <c:pt idx="505">
                  <c:v>45625</c:v>
                </c:pt>
                <c:pt idx="506">
                  <c:v>45628</c:v>
                </c:pt>
                <c:pt idx="507">
                  <c:v>45629</c:v>
                </c:pt>
                <c:pt idx="508">
                  <c:v>45630</c:v>
                </c:pt>
                <c:pt idx="509">
                  <c:v>45631</c:v>
                </c:pt>
                <c:pt idx="510">
                  <c:v>45632</c:v>
                </c:pt>
                <c:pt idx="511">
                  <c:v>45635</c:v>
                </c:pt>
                <c:pt idx="512">
                  <c:v>45636</c:v>
                </c:pt>
                <c:pt idx="513">
                  <c:v>45637</c:v>
                </c:pt>
                <c:pt idx="514">
                  <c:v>45638</c:v>
                </c:pt>
                <c:pt idx="515">
                  <c:v>45639</c:v>
                </c:pt>
                <c:pt idx="516">
                  <c:v>45642</c:v>
                </c:pt>
                <c:pt idx="517">
                  <c:v>45643</c:v>
                </c:pt>
                <c:pt idx="518">
                  <c:v>45644</c:v>
                </c:pt>
                <c:pt idx="519">
                  <c:v>45645</c:v>
                </c:pt>
                <c:pt idx="520">
                  <c:v>45646</c:v>
                </c:pt>
                <c:pt idx="521">
                  <c:v>45649</c:v>
                </c:pt>
                <c:pt idx="522">
                  <c:v>45650</c:v>
                </c:pt>
                <c:pt idx="523">
                  <c:v>45653</c:v>
                </c:pt>
                <c:pt idx="524">
                  <c:v>45656</c:v>
                </c:pt>
                <c:pt idx="525">
                  <c:v>45657</c:v>
                </c:pt>
                <c:pt idx="526">
                  <c:v>45659</c:v>
                </c:pt>
                <c:pt idx="527">
                  <c:v>45660</c:v>
                </c:pt>
                <c:pt idx="528">
                  <c:v>45663</c:v>
                </c:pt>
                <c:pt idx="529">
                  <c:v>45664</c:v>
                </c:pt>
                <c:pt idx="530">
                  <c:v>45665</c:v>
                </c:pt>
                <c:pt idx="531">
                  <c:v>45666</c:v>
                </c:pt>
                <c:pt idx="532">
                  <c:v>45667</c:v>
                </c:pt>
                <c:pt idx="533">
                  <c:v>45670</c:v>
                </c:pt>
                <c:pt idx="534">
                  <c:v>45671</c:v>
                </c:pt>
                <c:pt idx="535">
                  <c:v>45672</c:v>
                </c:pt>
                <c:pt idx="536">
                  <c:v>45673</c:v>
                </c:pt>
                <c:pt idx="537">
                  <c:v>45674</c:v>
                </c:pt>
                <c:pt idx="538">
                  <c:v>45677</c:v>
                </c:pt>
                <c:pt idx="539">
                  <c:v>45678</c:v>
                </c:pt>
                <c:pt idx="540">
                  <c:v>45679</c:v>
                </c:pt>
                <c:pt idx="541">
                  <c:v>45680</c:v>
                </c:pt>
                <c:pt idx="542">
                  <c:v>45681</c:v>
                </c:pt>
                <c:pt idx="543">
                  <c:v>45684</c:v>
                </c:pt>
                <c:pt idx="544">
                  <c:v>45685</c:v>
                </c:pt>
                <c:pt idx="545">
                  <c:v>45686</c:v>
                </c:pt>
                <c:pt idx="546">
                  <c:v>45687</c:v>
                </c:pt>
                <c:pt idx="547">
                  <c:v>45688</c:v>
                </c:pt>
                <c:pt idx="548">
                  <c:v>45691</c:v>
                </c:pt>
                <c:pt idx="549">
                  <c:v>45692</c:v>
                </c:pt>
                <c:pt idx="550">
                  <c:v>45693</c:v>
                </c:pt>
                <c:pt idx="551">
                  <c:v>45694</c:v>
                </c:pt>
                <c:pt idx="552">
                  <c:v>45695</c:v>
                </c:pt>
                <c:pt idx="553">
                  <c:v>45698</c:v>
                </c:pt>
                <c:pt idx="554">
                  <c:v>45699</c:v>
                </c:pt>
                <c:pt idx="555">
                  <c:v>45700</c:v>
                </c:pt>
                <c:pt idx="556">
                  <c:v>45701</c:v>
                </c:pt>
                <c:pt idx="557">
                  <c:v>45702</c:v>
                </c:pt>
                <c:pt idx="558">
                  <c:v>45705</c:v>
                </c:pt>
                <c:pt idx="559">
                  <c:v>45706</c:v>
                </c:pt>
                <c:pt idx="560">
                  <c:v>45707</c:v>
                </c:pt>
                <c:pt idx="561">
                  <c:v>45708</c:v>
                </c:pt>
                <c:pt idx="562">
                  <c:v>45709</c:v>
                </c:pt>
                <c:pt idx="563">
                  <c:v>45712</c:v>
                </c:pt>
                <c:pt idx="564">
                  <c:v>45713</c:v>
                </c:pt>
                <c:pt idx="565">
                  <c:v>45714</c:v>
                </c:pt>
                <c:pt idx="566">
                  <c:v>45715</c:v>
                </c:pt>
                <c:pt idx="567">
                  <c:v>45716</c:v>
                </c:pt>
                <c:pt idx="568">
                  <c:v>45719</c:v>
                </c:pt>
                <c:pt idx="569">
                  <c:v>45720</c:v>
                </c:pt>
                <c:pt idx="570">
                  <c:v>45721</c:v>
                </c:pt>
                <c:pt idx="571">
                  <c:v>45722</c:v>
                </c:pt>
                <c:pt idx="572">
                  <c:v>45723</c:v>
                </c:pt>
                <c:pt idx="573">
                  <c:v>45726</c:v>
                </c:pt>
                <c:pt idx="574">
                  <c:v>45727</c:v>
                </c:pt>
                <c:pt idx="575">
                  <c:v>45728</c:v>
                </c:pt>
                <c:pt idx="576">
                  <c:v>45729</c:v>
                </c:pt>
                <c:pt idx="577">
                  <c:v>45730</c:v>
                </c:pt>
                <c:pt idx="578">
                  <c:v>45733</c:v>
                </c:pt>
                <c:pt idx="579">
                  <c:v>45734</c:v>
                </c:pt>
                <c:pt idx="580">
                  <c:v>45735</c:v>
                </c:pt>
                <c:pt idx="581">
                  <c:v>45736</c:v>
                </c:pt>
                <c:pt idx="582">
                  <c:v>45737</c:v>
                </c:pt>
                <c:pt idx="583">
                  <c:v>45740</c:v>
                </c:pt>
                <c:pt idx="584">
                  <c:v>45741</c:v>
                </c:pt>
                <c:pt idx="585">
                  <c:v>45742</c:v>
                </c:pt>
                <c:pt idx="586">
                  <c:v>45743</c:v>
                </c:pt>
                <c:pt idx="587">
                  <c:v>45744</c:v>
                </c:pt>
                <c:pt idx="588">
                  <c:v>45747</c:v>
                </c:pt>
                <c:pt idx="589">
                  <c:v>45748</c:v>
                </c:pt>
                <c:pt idx="590">
                  <c:v>45749</c:v>
                </c:pt>
                <c:pt idx="591">
                  <c:v>45750</c:v>
                </c:pt>
                <c:pt idx="592">
                  <c:v>45751</c:v>
                </c:pt>
                <c:pt idx="593">
                  <c:v>45754</c:v>
                </c:pt>
                <c:pt idx="594">
                  <c:v>45755</c:v>
                </c:pt>
                <c:pt idx="595">
                  <c:v>45756</c:v>
                </c:pt>
                <c:pt idx="596">
                  <c:v>45757</c:v>
                </c:pt>
                <c:pt idx="597">
                  <c:v>45761</c:v>
                </c:pt>
                <c:pt idx="598">
                  <c:v>45762</c:v>
                </c:pt>
                <c:pt idx="599">
                  <c:v>45763</c:v>
                </c:pt>
                <c:pt idx="600">
                  <c:v>45764</c:v>
                </c:pt>
                <c:pt idx="601">
                  <c:v>45768</c:v>
                </c:pt>
                <c:pt idx="602">
                  <c:v>45771</c:v>
                </c:pt>
                <c:pt idx="603">
                  <c:v>45772</c:v>
                </c:pt>
                <c:pt idx="604">
                  <c:v>45775</c:v>
                </c:pt>
                <c:pt idx="605">
                  <c:v>45776</c:v>
                </c:pt>
                <c:pt idx="606">
                  <c:v>45784</c:v>
                </c:pt>
                <c:pt idx="607">
                  <c:v>45785</c:v>
                </c:pt>
                <c:pt idx="608">
                  <c:v>45789</c:v>
                </c:pt>
                <c:pt idx="609">
                  <c:v>45790</c:v>
                </c:pt>
                <c:pt idx="610">
                  <c:v>45796</c:v>
                </c:pt>
                <c:pt idx="611">
                  <c:v>45797</c:v>
                </c:pt>
                <c:pt idx="612">
                  <c:v>45798</c:v>
                </c:pt>
                <c:pt idx="613">
                  <c:v>45799</c:v>
                </c:pt>
                <c:pt idx="614">
                  <c:v>45800</c:v>
                </c:pt>
                <c:pt idx="615">
                  <c:v>45804</c:v>
                </c:pt>
                <c:pt idx="616">
                  <c:v>45805</c:v>
                </c:pt>
                <c:pt idx="617">
                  <c:v>45806</c:v>
                </c:pt>
                <c:pt idx="618">
                  <c:v>45807</c:v>
                </c:pt>
                <c:pt idx="619">
                  <c:v>45810</c:v>
                </c:pt>
                <c:pt idx="620">
                  <c:v>45811</c:v>
                </c:pt>
                <c:pt idx="621">
                  <c:v>45812</c:v>
                </c:pt>
                <c:pt idx="622">
                  <c:v>45813</c:v>
                </c:pt>
                <c:pt idx="623">
                  <c:v>45814</c:v>
                </c:pt>
                <c:pt idx="624">
                  <c:v>45817</c:v>
                </c:pt>
                <c:pt idx="625">
                  <c:v>45818</c:v>
                </c:pt>
                <c:pt idx="626">
                  <c:v>45819</c:v>
                </c:pt>
                <c:pt idx="627">
                  <c:v>45821</c:v>
                </c:pt>
                <c:pt idx="628">
                  <c:v>45824</c:v>
                </c:pt>
                <c:pt idx="629">
                  <c:v>45825</c:v>
                </c:pt>
                <c:pt idx="630">
                  <c:v>45826</c:v>
                </c:pt>
                <c:pt idx="631">
                  <c:v>45828</c:v>
                </c:pt>
                <c:pt idx="632">
                  <c:v>45831</c:v>
                </c:pt>
                <c:pt idx="633">
                  <c:v>45832</c:v>
                </c:pt>
                <c:pt idx="634">
                  <c:v>45833</c:v>
                </c:pt>
                <c:pt idx="635">
                  <c:v>45835</c:v>
                </c:pt>
                <c:pt idx="636">
                  <c:v>45838</c:v>
                </c:pt>
                <c:pt idx="637">
                  <c:v>45839</c:v>
                </c:pt>
                <c:pt idx="638">
                  <c:v>45840</c:v>
                </c:pt>
                <c:pt idx="639">
                  <c:v>45841</c:v>
                </c:pt>
                <c:pt idx="640">
                  <c:v>45845</c:v>
                </c:pt>
                <c:pt idx="641">
                  <c:v>45846</c:v>
                </c:pt>
                <c:pt idx="642">
                  <c:v>45847</c:v>
                </c:pt>
                <c:pt idx="643">
                  <c:v>45848</c:v>
                </c:pt>
                <c:pt idx="644">
                  <c:v>45849</c:v>
                </c:pt>
                <c:pt idx="645">
                  <c:v>45852</c:v>
                </c:pt>
                <c:pt idx="646">
                  <c:v>45853</c:v>
                </c:pt>
                <c:pt idx="647">
                  <c:v>45854</c:v>
                </c:pt>
                <c:pt idx="648">
                  <c:v>45855</c:v>
                </c:pt>
                <c:pt idx="649">
                  <c:v>45856</c:v>
                </c:pt>
                <c:pt idx="650">
                  <c:v>45859</c:v>
                </c:pt>
                <c:pt idx="651">
                  <c:v>45860</c:v>
                </c:pt>
                <c:pt idx="652">
                  <c:v>45861</c:v>
                </c:pt>
                <c:pt idx="653">
                  <c:v>45862</c:v>
                </c:pt>
                <c:pt idx="654">
                  <c:v>45863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45880</c:v>
                </c:pt>
                <c:pt idx="666">
                  <c:v>45881</c:v>
                </c:pt>
                <c:pt idx="667">
                  <c:v>45882</c:v>
                </c:pt>
                <c:pt idx="668">
                  <c:v>45883</c:v>
                </c:pt>
                <c:pt idx="669">
                  <c:v>45884</c:v>
                </c:pt>
                <c:pt idx="670">
                  <c:v>45887</c:v>
                </c:pt>
                <c:pt idx="671">
                  <c:v>45888</c:v>
                </c:pt>
                <c:pt idx="672">
                  <c:v>45889</c:v>
                </c:pt>
                <c:pt idx="673">
                  <c:v>45890</c:v>
                </c:pt>
                <c:pt idx="674">
                  <c:v>45891</c:v>
                </c:pt>
                <c:pt idx="675">
                  <c:v>45894</c:v>
                </c:pt>
                <c:pt idx="676">
                  <c:v>45895</c:v>
                </c:pt>
                <c:pt idx="677">
                  <c:v>45896</c:v>
                </c:pt>
                <c:pt idx="678">
                  <c:v>45897</c:v>
                </c:pt>
                <c:pt idx="679">
                  <c:v>45898</c:v>
                </c:pt>
                <c:pt idx="680">
                  <c:v>45901</c:v>
                </c:pt>
                <c:pt idx="681">
                  <c:v>45902</c:v>
                </c:pt>
                <c:pt idx="682">
                  <c:v>45903</c:v>
                </c:pt>
                <c:pt idx="683">
                  <c:v>45904</c:v>
                </c:pt>
                <c:pt idx="684">
                  <c:v>45905</c:v>
                </c:pt>
                <c:pt idx="685">
                  <c:v>45908</c:v>
                </c:pt>
                <c:pt idx="686">
                  <c:v>45909</c:v>
                </c:pt>
                <c:pt idx="687">
                  <c:v>45910</c:v>
                </c:pt>
                <c:pt idx="688">
                  <c:v>45911</c:v>
                </c:pt>
                <c:pt idx="689">
                  <c:v>45912</c:v>
                </c:pt>
                <c:pt idx="690">
                  <c:v>45915</c:v>
                </c:pt>
                <c:pt idx="691">
                  <c:v>45916</c:v>
                </c:pt>
                <c:pt idx="692">
                  <c:v>45917</c:v>
                </c:pt>
                <c:pt idx="693">
                  <c:v>45918</c:v>
                </c:pt>
              </c:numCache>
            </c:numRef>
          </c:cat>
          <c:val>
            <c:numRef>
              <c:f>Info!$J$4:$J$667</c:f>
              <c:numCache>
                <c:formatCode>General</c:formatCode>
                <c:ptCount val="66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4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4</c:v>
                </c:pt>
                <c:pt idx="635">
                  <c:v>4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4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D-40F4-A5DD-E9C4939E8428}"/>
            </c:ext>
          </c:extLst>
        </c:ser>
        <c:ser>
          <c:idx val="3"/>
          <c:order val="3"/>
          <c:tx>
            <c:strRef>
              <c:f>Info!$K$1</c:f>
              <c:strCache>
                <c:ptCount val="1"/>
                <c:pt idx="0">
                  <c:v>$6 - 75% of Uncovered Position Outside Nearby</c:v>
                </c:pt>
              </c:strCache>
            </c:strRef>
          </c:tx>
          <c:spPr>
            <a:ln w="34925" cap="rnd">
              <a:solidFill>
                <a:srgbClr val="FFC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Info!$A$4:$A$697</c:f>
              <c:numCache>
                <c:formatCode>m/d/yy</c:formatCode>
                <c:ptCount val="694"/>
                <c:pt idx="0">
                  <c:v>44896</c:v>
                </c:pt>
                <c:pt idx="1">
                  <c:v>44897</c:v>
                </c:pt>
                <c:pt idx="2">
                  <c:v>44900</c:v>
                </c:pt>
                <c:pt idx="3">
                  <c:v>44901</c:v>
                </c:pt>
                <c:pt idx="4">
                  <c:v>44902</c:v>
                </c:pt>
                <c:pt idx="5">
                  <c:v>44903</c:v>
                </c:pt>
                <c:pt idx="6">
                  <c:v>44904</c:v>
                </c:pt>
                <c:pt idx="7">
                  <c:v>44907</c:v>
                </c:pt>
                <c:pt idx="8">
                  <c:v>44908</c:v>
                </c:pt>
                <c:pt idx="9">
                  <c:v>44909</c:v>
                </c:pt>
                <c:pt idx="10">
                  <c:v>44910</c:v>
                </c:pt>
                <c:pt idx="11">
                  <c:v>44911</c:v>
                </c:pt>
                <c:pt idx="12">
                  <c:v>44914</c:v>
                </c:pt>
                <c:pt idx="13">
                  <c:v>44915</c:v>
                </c:pt>
                <c:pt idx="14">
                  <c:v>44916</c:v>
                </c:pt>
                <c:pt idx="15">
                  <c:v>44917</c:v>
                </c:pt>
                <c:pt idx="16">
                  <c:v>44918</c:v>
                </c:pt>
                <c:pt idx="17">
                  <c:v>44923</c:v>
                </c:pt>
                <c:pt idx="18">
                  <c:v>44924</c:v>
                </c:pt>
                <c:pt idx="19">
                  <c:v>44925</c:v>
                </c:pt>
                <c:pt idx="20">
                  <c:v>44929</c:v>
                </c:pt>
                <c:pt idx="21">
                  <c:v>44930</c:v>
                </c:pt>
                <c:pt idx="22">
                  <c:v>44931</c:v>
                </c:pt>
                <c:pt idx="23">
                  <c:v>44932</c:v>
                </c:pt>
                <c:pt idx="24">
                  <c:v>44935</c:v>
                </c:pt>
                <c:pt idx="25">
                  <c:v>44936</c:v>
                </c:pt>
                <c:pt idx="26">
                  <c:v>44937</c:v>
                </c:pt>
                <c:pt idx="27">
                  <c:v>44938</c:v>
                </c:pt>
                <c:pt idx="28">
                  <c:v>44939</c:v>
                </c:pt>
                <c:pt idx="29">
                  <c:v>44942</c:v>
                </c:pt>
                <c:pt idx="30">
                  <c:v>44943</c:v>
                </c:pt>
                <c:pt idx="31">
                  <c:v>44944</c:v>
                </c:pt>
                <c:pt idx="32">
                  <c:v>44945</c:v>
                </c:pt>
                <c:pt idx="33">
                  <c:v>44946</c:v>
                </c:pt>
                <c:pt idx="34">
                  <c:v>44949</c:v>
                </c:pt>
                <c:pt idx="35">
                  <c:v>44950</c:v>
                </c:pt>
                <c:pt idx="36">
                  <c:v>44951</c:v>
                </c:pt>
                <c:pt idx="37">
                  <c:v>44952</c:v>
                </c:pt>
                <c:pt idx="38">
                  <c:v>44953</c:v>
                </c:pt>
                <c:pt idx="39">
                  <c:v>44956</c:v>
                </c:pt>
                <c:pt idx="40">
                  <c:v>44958</c:v>
                </c:pt>
                <c:pt idx="41">
                  <c:v>44959</c:v>
                </c:pt>
                <c:pt idx="42">
                  <c:v>44960</c:v>
                </c:pt>
                <c:pt idx="43">
                  <c:v>44963</c:v>
                </c:pt>
                <c:pt idx="44">
                  <c:v>44964</c:v>
                </c:pt>
                <c:pt idx="45">
                  <c:v>44965</c:v>
                </c:pt>
                <c:pt idx="46">
                  <c:v>44966</c:v>
                </c:pt>
                <c:pt idx="47">
                  <c:v>44967</c:v>
                </c:pt>
                <c:pt idx="48">
                  <c:v>44970</c:v>
                </c:pt>
                <c:pt idx="49">
                  <c:v>44971</c:v>
                </c:pt>
                <c:pt idx="50">
                  <c:v>44972</c:v>
                </c:pt>
                <c:pt idx="51">
                  <c:v>44973</c:v>
                </c:pt>
                <c:pt idx="52">
                  <c:v>44974</c:v>
                </c:pt>
                <c:pt idx="53">
                  <c:v>44977</c:v>
                </c:pt>
                <c:pt idx="54">
                  <c:v>44978</c:v>
                </c:pt>
                <c:pt idx="55">
                  <c:v>44979</c:v>
                </c:pt>
                <c:pt idx="56">
                  <c:v>44980</c:v>
                </c:pt>
                <c:pt idx="57">
                  <c:v>44981</c:v>
                </c:pt>
                <c:pt idx="58">
                  <c:v>44984</c:v>
                </c:pt>
                <c:pt idx="59">
                  <c:v>44985</c:v>
                </c:pt>
                <c:pt idx="60">
                  <c:v>44986</c:v>
                </c:pt>
                <c:pt idx="61">
                  <c:v>44987</c:v>
                </c:pt>
                <c:pt idx="62">
                  <c:v>44988</c:v>
                </c:pt>
                <c:pt idx="63">
                  <c:v>44991</c:v>
                </c:pt>
                <c:pt idx="64">
                  <c:v>44992</c:v>
                </c:pt>
                <c:pt idx="65">
                  <c:v>44993</c:v>
                </c:pt>
                <c:pt idx="66">
                  <c:v>44994</c:v>
                </c:pt>
                <c:pt idx="67">
                  <c:v>44995</c:v>
                </c:pt>
                <c:pt idx="68">
                  <c:v>44998</c:v>
                </c:pt>
                <c:pt idx="69">
                  <c:v>44999</c:v>
                </c:pt>
                <c:pt idx="70">
                  <c:v>45000</c:v>
                </c:pt>
                <c:pt idx="71">
                  <c:v>45001</c:v>
                </c:pt>
                <c:pt idx="72">
                  <c:v>45002</c:v>
                </c:pt>
                <c:pt idx="73">
                  <c:v>45005</c:v>
                </c:pt>
                <c:pt idx="74">
                  <c:v>45006</c:v>
                </c:pt>
                <c:pt idx="75">
                  <c:v>45007</c:v>
                </c:pt>
                <c:pt idx="76">
                  <c:v>45008</c:v>
                </c:pt>
                <c:pt idx="77">
                  <c:v>45009</c:v>
                </c:pt>
                <c:pt idx="78">
                  <c:v>45012</c:v>
                </c:pt>
                <c:pt idx="79">
                  <c:v>45013</c:v>
                </c:pt>
                <c:pt idx="80">
                  <c:v>45014</c:v>
                </c:pt>
                <c:pt idx="81">
                  <c:v>45015</c:v>
                </c:pt>
                <c:pt idx="82">
                  <c:v>45016</c:v>
                </c:pt>
                <c:pt idx="83">
                  <c:v>45019</c:v>
                </c:pt>
                <c:pt idx="84">
                  <c:v>45020</c:v>
                </c:pt>
                <c:pt idx="85">
                  <c:v>45021</c:v>
                </c:pt>
                <c:pt idx="86">
                  <c:v>45022</c:v>
                </c:pt>
                <c:pt idx="87">
                  <c:v>45027</c:v>
                </c:pt>
                <c:pt idx="88">
                  <c:v>45028</c:v>
                </c:pt>
                <c:pt idx="89">
                  <c:v>45029</c:v>
                </c:pt>
                <c:pt idx="90">
                  <c:v>45030</c:v>
                </c:pt>
                <c:pt idx="91">
                  <c:v>45033</c:v>
                </c:pt>
                <c:pt idx="92">
                  <c:v>45034</c:v>
                </c:pt>
                <c:pt idx="93">
                  <c:v>45035</c:v>
                </c:pt>
                <c:pt idx="94">
                  <c:v>45036</c:v>
                </c:pt>
                <c:pt idx="95">
                  <c:v>45037</c:v>
                </c:pt>
                <c:pt idx="96">
                  <c:v>45040</c:v>
                </c:pt>
                <c:pt idx="97">
                  <c:v>45041</c:v>
                </c:pt>
                <c:pt idx="98">
                  <c:v>45042</c:v>
                </c:pt>
                <c:pt idx="99">
                  <c:v>45043</c:v>
                </c:pt>
                <c:pt idx="100">
                  <c:v>45044</c:v>
                </c:pt>
                <c:pt idx="101">
                  <c:v>45048</c:v>
                </c:pt>
                <c:pt idx="102">
                  <c:v>45049</c:v>
                </c:pt>
                <c:pt idx="103">
                  <c:v>45050</c:v>
                </c:pt>
                <c:pt idx="104">
                  <c:v>45051</c:v>
                </c:pt>
                <c:pt idx="105">
                  <c:v>45055</c:v>
                </c:pt>
                <c:pt idx="106">
                  <c:v>45056</c:v>
                </c:pt>
                <c:pt idx="107">
                  <c:v>45057</c:v>
                </c:pt>
                <c:pt idx="108">
                  <c:v>45058</c:v>
                </c:pt>
                <c:pt idx="109">
                  <c:v>45061</c:v>
                </c:pt>
                <c:pt idx="110">
                  <c:v>45062</c:v>
                </c:pt>
                <c:pt idx="111">
                  <c:v>45063</c:v>
                </c:pt>
                <c:pt idx="112">
                  <c:v>45064</c:v>
                </c:pt>
                <c:pt idx="113">
                  <c:v>45065</c:v>
                </c:pt>
                <c:pt idx="114">
                  <c:v>45068</c:v>
                </c:pt>
                <c:pt idx="115">
                  <c:v>45069</c:v>
                </c:pt>
                <c:pt idx="116">
                  <c:v>45070</c:v>
                </c:pt>
                <c:pt idx="117">
                  <c:v>45071</c:v>
                </c:pt>
                <c:pt idx="118">
                  <c:v>45072</c:v>
                </c:pt>
                <c:pt idx="119">
                  <c:v>45076</c:v>
                </c:pt>
                <c:pt idx="120">
                  <c:v>45077</c:v>
                </c:pt>
                <c:pt idx="121">
                  <c:v>45078</c:v>
                </c:pt>
                <c:pt idx="122">
                  <c:v>45079</c:v>
                </c:pt>
                <c:pt idx="123">
                  <c:v>45082</c:v>
                </c:pt>
                <c:pt idx="124">
                  <c:v>45083</c:v>
                </c:pt>
                <c:pt idx="125">
                  <c:v>45084</c:v>
                </c:pt>
                <c:pt idx="126">
                  <c:v>45085</c:v>
                </c:pt>
                <c:pt idx="127">
                  <c:v>45086</c:v>
                </c:pt>
                <c:pt idx="128">
                  <c:v>45089</c:v>
                </c:pt>
                <c:pt idx="129">
                  <c:v>45090</c:v>
                </c:pt>
                <c:pt idx="130">
                  <c:v>45091</c:v>
                </c:pt>
                <c:pt idx="131">
                  <c:v>45092</c:v>
                </c:pt>
                <c:pt idx="132">
                  <c:v>45093</c:v>
                </c:pt>
                <c:pt idx="133">
                  <c:v>45096</c:v>
                </c:pt>
                <c:pt idx="134">
                  <c:v>45097</c:v>
                </c:pt>
                <c:pt idx="135">
                  <c:v>45098</c:v>
                </c:pt>
                <c:pt idx="136">
                  <c:v>45099</c:v>
                </c:pt>
                <c:pt idx="137">
                  <c:v>45100</c:v>
                </c:pt>
                <c:pt idx="138">
                  <c:v>45103</c:v>
                </c:pt>
                <c:pt idx="139">
                  <c:v>45104</c:v>
                </c:pt>
                <c:pt idx="140">
                  <c:v>45105</c:v>
                </c:pt>
                <c:pt idx="141">
                  <c:v>45106</c:v>
                </c:pt>
                <c:pt idx="142">
                  <c:v>45107</c:v>
                </c:pt>
                <c:pt idx="143">
                  <c:v>45110</c:v>
                </c:pt>
                <c:pt idx="144">
                  <c:v>45111</c:v>
                </c:pt>
                <c:pt idx="145">
                  <c:v>45112</c:v>
                </c:pt>
                <c:pt idx="146">
                  <c:v>45113</c:v>
                </c:pt>
                <c:pt idx="147">
                  <c:v>45114</c:v>
                </c:pt>
                <c:pt idx="148">
                  <c:v>45117</c:v>
                </c:pt>
                <c:pt idx="149">
                  <c:v>45118</c:v>
                </c:pt>
                <c:pt idx="150">
                  <c:v>45119</c:v>
                </c:pt>
                <c:pt idx="151">
                  <c:v>45120</c:v>
                </c:pt>
                <c:pt idx="152">
                  <c:v>45121</c:v>
                </c:pt>
                <c:pt idx="153">
                  <c:v>45124</c:v>
                </c:pt>
                <c:pt idx="154">
                  <c:v>45125</c:v>
                </c:pt>
                <c:pt idx="155">
                  <c:v>45126</c:v>
                </c:pt>
                <c:pt idx="156">
                  <c:v>45127</c:v>
                </c:pt>
                <c:pt idx="157">
                  <c:v>45128</c:v>
                </c:pt>
                <c:pt idx="158">
                  <c:v>45131</c:v>
                </c:pt>
                <c:pt idx="159">
                  <c:v>45132</c:v>
                </c:pt>
                <c:pt idx="160">
                  <c:v>45133</c:v>
                </c:pt>
                <c:pt idx="161">
                  <c:v>45134</c:v>
                </c:pt>
                <c:pt idx="162">
                  <c:v>45135</c:v>
                </c:pt>
                <c:pt idx="163">
                  <c:v>45138</c:v>
                </c:pt>
                <c:pt idx="164">
                  <c:v>45139</c:v>
                </c:pt>
                <c:pt idx="165">
                  <c:v>45140</c:v>
                </c:pt>
                <c:pt idx="166">
                  <c:v>45141</c:v>
                </c:pt>
                <c:pt idx="167">
                  <c:v>45142</c:v>
                </c:pt>
                <c:pt idx="168">
                  <c:v>45145</c:v>
                </c:pt>
                <c:pt idx="169">
                  <c:v>45146</c:v>
                </c:pt>
                <c:pt idx="170">
                  <c:v>45147</c:v>
                </c:pt>
                <c:pt idx="171">
                  <c:v>45148</c:v>
                </c:pt>
                <c:pt idx="172">
                  <c:v>45149</c:v>
                </c:pt>
                <c:pt idx="173">
                  <c:v>45152</c:v>
                </c:pt>
                <c:pt idx="174">
                  <c:v>45153</c:v>
                </c:pt>
                <c:pt idx="175">
                  <c:v>45154</c:v>
                </c:pt>
                <c:pt idx="176">
                  <c:v>45155</c:v>
                </c:pt>
                <c:pt idx="177">
                  <c:v>45156</c:v>
                </c:pt>
                <c:pt idx="178">
                  <c:v>45159</c:v>
                </c:pt>
                <c:pt idx="179">
                  <c:v>45160</c:v>
                </c:pt>
                <c:pt idx="180">
                  <c:v>45161</c:v>
                </c:pt>
                <c:pt idx="181">
                  <c:v>45162</c:v>
                </c:pt>
                <c:pt idx="182">
                  <c:v>45163</c:v>
                </c:pt>
                <c:pt idx="183">
                  <c:v>45167</c:v>
                </c:pt>
                <c:pt idx="184">
                  <c:v>45168</c:v>
                </c:pt>
                <c:pt idx="185">
                  <c:v>45169</c:v>
                </c:pt>
                <c:pt idx="186">
                  <c:v>45170</c:v>
                </c:pt>
                <c:pt idx="187">
                  <c:v>45173</c:v>
                </c:pt>
                <c:pt idx="188">
                  <c:v>45174</c:v>
                </c:pt>
                <c:pt idx="189">
                  <c:v>45175</c:v>
                </c:pt>
                <c:pt idx="190">
                  <c:v>45176</c:v>
                </c:pt>
                <c:pt idx="191">
                  <c:v>45177</c:v>
                </c:pt>
                <c:pt idx="192">
                  <c:v>45180</c:v>
                </c:pt>
                <c:pt idx="193">
                  <c:v>45181</c:v>
                </c:pt>
                <c:pt idx="194">
                  <c:v>45182</c:v>
                </c:pt>
                <c:pt idx="195">
                  <c:v>45183</c:v>
                </c:pt>
                <c:pt idx="196">
                  <c:v>45184</c:v>
                </c:pt>
                <c:pt idx="197">
                  <c:v>45187</c:v>
                </c:pt>
                <c:pt idx="198">
                  <c:v>45188</c:v>
                </c:pt>
                <c:pt idx="199">
                  <c:v>45189</c:v>
                </c:pt>
                <c:pt idx="200">
                  <c:v>45190</c:v>
                </c:pt>
                <c:pt idx="201">
                  <c:v>45191</c:v>
                </c:pt>
                <c:pt idx="202">
                  <c:v>45194</c:v>
                </c:pt>
                <c:pt idx="203">
                  <c:v>45195</c:v>
                </c:pt>
                <c:pt idx="204">
                  <c:v>45196</c:v>
                </c:pt>
                <c:pt idx="205">
                  <c:v>45197</c:v>
                </c:pt>
                <c:pt idx="206">
                  <c:v>45198</c:v>
                </c:pt>
                <c:pt idx="207">
                  <c:v>45201</c:v>
                </c:pt>
                <c:pt idx="208">
                  <c:v>45202</c:v>
                </c:pt>
                <c:pt idx="209">
                  <c:v>45203</c:v>
                </c:pt>
                <c:pt idx="210">
                  <c:v>45204</c:v>
                </c:pt>
                <c:pt idx="211">
                  <c:v>45205</c:v>
                </c:pt>
                <c:pt idx="212">
                  <c:v>45208</c:v>
                </c:pt>
                <c:pt idx="213">
                  <c:v>45209</c:v>
                </c:pt>
                <c:pt idx="214">
                  <c:v>45210</c:v>
                </c:pt>
                <c:pt idx="215">
                  <c:v>45211</c:v>
                </c:pt>
                <c:pt idx="216">
                  <c:v>45212</c:v>
                </c:pt>
                <c:pt idx="217">
                  <c:v>45215</c:v>
                </c:pt>
                <c:pt idx="218">
                  <c:v>45216</c:v>
                </c:pt>
                <c:pt idx="219">
                  <c:v>45217</c:v>
                </c:pt>
                <c:pt idx="220">
                  <c:v>45218</c:v>
                </c:pt>
                <c:pt idx="221">
                  <c:v>45219</c:v>
                </c:pt>
                <c:pt idx="222">
                  <c:v>45222</c:v>
                </c:pt>
                <c:pt idx="223">
                  <c:v>45223</c:v>
                </c:pt>
                <c:pt idx="224">
                  <c:v>45224</c:v>
                </c:pt>
                <c:pt idx="225">
                  <c:v>45225</c:v>
                </c:pt>
                <c:pt idx="226">
                  <c:v>45226</c:v>
                </c:pt>
                <c:pt idx="227">
                  <c:v>45229</c:v>
                </c:pt>
                <c:pt idx="228">
                  <c:v>45230</c:v>
                </c:pt>
                <c:pt idx="229">
                  <c:v>45231</c:v>
                </c:pt>
                <c:pt idx="230">
                  <c:v>45232</c:v>
                </c:pt>
                <c:pt idx="231">
                  <c:v>45233</c:v>
                </c:pt>
                <c:pt idx="232">
                  <c:v>45236</c:v>
                </c:pt>
                <c:pt idx="233">
                  <c:v>45237</c:v>
                </c:pt>
                <c:pt idx="234">
                  <c:v>45238</c:v>
                </c:pt>
                <c:pt idx="235">
                  <c:v>45239</c:v>
                </c:pt>
                <c:pt idx="236">
                  <c:v>45240</c:v>
                </c:pt>
                <c:pt idx="237">
                  <c:v>45243</c:v>
                </c:pt>
                <c:pt idx="238">
                  <c:v>45244</c:v>
                </c:pt>
                <c:pt idx="239">
                  <c:v>45245</c:v>
                </c:pt>
                <c:pt idx="240">
                  <c:v>45246</c:v>
                </c:pt>
                <c:pt idx="241">
                  <c:v>45247</c:v>
                </c:pt>
                <c:pt idx="242">
                  <c:v>45250</c:v>
                </c:pt>
                <c:pt idx="243">
                  <c:v>45251</c:v>
                </c:pt>
                <c:pt idx="244">
                  <c:v>45252</c:v>
                </c:pt>
                <c:pt idx="245">
                  <c:v>45253</c:v>
                </c:pt>
                <c:pt idx="246">
                  <c:v>45254</c:v>
                </c:pt>
                <c:pt idx="247">
                  <c:v>45257</c:v>
                </c:pt>
                <c:pt idx="248">
                  <c:v>45258</c:v>
                </c:pt>
                <c:pt idx="249">
                  <c:v>45259</c:v>
                </c:pt>
                <c:pt idx="250">
                  <c:v>45260</c:v>
                </c:pt>
                <c:pt idx="251">
                  <c:v>45261</c:v>
                </c:pt>
                <c:pt idx="252">
                  <c:v>45264</c:v>
                </c:pt>
                <c:pt idx="253">
                  <c:v>45265</c:v>
                </c:pt>
                <c:pt idx="254">
                  <c:v>45266</c:v>
                </c:pt>
                <c:pt idx="255">
                  <c:v>45267</c:v>
                </c:pt>
                <c:pt idx="256">
                  <c:v>45268</c:v>
                </c:pt>
                <c:pt idx="257">
                  <c:v>45271</c:v>
                </c:pt>
                <c:pt idx="258">
                  <c:v>45272</c:v>
                </c:pt>
                <c:pt idx="259">
                  <c:v>45273</c:v>
                </c:pt>
                <c:pt idx="260">
                  <c:v>45274</c:v>
                </c:pt>
                <c:pt idx="261">
                  <c:v>45275</c:v>
                </c:pt>
                <c:pt idx="262">
                  <c:v>45278</c:v>
                </c:pt>
                <c:pt idx="263">
                  <c:v>45279</c:v>
                </c:pt>
                <c:pt idx="264">
                  <c:v>45280</c:v>
                </c:pt>
                <c:pt idx="265">
                  <c:v>45281</c:v>
                </c:pt>
                <c:pt idx="266">
                  <c:v>45282</c:v>
                </c:pt>
                <c:pt idx="267">
                  <c:v>45286</c:v>
                </c:pt>
                <c:pt idx="268">
                  <c:v>45287</c:v>
                </c:pt>
                <c:pt idx="269">
                  <c:v>45288</c:v>
                </c:pt>
                <c:pt idx="270">
                  <c:v>45289</c:v>
                </c:pt>
                <c:pt idx="271">
                  <c:v>45293</c:v>
                </c:pt>
                <c:pt idx="272">
                  <c:v>45294</c:v>
                </c:pt>
                <c:pt idx="273">
                  <c:v>45295</c:v>
                </c:pt>
                <c:pt idx="274">
                  <c:v>45296</c:v>
                </c:pt>
                <c:pt idx="275">
                  <c:v>45299</c:v>
                </c:pt>
                <c:pt idx="276">
                  <c:v>45300</c:v>
                </c:pt>
                <c:pt idx="277">
                  <c:v>45301</c:v>
                </c:pt>
                <c:pt idx="278">
                  <c:v>45302</c:v>
                </c:pt>
                <c:pt idx="279">
                  <c:v>45303</c:v>
                </c:pt>
                <c:pt idx="280">
                  <c:v>45306</c:v>
                </c:pt>
                <c:pt idx="281">
                  <c:v>45307</c:v>
                </c:pt>
                <c:pt idx="282">
                  <c:v>45308</c:v>
                </c:pt>
                <c:pt idx="283">
                  <c:v>45309</c:v>
                </c:pt>
                <c:pt idx="284">
                  <c:v>45310</c:v>
                </c:pt>
                <c:pt idx="285">
                  <c:v>45313</c:v>
                </c:pt>
                <c:pt idx="286">
                  <c:v>45314</c:v>
                </c:pt>
                <c:pt idx="287">
                  <c:v>45315</c:v>
                </c:pt>
                <c:pt idx="288">
                  <c:v>45316</c:v>
                </c:pt>
                <c:pt idx="289">
                  <c:v>45317</c:v>
                </c:pt>
                <c:pt idx="290">
                  <c:v>45320</c:v>
                </c:pt>
                <c:pt idx="291">
                  <c:v>45321</c:v>
                </c:pt>
                <c:pt idx="292">
                  <c:v>45322</c:v>
                </c:pt>
                <c:pt idx="293">
                  <c:v>45323</c:v>
                </c:pt>
                <c:pt idx="294">
                  <c:v>45324</c:v>
                </c:pt>
                <c:pt idx="295">
                  <c:v>45327</c:v>
                </c:pt>
                <c:pt idx="296">
                  <c:v>45328</c:v>
                </c:pt>
                <c:pt idx="297">
                  <c:v>45329</c:v>
                </c:pt>
                <c:pt idx="298">
                  <c:v>45330</c:v>
                </c:pt>
                <c:pt idx="299">
                  <c:v>45331</c:v>
                </c:pt>
                <c:pt idx="300">
                  <c:v>45334</c:v>
                </c:pt>
                <c:pt idx="301">
                  <c:v>45335</c:v>
                </c:pt>
                <c:pt idx="302">
                  <c:v>45336</c:v>
                </c:pt>
                <c:pt idx="303">
                  <c:v>45337</c:v>
                </c:pt>
                <c:pt idx="304">
                  <c:v>45338</c:v>
                </c:pt>
                <c:pt idx="305">
                  <c:v>45341</c:v>
                </c:pt>
                <c:pt idx="306">
                  <c:v>45342</c:v>
                </c:pt>
                <c:pt idx="307">
                  <c:v>45343</c:v>
                </c:pt>
                <c:pt idx="308">
                  <c:v>45344</c:v>
                </c:pt>
                <c:pt idx="309">
                  <c:v>45345</c:v>
                </c:pt>
                <c:pt idx="310">
                  <c:v>45348</c:v>
                </c:pt>
                <c:pt idx="311">
                  <c:v>45349</c:v>
                </c:pt>
                <c:pt idx="312">
                  <c:v>45350</c:v>
                </c:pt>
                <c:pt idx="313">
                  <c:v>45351</c:v>
                </c:pt>
                <c:pt idx="314">
                  <c:v>45352</c:v>
                </c:pt>
                <c:pt idx="315">
                  <c:v>45355</c:v>
                </c:pt>
                <c:pt idx="316">
                  <c:v>45356</c:v>
                </c:pt>
                <c:pt idx="317">
                  <c:v>45357</c:v>
                </c:pt>
                <c:pt idx="318">
                  <c:v>45358</c:v>
                </c:pt>
                <c:pt idx="319">
                  <c:v>45359</c:v>
                </c:pt>
                <c:pt idx="320">
                  <c:v>45362</c:v>
                </c:pt>
                <c:pt idx="321">
                  <c:v>45363</c:v>
                </c:pt>
                <c:pt idx="322">
                  <c:v>45364</c:v>
                </c:pt>
                <c:pt idx="323">
                  <c:v>45365</c:v>
                </c:pt>
                <c:pt idx="324">
                  <c:v>45366</c:v>
                </c:pt>
                <c:pt idx="325">
                  <c:v>45369</c:v>
                </c:pt>
                <c:pt idx="326">
                  <c:v>45370</c:v>
                </c:pt>
                <c:pt idx="327">
                  <c:v>45371</c:v>
                </c:pt>
                <c:pt idx="328">
                  <c:v>45372</c:v>
                </c:pt>
                <c:pt idx="329">
                  <c:v>45373</c:v>
                </c:pt>
                <c:pt idx="330">
                  <c:v>45376</c:v>
                </c:pt>
                <c:pt idx="331">
                  <c:v>45377</c:v>
                </c:pt>
                <c:pt idx="332">
                  <c:v>45378</c:v>
                </c:pt>
                <c:pt idx="333">
                  <c:v>45379</c:v>
                </c:pt>
                <c:pt idx="334">
                  <c:v>45384</c:v>
                </c:pt>
                <c:pt idx="335">
                  <c:v>45385</c:v>
                </c:pt>
                <c:pt idx="336">
                  <c:v>45386</c:v>
                </c:pt>
                <c:pt idx="337">
                  <c:v>45387</c:v>
                </c:pt>
                <c:pt idx="338">
                  <c:v>45390</c:v>
                </c:pt>
                <c:pt idx="339">
                  <c:v>45391</c:v>
                </c:pt>
                <c:pt idx="340">
                  <c:v>45392</c:v>
                </c:pt>
                <c:pt idx="341">
                  <c:v>45393</c:v>
                </c:pt>
                <c:pt idx="342">
                  <c:v>45394</c:v>
                </c:pt>
                <c:pt idx="343">
                  <c:v>45397</c:v>
                </c:pt>
                <c:pt idx="344">
                  <c:v>45398</c:v>
                </c:pt>
                <c:pt idx="345">
                  <c:v>45399</c:v>
                </c:pt>
                <c:pt idx="346">
                  <c:v>45400</c:v>
                </c:pt>
                <c:pt idx="347">
                  <c:v>45404</c:v>
                </c:pt>
                <c:pt idx="348">
                  <c:v>45405</c:v>
                </c:pt>
                <c:pt idx="349">
                  <c:v>45406</c:v>
                </c:pt>
                <c:pt idx="350">
                  <c:v>45407</c:v>
                </c:pt>
                <c:pt idx="351">
                  <c:v>45408</c:v>
                </c:pt>
                <c:pt idx="352">
                  <c:v>45411</c:v>
                </c:pt>
                <c:pt idx="353">
                  <c:v>45412</c:v>
                </c:pt>
                <c:pt idx="354">
                  <c:v>45413</c:v>
                </c:pt>
                <c:pt idx="355">
                  <c:v>45414</c:v>
                </c:pt>
                <c:pt idx="356">
                  <c:v>45415</c:v>
                </c:pt>
                <c:pt idx="357">
                  <c:v>45418</c:v>
                </c:pt>
                <c:pt idx="358">
                  <c:v>45419</c:v>
                </c:pt>
                <c:pt idx="359">
                  <c:v>45420</c:v>
                </c:pt>
                <c:pt idx="360">
                  <c:v>45421</c:v>
                </c:pt>
                <c:pt idx="361">
                  <c:v>45422</c:v>
                </c:pt>
                <c:pt idx="362">
                  <c:v>45425</c:v>
                </c:pt>
                <c:pt idx="363">
                  <c:v>45426</c:v>
                </c:pt>
                <c:pt idx="364">
                  <c:v>45427</c:v>
                </c:pt>
                <c:pt idx="365">
                  <c:v>45428</c:v>
                </c:pt>
                <c:pt idx="366">
                  <c:v>45429</c:v>
                </c:pt>
                <c:pt idx="367">
                  <c:v>45432</c:v>
                </c:pt>
                <c:pt idx="368">
                  <c:v>45433</c:v>
                </c:pt>
                <c:pt idx="369">
                  <c:v>45434</c:v>
                </c:pt>
                <c:pt idx="370">
                  <c:v>45435</c:v>
                </c:pt>
                <c:pt idx="371">
                  <c:v>45436</c:v>
                </c:pt>
                <c:pt idx="372">
                  <c:v>45439</c:v>
                </c:pt>
                <c:pt idx="373">
                  <c:v>45440</c:v>
                </c:pt>
                <c:pt idx="374">
                  <c:v>45441</c:v>
                </c:pt>
                <c:pt idx="375">
                  <c:v>45442</c:v>
                </c:pt>
                <c:pt idx="376">
                  <c:v>45443</c:v>
                </c:pt>
                <c:pt idx="377">
                  <c:v>45446</c:v>
                </c:pt>
                <c:pt idx="378">
                  <c:v>45447</c:v>
                </c:pt>
                <c:pt idx="379">
                  <c:v>45448</c:v>
                </c:pt>
                <c:pt idx="380">
                  <c:v>45449</c:v>
                </c:pt>
                <c:pt idx="381">
                  <c:v>45450</c:v>
                </c:pt>
                <c:pt idx="382">
                  <c:v>45453</c:v>
                </c:pt>
                <c:pt idx="383">
                  <c:v>45454</c:v>
                </c:pt>
                <c:pt idx="384">
                  <c:v>45455</c:v>
                </c:pt>
                <c:pt idx="385">
                  <c:v>45456</c:v>
                </c:pt>
                <c:pt idx="386">
                  <c:v>45457</c:v>
                </c:pt>
                <c:pt idx="387">
                  <c:v>45460</c:v>
                </c:pt>
                <c:pt idx="388">
                  <c:v>45461</c:v>
                </c:pt>
                <c:pt idx="389">
                  <c:v>45462</c:v>
                </c:pt>
                <c:pt idx="390">
                  <c:v>45463</c:v>
                </c:pt>
                <c:pt idx="391">
                  <c:v>45464</c:v>
                </c:pt>
                <c:pt idx="392">
                  <c:v>45467</c:v>
                </c:pt>
                <c:pt idx="393">
                  <c:v>45468</c:v>
                </c:pt>
                <c:pt idx="394">
                  <c:v>45469</c:v>
                </c:pt>
                <c:pt idx="395">
                  <c:v>45470</c:v>
                </c:pt>
                <c:pt idx="396">
                  <c:v>45471</c:v>
                </c:pt>
                <c:pt idx="397">
                  <c:v>45474</c:v>
                </c:pt>
                <c:pt idx="398">
                  <c:v>45475</c:v>
                </c:pt>
                <c:pt idx="399">
                  <c:v>45476</c:v>
                </c:pt>
                <c:pt idx="400">
                  <c:v>45477</c:v>
                </c:pt>
                <c:pt idx="401">
                  <c:v>45478</c:v>
                </c:pt>
                <c:pt idx="402">
                  <c:v>45481</c:v>
                </c:pt>
                <c:pt idx="403">
                  <c:v>45482</c:v>
                </c:pt>
                <c:pt idx="404">
                  <c:v>45483</c:v>
                </c:pt>
                <c:pt idx="405">
                  <c:v>45484</c:v>
                </c:pt>
                <c:pt idx="406">
                  <c:v>45485</c:v>
                </c:pt>
                <c:pt idx="407">
                  <c:v>45488</c:v>
                </c:pt>
                <c:pt idx="408">
                  <c:v>45489</c:v>
                </c:pt>
                <c:pt idx="409">
                  <c:v>45490</c:v>
                </c:pt>
                <c:pt idx="410">
                  <c:v>45491</c:v>
                </c:pt>
                <c:pt idx="411">
                  <c:v>45492</c:v>
                </c:pt>
                <c:pt idx="412">
                  <c:v>45495</c:v>
                </c:pt>
                <c:pt idx="413">
                  <c:v>45496</c:v>
                </c:pt>
                <c:pt idx="414">
                  <c:v>45497</c:v>
                </c:pt>
                <c:pt idx="415">
                  <c:v>45498</c:v>
                </c:pt>
                <c:pt idx="416">
                  <c:v>45499</c:v>
                </c:pt>
                <c:pt idx="417">
                  <c:v>45502</c:v>
                </c:pt>
                <c:pt idx="418">
                  <c:v>45503</c:v>
                </c:pt>
                <c:pt idx="419">
                  <c:v>45504</c:v>
                </c:pt>
                <c:pt idx="420">
                  <c:v>45505</c:v>
                </c:pt>
                <c:pt idx="421">
                  <c:v>45506</c:v>
                </c:pt>
                <c:pt idx="422">
                  <c:v>45509</c:v>
                </c:pt>
                <c:pt idx="423">
                  <c:v>45510</c:v>
                </c:pt>
                <c:pt idx="424">
                  <c:v>45511</c:v>
                </c:pt>
                <c:pt idx="425">
                  <c:v>45512</c:v>
                </c:pt>
                <c:pt idx="426">
                  <c:v>45513</c:v>
                </c:pt>
                <c:pt idx="427">
                  <c:v>45516</c:v>
                </c:pt>
                <c:pt idx="428">
                  <c:v>45517</c:v>
                </c:pt>
                <c:pt idx="429">
                  <c:v>45518</c:v>
                </c:pt>
                <c:pt idx="430">
                  <c:v>45519</c:v>
                </c:pt>
                <c:pt idx="431">
                  <c:v>45520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45530</c:v>
                </c:pt>
                <c:pt idx="438">
                  <c:v>45531</c:v>
                </c:pt>
                <c:pt idx="439">
                  <c:v>45532</c:v>
                </c:pt>
                <c:pt idx="440">
                  <c:v>45533</c:v>
                </c:pt>
                <c:pt idx="441">
                  <c:v>45534</c:v>
                </c:pt>
                <c:pt idx="442">
                  <c:v>45537</c:v>
                </c:pt>
                <c:pt idx="443">
                  <c:v>45538</c:v>
                </c:pt>
                <c:pt idx="444">
                  <c:v>45539</c:v>
                </c:pt>
                <c:pt idx="445">
                  <c:v>45540</c:v>
                </c:pt>
                <c:pt idx="446">
                  <c:v>45541</c:v>
                </c:pt>
                <c:pt idx="447">
                  <c:v>45544</c:v>
                </c:pt>
                <c:pt idx="448">
                  <c:v>45545</c:v>
                </c:pt>
                <c:pt idx="449">
                  <c:v>45546</c:v>
                </c:pt>
                <c:pt idx="450">
                  <c:v>45547</c:v>
                </c:pt>
                <c:pt idx="451">
                  <c:v>45548</c:v>
                </c:pt>
                <c:pt idx="452">
                  <c:v>45551</c:v>
                </c:pt>
                <c:pt idx="453">
                  <c:v>45552</c:v>
                </c:pt>
                <c:pt idx="454">
                  <c:v>45553</c:v>
                </c:pt>
                <c:pt idx="455">
                  <c:v>45554</c:v>
                </c:pt>
                <c:pt idx="456">
                  <c:v>45555</c:v>
                </c:pt>
                <c:pt idx="457">
                  <c:v>45558</c:v>
                </c:pt>
                <c:pt idx="458">
                  <c:v>45559</c:v>
                </c:pt>
                <c:pt idx="459">
                  <c:v>45560</c:v>
                </c:pt>
                <c:pt idx="460">
                  <c:v>45561</c:v>
                </c:pt>
                <c:pt idx="461">
                  <c:v>45562</c:v>
                </c:pt>
                <c:pt idx="462">
                  <c:v>45565</c:v>
                </c:pt>
                <c:pt idx="463">
                  <c:v>45566</c:v>
                </c:pt>
                <c:pt idx="464">
                  <c:v>45567</c:v>
                </c:pt>
                <c:pt idx="465">
                  <c:v>45568</c:v>
                </c:pt>
                <c:pt idx="466">
                  <c:v>45569</c:v>
                </c:pt>
                <c:pt idx="467">
                  <c:v>45572</c:v>
                </c:pt>
                <c:pt idx="468">
                  <c:v>45573</c:v>
                </c:pt>
                <c:pt idx="469">
                  <c:v>45574</c:v>
                </c:pt>
                <c:pt idx="470">
                  <c:v>45575</c:v>
                </c:pt>
                <c:pt idx="471">
                  <c:v>45576</c:v>
                </c:pt>
                <c:pt idx="472">
                  <c:v>45579</c:v>
                </c:pt>
                <c:pt idx="473">
                  <c:v>45580</c:v>
                </c:pt>
                <c:pt idx="474">
                  <c:v>45581</c:v>
                </c:pt>
                <c:pt idx="475">
                  <c:v>45582</c:v>
                </c:pt>
                <c:pt idx="476">
                  <c:v>45583</c:v>
                </c:pt>
                <c:pt idx="477">
                  <c:v>45586</c:v>
                </c:pt>
                <c:pt idx="478">
                  <c:v>45587</c:v>
                </c:pt>
                <c:pt idx="479">
                  <c:v>45588</c:v>
                </c:pt>
                <c:pt idx="480">
                  <c:v>45589</c:v>
                </c:pt>
                <c:pt idx="481">
                  <c:v>45590</c:v>
                </c:pt>
                <c:pt idx="482">
                  <c:v>45593</c:v>
                </c:pt>
                <c:pt idx="483">
                  <c:v>45594</c:v>
                </c:pt>
                <c:pt idx="484">
                  <c:v>45595</c:v>
                </c:pt>
                <c:pt idx="485">
                  <c:v>45596</c:v>
                </c:pt>
                <c:pt idx="486">
                  <c:v>45597</c:v>
                </c:pt>
                <c:pt idx="487">
                  <c:v>45600</c:v>
                </c:pt>
                <c:pt idx="488">
                  <c:v>45601</c:v>
                </c:pt>
                <c:pt idx="489">
                  <c:v>45602</c:v>
                </c:pt>
                <c:pt idx="490">
                  <c:v>45603</c:v>
                </c:pt>
                <c:pt idx="491">
                  <c:v>45604</c:v>
                </c:pt>
                <c:pt idx="492">
                  <c:v>45608</c:v>
                </c:pt>
                <c:pt idx="493">
                  <c:v>45609</c:v>
                </c:pt>
                <c:pt idx="494">
                  <c:v>45610</c:v>
                </c:pt>
                <c:pt idx="495">
                  <c:v>45611</c:v>
                </c:pt>
                <c:pt idx="496">
                  <c:v>45614</c:v>
                </c:pt>
                <c:pt idx="497">
                  <c:v>45615</c:v>
                </c:pt>
                <c:pt idx="498">
                  <c:v>45616</c:v>
                </c:pt>
                <c:pt idx="499">
                  <c:v>45617</c:v>
                </c:pt>
                <c:pt idx="500">
                  <c:v>45618</c:v>
                </c:pt>
                <c:pt idx="501">
                  <c:v>45621</c:v>
                </c:pt>
                <c:pt idx="502">
                  <c:v>45622</c:v>
                </c:pt>
                <c:pt idx="503">
                  <c:v>45623</c:v>
                </c:pt>
                <c:pt idx="504">
                  <c:v>45624</c:v>
                </c:pt>
                <c:pt idx="505">
                  <c:v>45625</c:v>
                </c:pt>
                <c:pt idx="506">
                  <c:v>45628</c:v>
                </c:pt>
                <c:pt idx="507">
                  <c:v>45629</c:v>
                </c:pt>
                <c:pt idx="508">
                  <c:v>45630</c:v>
                </c:pt>
                <c:pt idx="509">
                  <c:v>45631</c:v>
                </c:pt>
                <c:pt idx="510">
                  <c:v>45632</c:v>
                </c:pt>
                <c:pt idx="511">
                  <c:v>45635</c:v>
                </c:pt>
                <c:pt idx="512">
                  <c:v>45636</c:v>
                </c:pt>
                <c:pt idx="513">
                  <c:v>45637</c:v>
                </c:pt>
                <c:pt idx="514">
                  <c:v>45638</c:v>
                </c:pt>
                <c:pt idx="515">
                  <c:v>45639</c:v>
                </c:pt>
                <c:pt idx="516">
                  <c:v>45642</c:v>
                </c:pt>
                <c:pt idx="517">
                  <c:v>45643</c:v>
                </c:pt>
                <c:pt idx="518">
                  <c:v>45644</c:v>
                </c:pt>
                <c:pt idx="519">
                  <c:v>45645</c:v>
                </c:pt>
                <c:pt idx="520">
                  <c:v>45646</c:v>
                </c:pt>
                <c:pt idx="521">
                  <c:v>45649</c:v>
                </c:pt>
                <c:pt idx="522">
                  <c:v>45650</c:v>
                </c:pt>
                <c:pt idx="523">
                  <c:v>45653</c:v>
                </c:pt>
                <c:pt idx="524">
                  <c:v>45656</c:v>
                </c:pt>
                <c:pt idx="525">
                  <c:v>45657</c:v>
                </c:pt>
                <c:pt idx="526">
                  <c:v>45659</c:v>
                </c:pt>
                <c:pt idx="527">
                  <c:v>45660</c:v>
                </c:pt>
                <c:pt idx="528">
                  <c:v>45663</c:v>
                </c:pt>
                <c:pt idx="529">
                  <c:v>45664</c:v>
                </c:pt>
                <c:pt idx="530">
                  <c:v>45665</c:v>
                </c:pt>
                <c:pt idx="531">
                  <c:v>45666</c:v>
                </c:pt>
                <c:pt idx="532">
                  <c:v>45667</c:v>
                </c:pt>
                <c:pt idx="533">
                  <c:v>45670</c:v>
                </c:pt>
                <c:pt idx="534">
                  <c:v>45671</c:v>
                </c:pt>
                <c:pt idx="535">
                  <c:v>45672</c:v>
                </c:pt>
                <c:pt idx="536">
                  <c:v>45673</c:v>
                </c:pt>
                <c:pt idx="537">
                  <c:v>45674</c:v>
                </c:pt>
                <c:pt idx="538">
                  <c:v>45677</c:v>
                </c:pt>
                <c:pt idx="539">
                  <c:v>45678</c:v>
                </c:pt>
                <c:pt idx="540">
                  <c:v>45679</c:v>
                </c:pt>
                <c:pt idx="541">
                  <c:v>45680</c:v>
                </c:pt>
                <c:pt idx="542">
                  <c:v>45681</c:v>
                </c:pt>
                <c:pt idx="543">
                  <c:v>45684</c:v>
                </c:pt>
                <c:pt idx="544">
                  <c:v>45685</c:v>
                </c:pt>
                <c:pt idx="545">
                  <c:v>45686</c:v>
                </c:pt>
                <c:pt idx="546">
                  <c:v>45687</c:v>
                </c:pt>
                <c:pt idx="547">
                  <c:v>45688</c:v>
                </c:pt>
                <c:pt idx="548">
                  <c:v>45691</c:v>
                </c:pt>
                <c:pt idx="549">
                  <c:v>45692</c:v>
                </c:pt>
                <c:pt idx="550">
                  <c:v>45693</c:v>
                </c:pt>
                <c:pt idx="551">
                  <c:v>45694</c:v>
                </c:pt>
                <c:pt idx="552">
                  <c:v>45695</c:v>
                </c:pt>
                <c:pt idx="553">
                  <c:v>45698</c:v>
                </c:pt>
                <c:pt idx="554">
                  <c:v>45699</c:v>
                </c:pt>
                <c:pt idx="555">
                  <c:v>45700</c:v>
                </c:pt>
                <c:pt idx="556">
                  <c:v>45701</c:v>
                </c:pt>
                <c:pt idx="557">
                  <c:v>45702</c:v>
                </c:pt>
                <c:pt idx="558">
                  <c:v>45705</c:v>
                </c:pt>
                <c:pt idx="559">
                  <c:v>45706</c:v>
                </c:pt>
                <c:pt idx="560">
                  <c:v>45707</c:v>
                </c:pt>
                <c:pt idx="561">
                  <c:v>45708</c:v>
                </c:pt>
                <c:pt idx="562">
                  <c:v>45709</c:v>
                </c:pt>
                <c:pt idx="563">
                  <c:v>45712</c:v>
                </c:pt>
                <c:pt idx="564">
                  <c:v>45713</c:v>
                </c:pt>
                <c:pt idx="565">
                  <c:v>45714</c:v>
                </c:pt>
                <c:pt idx="566">
                  <c:v>45715</c:v>
                </c:pt>
                <c:pt idx="567">
                  <c:v>45716</c:v>
                </c:pt>
                <c:pt idx="568">
                  <c:v>45719</c:v>
                </c:pt>
                <c:pt idx="569">
                  <c:v>45720</c:v>
                </c:pt>
                <c:pt idx="570">
                  <c:v>45721</c:v>
                </c:pt>
                <c:pt idx="571">
                  <c:v>45722</c:v>
                </c:pt>
                <c:pt idx="572">
                  <c:v>45723</c:v>
                </c:pt>
                <c:pt idx="573">
                  <c:v>45726</c:v>
                </c:pt>
                <c:pt idx="574">
                  <c:v>45727</c:v>
                </c:pt>
                <c:pt idx="575">
                  <c:v>45728</c:v>
                </c:pt>
                <c:pt idx="576">
                  <c:v>45729</c:v>
                </c:pt>
                <c:pt idx="577">
                  <c:v>45730</c:v>
                </c:pt>
                <c:pt idx="578">
                  <c:v>45733</c:v>
                </c:pt>
                <c:pt idx="579">
                  <c:v>45734</c:v>
                </c:pt>
                <c:pt idx="580">
                  <c:v>45735</c:v>
                </c:pt>
                <c:pt idx="581">
                  <c:v>45736</c:v>
                </c:pt>
                <c:pt idx="582">
                  <c:v>45737</c:v>
                </c:pt>
                <c:pt idx="583">
                  <c:v>45740</c:v>
                </c:pt>
                <c:pt idx="584">
                  <c:v>45741</c:v>
                </c:pt>
                <c:pt idx="585">
                  <c:v>45742</c:v>
                </c:pt>
                <c:pt idx="586">
                  <c:v>45743</c:v>
                </c:pt>
                <c:pt idx="587">
                  <c:v>45744</c:v>
                </c:pt>
                <c:pt idx="588">
                  <c:v>45747</c:v>
                </c:pt>
                <c:pt idx="589">
                  <c:v>45748</c:v>
                </c:pt>
                <c:pt idx="590">
                  <c:v>45749</c:v>
                </c:pt>
                <c:pt idx="591">
                  <c:v>45750</c:v>
                </c:pt>
                <c:pt idx="592">
                  <c:v>45751</c:v>
                </c:pt>
                <c:pt idx="593">
                  <c:v>45754</c:v>
                </c:pt>
                <c:pt idx="594">
                  <c:v>45755</c:v>
                </c:pt>
                <c:pt idx="595">
                  <c:v>45756</c:v>
                </c:pt>
                <c:pt idx="596">
                  <c:v>45757</c:v>
                </c:pt>
                <c:pt idx="597">
                  <c:v>45761</c:v>
                </c:pt>
                <c:pt idx="598">
                  <c:v>45762</c:v>
                </c:pt>
                <c:pt idx="599">
                  <c:v>45763</c:v>
                </c:pt>
                <c:pt idx="600">
                  <c:v>45764</c:v>
                </c:pt>
                <c:pt idx="601">
                  <c:v>45768</c:v>
                </c:pt>
                <c:pt idx="602">
                  <c:v>45771</c:v>
                </c:pt>
                <c:pt idx="603">
                  <c:v>45772</c:v>
                </c:pt>
                <c:pt idx="604">
                  <c:v>45775</c:v>
                </c:pt>
                <c:pt idx="605">
                  <c:v>45776</c:v>
                </c:pt>
                <c:pt idx="606">
                  <c:v>45784</c:v>
                </c:pt>
                <c:pt idx="607">
                  <c:v>45785</c:v>
                </c:pt>
                <c:pt idx="608">
                  <c:v>45789</c:v>
                </c:pt>
                <c:pt idx="609">
                  <c:v>45790</c:v>
                </c:pt>
                <c:pt idx="610">
                  <c:v>45796</c:v>
                </c:pt>
                <c:pt idx="611">
                  <c:v>45797</c:v>
                </c:pt>
                <c:pt idx="612">
                  <c:v>45798</c:v>
                </c:pt>
                <c:pt idx="613">
                  <c:v>45799</c:v>
                </c:pt>
                <c:pt idx="614">
                  <c:v>45800</c:v>
                </c:pt>
                <c:pt idx="615">
                  <c:v>45804</c:v>
                </c:pt>
                <c:pt idx="616">
                  <c:v>45805</c:v>
                </c:pt>
                <c:pt idx="617">
                  <c:v>45806</c:v>
                </c:pt>
                <c:pt idx="618">
                  <c:v>45807</c:v>
                </c:pt>
                <c:pt idx="619">
                  <c:v>45810</c:v>
                </c:pt>
                <c:pt idx="620">
                  <c:v>45811</c:v>
                </c:pt>
                <c:pt idx="621">
                  <c:v>45812</c:v>
                </c:pt>
                <c:pt idx="622">
                  <c:v>45813</c:v>
                </c:pt>
                <c:pt idx="623">
                  <c:v>45814</c:v>
                </c:pt>
                <c:pt idx="624">
                  <c:v>45817</c:v>
                </c:pt>
                <c:pt idx="625">
                  <c:v>45818</c:v>
                </c:pt>
                <c:pt idx="626">
                  <c:v>45819</c:v>
                </c:pt>
                <c:pt idx="627">
                  <c:v>45821</c:v>
                </c:pt>
                <c:pt idx="628">
                  <c:v>45824</c:v>
                </c:pt>
                <c:pt idx="629">
                  <c:v>45825</c:v>
                </c:pt>
                <c:pt idx="630">
                  <c:v>45826</c:v>
                </c:pt>
                <c:pt idx="631">
                  <c:v>45828</c:v>
                </c:pt>
                <c:pt idx="632">
                  <c:v>45831</c:v>
                </c:pt>
                <c:pt idx="633">
                  <c:v>45832</c:v>
                </c:pt>
                <c:pt idx="634">
                  <c:v>45833</c:v>
                </c:pt>
                <c:pt idx="635">
                  <c:v>45835</c:v>
                </c:pt>
                <c:pt idx="636">
                  <c:v>45838</c:v>
                </c:pt>
                <c:pt idx="637">
                  <c:v>45839</c:v>
                </c:pt>
                <c:pt idx="638">
                  <c:v>45840</c:v>
                </c:pt>
                <c:pt idx="639">
                  <c:v>45841</c:v>
                </c:pt>
                <c:pt idx="640">
                  <c:v>45845</c:v>
                </c:pt>
                <c:pt idx="641">
                  <c:v>45846</c:v>
                </c:pt>
                <c:pt idx="642">
                  <c:v>45847</c:v>
                </c:pt>
                <c:pt idx="643">
                  <c:v>45848</c:v>
                </c:pt>
                <c:pt idx="644">
                  <c:v>45849</c:v>
                </c:pt>
                <c:pt idx="645">
                  <c:v>45852</c:v>
                </c:pt>
                <c:pt idx="646">
                  <c:v>45853</c:v>
                </c:pt>
                <c:pt idx="647">
                  <c:v>45854</c:v>
                </c:pt>
                <c:pt idx="648">
                  <c:v>45855</c:v>
                </c:pt>
                <c:pt idx="649">
                  <c:v>45856</c:v>
                </c:pt>
                <c:pt idx="650">
                  <c:v>45859</c:v>
                </c:pt>
                <c:pt idx="651">
                  <c:v>45860</c:v>
                </c:pt>
                <c:pt idx="652">
                  <c:v>45861</c:v>
                </c:pt>
                <c:pt idx="653">
                  <c:v>45862</c:v>
                </c:pt>
                <c:pt idx="654">
                  <c:v>45863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45880</c:v>
                </c:pt>
                <c:pt idx="666">
                  <c:v>45881</c:v>
                </c:pt>
                <c:pt idx="667">
                  <c:v>45882</c:v>
                </c:pt>
                <c:pt idx="668">
                  <c:v>45883</c:v>
                </c:pt>
                <c:pt idx="669">
                  <c:v>45884</c:v>
                </c:pt>
                <c:pt idx="670">
                  <c:v>45887</c:v>
                </c:pt>
                <c:pt idx="671">
                  <c:v>45888</c:v>
                </c:pt>
                <c:pt idx="672">
                  <c:v>45889</c:v>
                </c:pt>
                <c:pt idx="673">
                  <c:v>45890</c:v>
                </c:pt>
                <c:pt idx="674">
                  <c:v>45891</c:v>
                </c:pt>
                <c:pt idx="675">
                  <c:v>45894</c:v>
                </c:pt>
                <c:pt idx="676">
                  <c:v>45895</c:v>
                </c:pt>
                <c:pt idx="677">
                  <c:v>45896</c:v>
                </c:pt>
                <c:pt idx="678">
                  <c:v>45897</c:v>
                </c:pt>
                <c:pt idx="679">
                  <c:v>45898</c:v>
                </c:pt>
                <c:pt idx="680">
                  <c:v>45901</c:v>
                </c:pt>
                <c:pt idx="681">
                  <c:v>45902</c:v>
                </c:pt>
                <c:pt idx="682">
                  <c:v>45903</c:v>
                </c:pt>
                <c:pt idx="683">
                  <c:v>45904</c:v>
                </c:pt>
                <c:pt idx="684">
                  <c:v>45905</c:v>
                </c:pt>
                <c:pt idx="685">
                  <c:v>45908</c:v>
                </c:pt>
                <c:pt idx="686">
                  <c:v>45909</c:v>
                </c:pt>
                <c:pt idx="687">
                  <c:v>45910</c:v>
                </c:pt>
                <c:pt idx="688">
                  <c:v>45911</c:v>
                </c:pt>
                <c:pt idx="689">
                  <c:v>45912</c:v>
                </c:pt>
                <c:pt idx="690">
                  <c:v>45915</c:v>
                </c:pt>
                <c:pt idx="691">
                  <c:v>45916</c:v>
                </c:pt>
                <c:pt idx="692">
                  <c:v>45917</c:v>
                </c:pt>
                <c:pt idx="693">
                  <c:v>45918</c:v>
                </c:pt>
              </c:numCache>
            </c:numRef>
          </c:cat>
          <c:val>
            <c:numRef>
              <c:f>Info!$K$4:$K$667</c:f>
              <c:numCache>
                <c:formatCode>General</c:formatCode>
                <c:ptCount val="66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6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6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6</c:v>
                </c:pt>
                <c:pt idx="374">
                  <c:v>6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6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6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6</c:v>
                </c:pt>
                <c:pt idx="518">
                  <c:v>6</c:v>
                </c:pt>
                <c:pt idx="519">
                  <c:v>6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6</c:v>
                </c:pt>
                <c:pt idx="528">
                  <c:v>6</c:v>
                </c:pt>
                <c:pt idx="529">
                  <c:v>6</c:v>
                </c:pt>
                <c:pt idx="530">
                  <c:v>6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6</c:v>
                </c:pt>
                <c:pt idx="540">
                  <c:v>6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6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6</c:v>
                </c:pt>
                <c:pt idx="563">
                  <c:v>6</c:v>
                </c:pt>
                <c:pt idx="564">
                  <c:v>6</c:v>
                </c:pt>
                <c:pt idx="565">
                  <c:v>6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6</c:v>
                </c:pt>
                <c:pt idx="573">
                  <c:v>6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6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6</c:v>
                </c:pt>
                <c:pt idx="643">
                  <c:v>6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5D-40F4-A5DD-E9C4939E8428}"/>
            </c:ext>
          </c:extLst>
        </c:ser>
        <c:ser>
          <c:idx val="4"/>
          <c:order val="4"/>
          <c:tx>
            <c:strRef>
              <c:f>Info!$L$1</c:f>
              <c:strCache>
                <c:ptCount val="1"/>
                <c:pt idx="0">
                  <c:v>$8 - 100% of Uncovered Position Outside Nearby</c:v>
                </c:pt>
              </c:strCache>
            </c:strRef>
          </c:tx>
          <c:spPr>
            <a:ln w="34925" cap="rnd">
              <a:solidFill>
                <a:srgbClr val="FF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Info!$A$4:$A$697</c:f>
              <c:numCache>
                <c:formatCode>m/d/yy</c:formatCode>
                <c:ptCount val="694"/>
                <c:pt idx="0">
                  <c:v>44896</c:v>
                </c:pt>
                <c:pt idx="1">
                  <c:v>44897</c:v>
                </c:pt>
                <c:pt idx="2">
                  <c:v>44900</c:v>
                </c:pt>
                <c:pt idx="3">
                  <c:v>44901</c:v>
                </c:pt>
                <c:pt idx="4">
                  <c:v>44902</c:v>
                </c:pt>
                <c:pt idx="5">
                  <c:v>44903</c:v>
                </c:pt>
                <c:pt idx="6">
                  <c:v>44904</c:v>
                </c:pt>
                <c:pt idx="7">
                  <c:v>44907</c:v>
                </c:pt>
                <c:pt idx="8">
                  <c:v>44908</c:v>
                </c:pt>
                <c:pt idx="9">
                  <c:v>44909</c:v>
                </c:pt>
                <c:pt idx="10">
                  <c:v>44910</c:v>
                </c:pt>
                <c:pt idx="11">
                  <c:v>44911</c:v>
                </c:pt>
                <c:pt idx="12">
                  <c:v>44914</c:v>
                </c:pt>
                <c:pt idx="13">
                  <c:v>44915</c:v>
                </c:pt>
                <c:pt idx="14">
                  <c:v>44916</c:v>
                </c:pt>
                <c:pt idx="15">
                  <c:v>44917</c:v>
                </c:pt>
                <c:pt idx="16">
                  <c:v>44918</c:v>
                </c:pt>
                <c:pt idx="17">
                  <c:v>44923</c:v>
                </c:pt>
                <c:pt idx="18">
                  <c:v>44924</c:v>
                </c:pt>
                <c:pt idx="19">
                  <c:v>44925</c:v>
                </c:pt>
                <c:pt idx="20">
                  <c:v>44929</c:v>
                </c:pt>
                <c:pt idx="21">
                  <c:v>44930</c:v>
                </c:pt>
                <c:pt idx="22">
                  <c:v>44931</c:v>
                </c:pt>
                <c:pt idx="23">
                  <c:v>44932</c:v>
                </c:pt>
                <c:pt idx="24">
                  <c:v>44935</c:v>
                </c:pt>
                <c:pt idx="25">
                  <c:v>44936</c:v>
                </c:pt>
                <c:pt idx="26">
                  <c:v>44937</c:v>
                </c:pt>
                <c:pt idx="27">
                  <c:v>44938</c:v>
                </c:pt>
                <c:pt idx="28">
                  <c:v>44939</c:v>
                </c:pt>
                <c:pt idx="29">
                  <c:v>44942</c:v>
                </c:pt>
                <c:pt idx="30">
                  <c:v>44943</c:v>
                </c:pt>
                <c:pt idx="31">
                  <c:v>44944</c:v>
                </c:pt>
                <c:pt idx="32">
                  <c:v>44945</c:v>
                </c:pt>
                <c:pt idx="33">
                  <c:v>44946</c:v>
                </c:pt>
                <c:pt idx="34">
                  <c:v>44949</c:v>
                </c:pt>
                <c:pt idx="35">
                  <c:v>44950</c:v>
                </c:pt>
                <c:pt idx="36">
                  <c:v>44951</c:v>
                </c:pt>
                <c:pt idx="37">
                  <c:v>44952</c:v>
                </c:pt>
                <c:pt idx="38">
                  <c:v>44953</c:v>
                </c:pt>
                <c:pt idx="39">
                  <c:v>44956</c:v>
                </c:pt>
                <c:pt idx="40">
                  <c:v>44958</c:v>
                </c:pt>
                <c:pt idx="41">
                  <c:v>44959</c:v>
                </c:pt>
                <c:pt idx="42">
                  <c:v>44960</c:v>
                </c:pt>
                <c:pt idx="43">
                  <c:v>44963</c:v>
                </c:pt>
                <c:pt idx="44">
                  <c:v>44964</c:v>
                </c:pt>
                <c:pt idx="45">
                  <c:v>44965</c:v>
                </c:pt>
                <c:pt idx="46">
                  <c:v>44966</c:v>
                </c:pt>
                <c:pt idx="47">
                  <c:v>44967</c:v>
                </c:pt>
                <c:pt idx="48">
                  <c:v>44970</c:v>
                </c:pt>
                <c:pt idx="49">
                  <c:v>44971</c:v>
                </c:pt>
                <c:pt idx="50">
                  <c:v>44972</c:v>
                </c:pt>
                <c:pt idx="51">
                  <c:v>44973</c:v>
                </c:pt>
                <c:pt idx="52">
                  <c:v>44974</c:v>
                </c:pt>
                <c:pt idx="53">
                  <c:v>44977</c:v>
                </c:pt>
                <c:pt idx="54">
                  <c:v>44978</c:v>
                </c:pt>
                <c:pt idx="55">
                  <c:v>44979</c:v>
                </c:pt>
                <c:pt idx="56">
                  <c:v>44980</c:v>
                </c:pt>
                <c:pt idx="57">
                  <c:v>44981</c:v>
                </c:pt>
                <c:pt idx="58">
                  <c:v>44984</c:v>
                </c:pt>
                <c:pt idx="59">
                  <c:v>44985</c:v>
                </c:pt>
                <c:pt idx="60">
                  <c:v>44986</c:v>
                </c:pt>
                <c:pt idx="61">
                  <c:v>44987</c:v>
                </c:pt>
                <c:pt idx="62">
                  <c:v>44988</c:v>
                </c:pt>
                <c:pt idx="63">
                  <c:v>44991</c:v>
                </c:pt>
                <c:pt idx="64">
                  <c:v>44992</c:v>
                </c:pt>
                <c:pt idx="65">
                  <c:v>44993</c:v>
                </c:pt>
                <c:pt idx="66">
                  <c:v>44994</c:v>
                </c:pt>
                <c:pt idx="67">
                  <c:v>44995</c:v>
                </c:pt>
                <c:pt idx="68">
                  <c:v>44998</c:v>
                </c:pt>
                <c:pt idx="69">
                  <c:v>44999</c:v>
                </c:pt>
                <c:pt idx="70">
                  <c:v>45000</c:v>
                </c:pt>
                <c:pt idx="71">
                  <c:v>45001</c:v>
                </c:pt>
                <c:pt idx="72">
                  <c:v>45002</c:v>
                </c:pt>
                <c:pt idx="73">
                  <c:v>45005</c:v>
                </c:pt>
                <c:pt idx="74">
                  <c:v>45006</c:v>
                </c:pt>
                <c:pt idx="75">
                  <c:v>45007</c:v>
                </c:pt>
                <c:pt idx="76">
                  <c:v>45008</c:v>
                </c:pt>
                <c:pt idx="77">
                  <c:v>45009</c:v>
                </c:pt>
                <c:pt idx="78">
                  <c:v>45012</c:v>
                </c:pt>
                <c:pt idx="79">
                  <c:v>45013</c:v>
                </c:pt>
                <c:pt idx="80">
                  <c:v>45014</c:v>
                </c:pt>
                <c:pt idx="81">
                  <c:v>45015</c:v>
                </c:pt>
                <c:pt idx="82">
                  <c:v>45016</c:v>
                </c:pt>
                <c:pt idx="83">
                  <c:v>45019</c:v>
                </c:pt>
                <c:pt idx="84">
                  <c:v>45020</c:v>
                </c:pt>
                <c:pt idx="85">
                  <c:v>45021</c:v>
                </c:pt>
                <c:pt idx="86">
                  <c:v>45022</c:v>
                </c:pt>
                <c:pt idx="87">
                  <c:v>45027</c:v>
                </c:pt>
                <c:pt idx="88">
                  <c:v>45028</c:v>
                </c:pt>
                <c:pt idx="89">
                  <c:v>45029</c:v>
                </c:pt>
                <c:pt idx="90">
                  <c:v>45030</c:v>
                </c:pt>
                <c:pt idx="91">
                  <c:v>45033</c:v>
                </c:pt>
                <c:pt idx="92">
                  <c:v>45034</c:v>
                </c:pt>
                <c:pt idx="93">
                  <c:v>45035</c:v>
                </c:pt>
                <c:pt idx="94">
                  <c:v>45036</c:v>
                </c:pt>
                <c:pt idx="95">
                  <c:v>45037</c:v>
                </c:pt>
                <c:pt idx="96">
                  <c:v>45040</c:v>
                </c:pt>
                <c:pt idx="97">
                  <c:v>45041</c:v>
                </c:pt>
                <c:pt idx="98">
                  <c:v>45042</c:v>
                </c:pt>
                <c:pt idx="99">
                  <c:v>45043</c:v>
                </c:pt>
                <c:pt idx="100">
                  <c:v>45044</c:v>
                </c:pt>
                <c:pt idx="101">
                  <c:v>45048</c:v>
                </c:pt>
                <c:pt idx="102">
                  <c:v>45049</c:v>
                </c:pt>
                <c:pt idx="103">
                  <c:v>45050</c:v>
                </c:pt>
                <c:pt idx="104">
                  <c:v>45051</c:v>
                </c:pt>
                <c:pt idx="105">
                  <c:v>45055</c:v>
                </c:pt>
                <c:pt idx="106">
                  <c:v>45056</c:v>
                </c:pt>
                <c:pt idx="107">
                  <c:v>45057</c:v>
                </c:pt>
                <c:pt idx="108">
                  <c:v>45058</c:v>
                </c:pt>
                <c:pt idx="109">
                  <c:v>45061</c:v>
                </c:pt>
                <c:pt idx="110">
                  <c:v>45062</c:v>
                </c:pt>
                <c:pt idx="111">
                  <c:v>45063</c:v>
                </c:pt>
                <c:pt idx="112">
                  <c:v>45064</c:v>
                </c:pt>
                <c:pt idx="113">
                  <c:v>45065</c:v>
                </c:pt>
                <c:pt idx="114">
                  <c:v>45068</c:v>
                </c:pt>
                <c:pt idx="115">
                  <c:v>45069</c:v>
                </c:pt>
                <c:pt idx="116">
                  <c:v>45070</c:v>
                </c:pt>
                <c:pt idx="117">
                  <c:v>45071</c:v>
                </c:pt>
                <c:pt idx="118">
                  <c:v>45072</c:v>
                </c:pt>
                <c:pt idx="119">
                  <c:v>45076</c:v>
                </c:pt>
                <c:pt idx="120">
                  <c:v>45077</c:v>
                </c:pt>
                <c:pt idx="121">
                  <c:v>45078</c:v>
                </c:pt>
                <c:pt idx="122">
                  <c:v>45079</c:v>
                </c:pt>
                <c:pt idx="123">
                  <c:v>45082</c:v>
                </c:pt>
                <c:pt idx="124">
                  <c:v>45083</c:v>
                </c:pt>
                <c:pt idx="125">
                  <c:v>45084</c:v>
                </c:pt>
                <c:pt idx="126">
                  <c:v>45085</c:v>
                </c:pt>
                <c:pt idx="127">
                  <c:v>45086</c:v>
                </c:pt>
                <c:pt idx="128">
                  <c:v>45089</c:v>
                </c:pt>
                <c:pt idx="129">
                  <c:v>45090</c:v>
                </c:pt>
                <c:pt idx="130">
                  <c:v>45091</c:v>
                </c:pt>
                <c:pt idx="131">
                  <c:v>45092</c:v>
                </c:pt>
                <c:pt idx="132">
                  <c:v>45093</c:v>
                </c:pt>
                <c:pt idx="133">
                  <c:v>45096</c:v>
                </c:pt>
                <c:pt idx="134">
                  <c:v>45097</c:v>
                </c:pt>
                <c:pt idx="135">
                  <c:v>45098</c:v>
                </c:pt>
                <c:pt idx="136">
                  <c:v>45099</c:v>
                </c:pt>
                <c:pt idx="137">
                  <c:v>45100</c:v>
                </c:pt>
                <c:pt idx="138">
                  <c:v>45103</c:v>
                </c:pt>
                <c:pt idx="139">
                  <c:v>45104</c:v>
                </c:pt>
                <c:pt idx="140">
                  <c:v>45105</c:v>
                </c:pt>
                <c:pt idx="141">
                  <c:v>45106</c:v>
                </c:pt>
                <c:pt idx="142">
                  <c:v>45107</c:v>
                </c:pt>
                <c:pt idx="143">
                  <c:v>45110</c:v>
                </c:pt>
                <c:pt idx="144">
                  <c:v>45111</c:v>
                </c:pt>
                <c:pt idx="145">
                  <c:v>45112</c:v>
                </c:pt>
                <c:pt idx="146">
                  <c:v>45113</c:v>
                </c:pt>
                <c:pt idx="147">
                  <c:v>45114</c:v>
                </c:pt>
                <c:pt idx="148">
                  <c:v>45117</c:v>
                </c:pt>
                <c:pt idx="149">
                  <c:v>45118</c:v>
                </c:pt>
                <c:pt idx="150">
                  <c:v>45119</c:v>
                </c:pt>
                <c:pt idx="151">
                  <c:v>45120</c:v>
                </c:pt>
                <c:pt idx="152">
                  <c:v>45121</c:v>
                </c:pt>
                <c:pt idx="153">
                  <c:v>45124</c:v>
                </c:pt>
                <c:pt idx="154">
                  <c:v>45125</c:v>
                </c:pt>
                <c:pt idx="155">
                  <c:v>45126</c:v>
                </c:pt>
                <c:pt idx="156">
                  <c:v>45127</c:v>
                </c:pt>
                <c:pt idx="157">
                  <c:v>45128</c:v>
                </c:pt>
                <c:pt idx="158">
                  <c:v>45131</c:v>
                </c:pt>
                <c:pt idx="159">
                  <c:v>45132</c:v>
                </c:pt>
                <c:pt idx="160">
                  <c:v>45133</c:v>
                </c:pt>
                <c:pt idx="161">
                  <c:v>45134</c:v>
                </c:pt>
                <c:pt idx="162">
                  <c:v>45135</c:v>
                </c:pt>
                <c:pt idx="163">
                  <c:v>45138</c:v>
                </c:pt>
                <c:pt idx="164">
                  <c:v>45139</c:v>
                </c:pt>
                <c:pt idx="165">
                  <c:v>45140</c:v>
                </c:pt>
                <c:pt idx="166">
                  <c:v>45141</c:v>
                </c:pt>
                <c:pt idx="167">
                  <c:v>45142</c:v>
                </c:pt>
                <c:pt idx="168">
                  <c:v>45145</c:v>
                </c:pt>
                <c:pt idx="169">
                  <c:v>45146</c:v>
                </c:pt>
                <c:pt idx="170">
                  <c:v>45147</c:v>
                </c:pt>
                <c:pt idx="171">
                  <c:v>45148</c:v>
                </c:pt>
                <c:pt idx="172">
                  <c:v>45149</c:v>
                </c:pt>
                <c:pt idx="173">
                  <c:v>45152</c:v>
                </c:pt>
                <c:pt idx="174">
                  <c:v>45153</c:v>
                </c:pt>
                <c:pt idx="175">
                  <c:v>45154</c:v>
                </c:pt>
                <c:pt idx="176">
                  <c:v>45155</c:v>
                </c:pt>
                <c:pt idx="177">
                  <c:v>45156</c:v>
                </c:pt>
                <c:pt idx="178">
                  <c:v>45159</c:v>
                </c:pt>
                <c:pt idx="179">
                  <c:v>45160</c:v>
                </c:pt>
                <c:pt idx="180">
                  <c:v>45161</c:v>
                </c:pt>
                <c:pt idx="181">
                  <c:v>45162</c:v>
                </c:pt>
                <c:pt idx="182">
                  <c:v>45163</c:v>
                </c:pt>
                <c:pt idx="183">
                  <c:v>45167</c:v>
                </c:pt>
                <c:pt idx="184">
                  <c:v>45168</c:v>
                </c:pt>
                <c:pt idx="185">
                  <c:v>45169</c:v>
                </c:pt>
                <c:pt idx="186">
                  <c:v>45170</c:v>
                </c:pt>
                <c:pt idx="187">
                  <c:v>45173</c:v>
                </c:pt>
                <c:pt idx="188">
                  <c:v>45174</c:v>
                </c:pt>
                <c:pt idx="189">
                  <c:v>45175</c:v>
                </c:pt>
                <c:pt idx="190">
                  <c:v>45176</c:v>
                </c:pt>
                <c:pt idx="191">
                  <c:v>45177</c:v>
                </c:pt>
                <c:pt idx="192">
                  <c:v>45180</c:v>
                </c:pt>
                <c:pt idx="193">
                  <c:v>45181</c:v>
                </c:pt>
                <c:pt idx="194">
                  <c:v>45182</c:v>
                </c:pt>
                <c:pt idx="195">
                  <c:v>45183</c:v>
                </c:pt>
                <c:pt idx="196">
                  <c:v>45184</c:v>
                </c:pt>
                <c:pt idx="197">
                  <c:v>45187</c:v>
                </c:pt>
                <c:pt idx="198">
                  <c:v>45188</c:v>
                </c:pt>
                <c:pt idx="199">
                  <c:v>45189</c:v>
                </c:pt>
                <c:pt idx="200">
                  <c:v>45190</c:v>
                </c:pt>
                <c:pt idx="201">
                  <c:v>45191</c:v>
                </c:pt>
                <c:pt idx="202">
                  <c:v>45194</c:v>
                </c:pt>
                <c:pt idx="203">
                  <c:v>45195</c:v>
                </c:pt>
                <c:pt idx="204">
                  <c:v>45196</c:v>
                </c:pt>
                <c:pt idx="205">
                  <c:v>45197</c:v>
                </c:pt>
                <c:pt idx="206">
                  <c:v>45198</c:v>
                </c:pt>
                <c:pt idx="207">
                  <c:v>45201</c:v>
                </c:pt>
                <c:pt idx="208">
                  <c:v>45202</c:v>
                </c:pt>
                <c:pt idx="209">
                  <c:v>45203</c:v>
                </c:pt>
                <c:pt idx="210">
                  <c:v>45204</c:v>
                </c:pt>
                <c:pt idx="211">
                  <c:v>45205</c:v>
                </c:pt>
                <c:pt idx="212">
                  <c:v>45208</c:v>
                </c:pt>
                <c:pt idx="213">
                  <c:v>45209</c:v>
                </c:pt>
                <c:pt idx="214">
                  <c:v>45210</c:v>
                </c:pt>
                <c:pt idx="215">
                  <c:v>45211</c:v>
                </c:pt>
                <c:pt idx="216">
                  <c:v>45212</c:v>
                </c:pt>
                <c:pt idx="217">
                  <c:v>45215</c:v>
                </c:pt>
                <c:pt idx="218">
                  <c:v>45216</c:v>
                </c:pt>
                <c:pt idx="219">
                  <c:v>45217</c:v>
                </c:pt>
                <c:pt idx="220">
                  <c:v>45218</c:v>
                </c:pt>
                <c:pt idx="221">
                  <c:v>45219</c:v>
                </c:pt>
                <c:pt idx="222">
                  <c:v>45222</c:v>
                </c:pt>
                <c:pt idx="223">
                  <c:v>45223</c:v>
                </c:pt>
                <c:pt idx="224">
                  <c:v>45224</c:v>
                </c:pt>
                <c:pt idx="225">
                  <c:v>45225</c:v>
                </c:pt>
                <c:pt idx="226">
                  <c:v>45226</c:v>
                </c:pt>
                <c:pt idx="227">
                  <c:v>45229</c:v>
                </c:pt>
                <c:pt idx="228">
                  <c:v>45230</c:v>
                </c:pt>
                <c:pt idx="229">
                  <c:v>45231</c:v>
                </c:pt>
                <c:pt idx="230">
                  <c:v>45232</c:v>
                </c:pt>
                <c:pt idx="231">
                  <c:v>45233</c:v>
                </c:pt>
                <c:pt idx="232">
                  <c:v>45236</c:v>
                </c:pt>
                <c:pt idx="233">
                  <c:v>45237</c:v>
                </c:pt>
                <c:pt idx="234">
                  <c:v>45238</c:v>
                </c:pt>
                <c:pt idx="235">
                  <c:v>45239</c:v>
                </c:pt>
                <c:pt idx="236">
                  <c:v>45240</c:v>
                </c:pt>
                <c:pt idx="237">
                  <c:v>45243</c:v>
                </c:pt>
                <c:pt idx="238">
                  <c:v>45244</c:v>
                </c:pt>
                <c:pt idx="239">
                  <c:v>45245</c:v>
                </c:pt>
                <c:pt idx="240">
                  <c:v>45246</c:v>
                </c:pt>
                <c:pt idx="241">
                  <c:v>45247</c:v>
                </c:pt>
                <c:pt idx="242">
                  <c:v>45250</c:v>
                </c:pt>
                <c:pt idx="243">
                  <c:v>45251</c:v>
                </c:pt>
                <c:pt idx="244">
                  <c:v>45252</c:v>
                </c:pt>
                <c:pt idx="245">
                  <c:v>45253</c:v>
                </c:pt>
                <c:pt idx="246">
                  <c:v>45254</c:v>
                </c:pt>
                <c:pt idx="247">
                  <c:v>45257</c:v>
                </c:pt>
                <c:pt idx="248">
                  <c:v>45258</c:v>
                </c:pt>
                <c:pt idx="249">
                  <c:v>45259</c:v>
                </c:pt>
                <c:pt idx="250">
                  <c:v>45260</c:v>
                </c:pt>
                <c:pt idx="251">
                  <c:v>45261</c:v>
                </c:pt>
                <c:pt idx="252">
                  <c:v>45264</c:v>
                </c:pt>
                <c:pt idx="253">
                  <c:v>45265</c:v>
                </c:pt>
                <c:pt idx="254">
                  <c:v>45266</c:v>
                </c:pt>
                <c:pt idx="255">
                  <c:v>45267</c:v>
                </c:pt>
                <c:pt idx="256">
                  <c:v>45268</c:v>
                </c:pt>
                <c:pt idx="257">
                  <c:v>45271</c:v>
                </c:pt>
                <c:pt idx="258">
                  <c:v>45272</c:v>
                </c:pt>
                <c:pt idx="259">
                  <c:v>45273</c:v>
                </c:pt>
                <c:pt idx="260">
                  <c:v>45274</c:v>
                </c:pt>
                <c:pt idx="261">
                  <c:v>45275</c:v>
                </c:pt>
                <c:pt idx="262">
                  <c:v>45278</c:v>
                </c:pt>
                <c:pt idx="263">
                  <c:v>45279</c:v>
                </c:pt>
                <c:pt idx="264">
                  <c:v>45280</c:v>
                </c:pt>
                <c:pt idx="265">
                  <c:v>45281</c:v>
                </c:pt>
                <c:pt idx="266">
                  <c:v>45282</c:v>
                </c:pt>
                <c:pt idx="267">
                  <c:v>45286</c:v>
                </c:pt>
                <c:pt idx="268">
                  <c:v>45287</c:v>
                </c:pt>
                <c:pt idx="269">
                  <c:v>45288</c:v>
                </c:pt>
                <c:pt idx="270">
                  <c:v>45289</c:v>
                </c:pt>
                <c:pt idx="271">
                  <c:v>45293</c:v>
                </c:pt>
                <c:pt idx="272">
                  <c:v>45294</c:v>
                </c:pt>
                <c:pt idx="273">
                  <c:v>45295</c:v>
                </c:pt>
                <c:pt idx="274">
                  <c:v>45296</c:v>
                </c:pt>
                <c:pt idx="275">
                  <c:v>45299</c:v>
                </c:pt>
                <c:pt idx="276">
                  <c:v>45300</c:v>
                </c:pt>
                <c:pt idx="277">
                  <c:v>45301</c:v>
                </c:pt>
                <c:pt idx="278">
                  <c:v>45302</c:v>
                </c:pt>
                <c:pt idx="279">
                  <c:v>45303</c:v>
                </c:pt>
                <c:pt idx="280">
                  <c:v>45306</c:v>
                </c:pt>
                <c:pt idx="281">
                  <c:v>45307</c:v>
                </c:pt>
                <c:pt idx="282">
                  <c:v>45308</c:v>
                </c:pt>
                <c:pt idx="283">
                  <c:v>45309</c:v>
                </c:pt>
                <c:pt idx="284">
                  <c:v>45310</c:v>
                </c:pt>
                <c:pt idx="285">
                  <c:v>45313</c:v>
                </c:pt>
                <c:pt idx="286">
                  <c:v>45314</c:v>
                </c:pt>
                <c:pt idx="287">
                  <c:v>45315</c:v>
                </c:pt>
                <c:pt idx="288">
                  <c:v>45316</c:v>
                </c:pt>
                <c:pt idx="289">
                  <c:v>45317</c:v>
                </c:pt>
                <c:pt idx="290">
                  <c:v>45320</c:v>
                </c:pt>
                <c:pt idx="291">
                  <c:v>45321</c:v>
                </c:pt>
                <c:pt idx="292">
                  <c:v>45322</c:v>
                </c:pt>
                <c:pt idx="293">
                  <c:v>45323</c:v>
                </c:pt>
                <c:pt idx="294">
                  <c:v>45324</c:v>
                </c:pt>
                <c:pt idx="295">
                  <c:v>45327</c:v>
                </c:pt>
                <c:pt idx="296">
                  <c:v>45328</c:v>
                </c:pt>
                <c:pt idx="297">
                  <c:v>45329</c:v>
                </c:pt>
                <c:pt idx="298">
                  <c:v>45330</c:v>
                </c:pt>
                <c:pt idx="299">
                  <c:v>45331</c:v>
                </c:pt>
                <c:pt idx="300">
                  <c:v>45334</c:v>
                </c:pt>
                <c:pt idx="301">
                  <c:v>45335</c:v>
                </c:pt>
                <c:pt idx="302">
                  <c:v>45336</c:v>
                </c:pt>
                <c:pt idx="303">
                  <c:v>45337</c:v>
                </c:pt>
                <c:pt idx="304">
                  <c:v>45338</c:v>
                </c:pt>
                <c:pt idx="305">
                  <c:v>45341</c:v>
                </c:pt>
                <c:pt idx="306">
                  <c:v>45342</c:v>
                </c:pt>
                <c:pt idx="307">
                  <c:v>45343</c:v>
                </c:pt>
                <c:pt idx="308">
                  <c:v>45344</c:v>
                </c:pt>
                <c:pt idx="309">
                  <c:v>45345</c:v>
                </c:pt>
                <c:pt idx="310">
                  <c:v>45348</c:v>
                </c:pt>
                <c:pt idx="311">
                  <c:v>45349</c:v>
                </c:pt>
                <c:pt idx="312">
                  <c:v>45350</c:v>
                </c:pt>
                <c:pt idx="313">
                  <c:v>45351</c:v>
                </c:pt>
                <c:pt idx="314">
                  <c:v>45352</c:v>
                </c:pt>
                <c:pt idx="315">
                  <c:v>45355</c:v>
                </c:pt>
                <c:pt idx="316">
                  <c:v>45356</c:v>
                </c:pt>
                <c:pt idx="317">
                  <c:v>45357</c:v>
                </c:pt>
                <c:pt idx="318">
                  <c:v>45358</c:v>
                </c:pt>
                <c:pt idx="319">
                  <c:v>45359</c:v>
                </c:pt>
                <c:pt idx="320">
                  <c:v>45362</c:v>
                </c:pt>
                <c:pt idx="321">
                  <c:v>45363</c:v>
                </c:pt>
                <c:pt idx="322">
                  <c:v>45364</c:v>
                </c:pt>
                <c:pt idx="323">
                  <c:v>45365</c:v>
                </c:pt>
                <c:pt idx="324">
                  <c:v>45366</c:v>
                </c:pt>
                <c:pt idx="325">
                  <c:v>45369</c:v>
                </c:pt>
                <c:pt idx="326">
                  <c:v>45370</c:v>
                </c:pt>
                <c:pt idx="327">
                  <c:v>45371</c:v>
                </c:pt>
                <c:pt idx="328">
                  <c:v>45372</c:v>
                </c:pt>
                <c:pt idx="329">
                  <c:v>45373</c:v>
                </c:pt>
                <c:pt idx="330">
                  <c:v>45376</c:v>
                </c:pt>
                <c:pt idx="331">
                  <c:v>45377</c:v>
                </c:pt>
                <c:pt idx="332">
                  <c:v>45378</c:v>
                </c:pt>
                <c:pt idx="333">
                  <c:v>45379</c:v>
                </c:pt>
                <c:pt idx="334">
                  <c:v>45384</c:v>
                </c:pt>
                <c:pt idx="335">
                  <c:v>45385</c:v>
                </c:pt>
                <c:pt idx="336">
                  <c:v>45386</c:v>
                </c:pt>
                <c:pt idx="337">
                  <c:v>45387</c:v>
                </c:pt>
                <c:pt idx="338">
                  <c:v>45390</c:v>
                </c:pt>
                <c:pt idx="339">
                  <c:v>45391</c:v>
                </c:pt>
                <c:pt idx="340">
                  <c:v>45392</c:v>
                </c:pt>
                <c:pt idx="341">
                  <c:v>45393</c:v>
                </c:pt>
                <c:pt idx="342">
                  <c:v>45394</c:v>
                </c:pt>
                <c:pt idx="343">
                  <c:v>45397</c:v>
                </c:pt>
                <c:pt idx="344">
                  <c:v>45398</c:v>
                </c:pt>
                <c:pt idx="345">
                  <c:v>45399</c:v>
                </c:pt>
                <c:pt idx="346">
                  <c:v>45400</c:v>
                </c:pt>
                <c:pt idx="347">
                  <c:v>45404</c:v>
                </c:pt>
                <c:pt idx="348">
                  <c:v>45405</c:v>
                </c:pt>
                <c:pt idx="349">
                  <c:v>45406</c:v>
                </c:pt>
                <c:pt idx="350">
                  <c:v>45407</c:v>
                </c:pt>
                <c:pt idx="351">
                  <c:v>45408</c:v>
                </c:pt>
                <c:pt idx="352">
                  <c:v>45411</c:v>
                </c:pt>
                <c:pt idx="353">
                  <c:v>45412</c:v>
                </c:pt>
                <c:pt idx="354">
                  <c:v>45413</c:v>
                </c:pt>
                <c:pt idx="355">
                  <c:v>45414</c:v>
                </c:pt>
                <c:pt idx="356">
                  <c:v>45415</c:v>
                </c:pt>
                <c:pt idx="357">
                  <c:v>45418</c:v>
                </c:pt>
                <c:pt idx="358">
                  <c:v>45419</c:v>
                </c:pt>
                <c:pt idx="359">
                  <c:v>45420</c:v>
                </c:pt>
                <c:pt idx="360">
                  <c:v>45421</c:v>
                </c:pt>
                <c:pt idx="361">
                  <c:v>45422</c:v>
                </c:pt>
                <c:pt idx="362">
                  <c:v>45425</c:v>
                </c:pt>
                <c:pt idx="363">
                  <c:v>45426</c:v>
                </c:pt>
                <c:pt idx="364">
                  <c:v>45427</c:v>
                </c:pt>
                <c:pt idx="365">
                  <c:v>45428</c:v>
                </c:pt>
                <c:pt idx="366">
                  <c:v>45429</c:v>
                </c:pt>
                <c:pt idx="367">
                  <c:v>45432</c:v>
                </c:pt>
                <c:pt idx="368">
                  <c:v>45433</c:v>
                </c:pt>
                <c:pt idx="369">
                  <c:v>45434</c:v>
                </c:pt>
                <c:pt idx="370">
                  <c:v>45435</c:v>
                </c:pt>
                <c:pt idx="371">
                  <c:v>45436</c:v>
                </c:pt>
                <c:pt idx="372">
                  <c:v>45439</c:v>
                </c:pt>
                <c:pt idx="373">
                  <c:v>45440</c:v>
                </c:pt>
                <c:pt idx="374">
                  <c:v>45441</c:v>
                </c:pt>
                <c:pt idx="375">
                  <c:v>45442</c:v>
                </c:pt>
                <c:pt idx="376">
                  <c:v>45443</c:v>
                </c:pt>
                <c:pt idx="377">
                  <c:v>45446</c:v>
                </c:pt>
                <c:pt idx="378">
                  <c:v>45447</c:v>
                </c:pt>
                <c:pt idx="379">
                  <c:v>45448</c:v>
                </c:pt>
                <c:pt idx="380">
                  <c:v>45449</c:v>
                </c:pt>
                <c:pt idx="381">
                  <c:v>45450</c:v>
                </c:pt>
                <c:pt idx="382">
                  <c:v>45453</c:v>
                </c:pt>
                <c:pt idx="383">
                  <c:v>45454</c:v>
                </c:pt>
                <c:pt idx="384">
                  <c:v>45455</c:v>
                </c:pt>
                <c:pt idx="385">
                  <c:v>45456</c:v>
                </c:pt>
                <c:pt idx="386">
                  <c:v>45457</c:v>
                </c:pt>
                <c:pt idx="387">
                  <c:v>45460</c:v>
                </c:pt>
                <c:pt idx="388">
                  <c:v>45461</c:v>
                </c:pt>
                <c:pt idx="389">
                  <c:v>45462</c:v>
                </c:pt>
                <c:pt idx="390">
                  <c:v>45463</c:v>
                </c:pt>
                <c:pt idx="391">
                  <c:v>45464</c:v>
                </c:pt>
                <c:pt idx="392">
                  <c:v>45467</c:v>
                </c:pt>
                <c:pt idx="393">
                  <c:v>45468</c:v>
                </c:pt>
                <c:pt idx="394">
                  <c:v>45469</c:v>
                </c:pt>
                <c:pt idx="395">
                  <c:v>45470</c:v>
                </c:pt>
                <c:pt idx="396">
                  <c:v>45471</c:v>
                </c:pt>
                <c:pt idx="397">
                  <c:v>45474</c:v>
                </c:pt>
                <c:pt idx="398">
                  <c:v>45475</c:v>
                </c:pt>
                <c:pt idx="399">
                  <c:v>45476</c:v>
                </c:pt>
                <c:pt idx="400">
                  <c:v>45477</c:v>
                </c:pt>
                <c:pt idx="401">
                  <c:v>45478</c:v>
                </c:pt>
                <c:pt idx="402">
                  <c:v>45481</c:v>
                </c:pt>
                <c:pt idx="403">
                  <c:v>45482</c:v>
                </c:pt>
                <c:pt idx="404">
                  <c:v>45483</c:v>
                </c:pt>
                <c:pt idx="405">
                  <c:v>45484</c:v>
                </c:pt>
                <c:pt idx="406">
                  <c:v>45485</c:v>
                </c:pt>
                <c:pt idx="407">
                  <c:v>45488</c:v>
                </c:pt>
                <c:pt idx="408">
                  <c:v>45489</c:v>
                </c:pt>
                <c:pt idx="409">
                  <c:v>45490</c:v>
                </c:pt>
                <c:pt idx="410">
                  <c:v>45491</c:v>
                </c:pt>
                <c:pt idx="411">
                  <c:v>45492</c:v>
                </c:pt>
                <c:pt idx="412">
                  <c:v>45495</c:v>
                </c:pt>
                <c:pt idx="413">
                  <c:v>45496</c:v>
                </c:pt>
                <c:pt idx="414">
                  <c:v>45497</c:v>
                </c:pt>
                <c:pt idx="415">
                  <c:v>45498</c:v>
                </c:pt>
                <c:pt idx="416">
                  <c:v>45499</c:v>
                </c:pt>
                <c:pt idx="417">
                  <c:v>45502</c:v>
                </c:pt>
                <c:pt idx="418">
                  <c:v>45503</c:v>
                </c:pt>
                <c:pt idx="419">
                  <c:v>45504</c:v>
                </c:pt>
                <c:pt idx="420">
                  <c:v>45505</c:v>
                </c:pt>
                <c:pt idx="421">
                  <c:v>45506</c:v>
                </c:pt>
                <c:pt idx="422">
                  <c:v>45509</c:v>
                </c:pt>
                <c:pt idx="423">
                  <c:v>45510</c:v>
                </c:pt>
                <c:pt idx="424">
                  <c:v>45511</c:v>
                </c:pt>
                <c:pt idx="425">
                  <c:v>45512</c:v>
                </c:pt>
                <c:pt idx="426">
                  <c:v>45513</c:v>
                </c:pt>
                <c:pt idx="427">
                  <c:v>45516</c:v>
                </c:pt>
                <c:pt idx="428">
                  <c:v>45517</c:v>
                </c:pt>
                <c:pt idx="429">
                  <c:v>45518</c:v>
                </c:pt>
                <c:pt idx="430">
                  <c:v>45519</c:v>
                </c:pt>
                <c:pt idx="431">
                  <c:v>45520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45530</c:v>
                </c:pt>
                <c:pt idx="438">
                  <c:v>45531</c:v>
                </c:pt>
                <c:pt idx="439">
                  <c:v>45532</c:v>
                </c:pt>
                <c:pt idx="440">
                  <c:v>45533</c:v>
                </c:pt>
                <c:pt idx="441">
                  <c:v>45534</c:v>
                </c:pt>
                <c:pt idx="442">
                  <c:v>45537</c:v>
                </c:pt>
                <c:pt idx="443">
                  <c:v>45538</c:v>
                </c:pt>
                <c:pt idx="444">
                  <c:v>45539</c:v>
                </c:pt>
                <c:pt idx="445">
                  <c:v>45540</c:v>
                </c:pt>
                <c:pt idx="446">
                  <c:v>45541</c:v>
                </c:pt>
                <c:pt idx="447">
                  <c:v>45544</c:v>
                </c:pt>
                <c:pt idx="448">
                  <c:v>45545</c:v>
                </c:pt>
                <c:pt idx="449">
                  <c:v>45546</c:v>
                </c:pt>
                <c:pt idx="450">
                  <c:v>45547</c:v>
                </c:pt>
                <c:pt idx="451">
                  <c:v>45548</c:v>
                </c:pt>
                <c:pt idx="452">
                  <c:v>45551</c:v>
                </c:pt>
                <c:pt idx="453">
                  <c:v>45552</c:v>
                </c:pt>
                <c:pt idx="454">
                  <c:v>45553</c:v>
                </c:pt>
                <c:pt idx="455">
                  <c:v>45554</c:v>
                </c:pt>
                <c:pt idx="456">
                  <c:v>45555</c:v>
                </c:pt>
                <c:pt idx="457">
                  <c:v>45558</c:v>
                </c:pt>
                <c:pt idx="458">
                  <c:v>45559</c:v>
                </c:pt>
                <c:pt idx="459">
                  <c:v>45560</c:v>
                </c:pt>
                <c:pt idx="460">
                  <c:v>45561</c:v>
                </c:pt>
                <c:pt idx="461">
                  <c:v>45562</c:v>
                </c:pt>
                <c:pt idx="462">
                  <c:v>45565</c:v>
                </c:pt>
                <c:pt idx="463">
                  <c:v>45566</c:v>
                </c:pt>
                <c:pt idx="464">
                  <c:v>45567</c:v>
                </c:pt>
                <c:pt idx="465">
                  <c:v>45568</c:v>
                </c:pt>
                <c:pt idx="466">
                  <c:v>45569</c:v>
                </c:pt>
                <c:pt idx="467">
                  <c:v>45572</c:v>
                </c:pt>
                <c:pt idx="468">
                  <c:v>45573</c:v>
                </c:pt>
                <c:pt idx="469">
                  <c:v>45574</c:v>
                </c:pt>
                <c:pt idx="470">
                  <c:v>45575</c:v>
                </c:pt>
                <c:pt idx="471">
                  <c:v>45576</c:v>
                </c:pt>
                <c:pt idx="472">
                  <c:v>45579</c:v>
                </c:pt>
                <c:pt idx="473">
                  <c:v>45580</c:v>
                </c:pt>
                <c:pt idx="474">
                  <c:v>45581</c:v>
                </c:pt>
                <c:pt idx="475">
                  <c:v>45582</c:v>
                </c:pt>
                <c:pt idx="476">
                  <c:v>45583</c:v>
                </c:pt>
                <c:pt idx="477">
                  <c:v>45586</c:v>
                </c:pt>
                <c:pt idx="478">
                  <c:v>45587</c:v>
                </c:pt>
                <c:pt idx="479">
                  <c:v>45588</c:v>
                </c:pt>
                <c:pt idx="480">
                  <c:v>45589</c:v>
                </c:pt>
                <c:pt idx="481">
                  <c:v>45590</c:v>
                </c:pt>
                <c:pt idx="482">
                  <c:v>45593</c:v>
                </c:pt>
                <c:pt idx="483">
                  <c:v>45594</c:v>
                </c:pt>
                <c:pt idx="484">
                  <c:v>45595</c:v>
                </c:pt>
                <c:pt idx="485">
                  <c:v>45596</c:v>
                </c:pt>
                <c:pt idx="486">
                  <c:v>45597</c:v>
                </c:pt>
                <c:pt idx="487">
                  <c:v>45600</c:v>
                </c:pt>
                <c:pt idx="488">
                  <c:v>45601</c:v>
                </c:pt>
                <c:pt idx="489">
                  <c:v>45602</c:v>
                </c:pt>
                <c:pt idx="490">
                  <c:v>45603</c:v>
                </c:pt>
                <c:pt idx="491">
                  <c:v>45604</c:v>
                </c:pt>
                <c:pt idx="492">
                  <c:v>45608</c:v>
                </c:pt>
                <c:pt idx="493">
                  <c:v>45609</c:v>
                </c:pt>
                <c:pt idx="494">
                  <c:v>45610</c:v>
                </c:pt>
                <c:pt idx="495">
                  <c:v>45611</c:v>
                </c:pt>
                <c:pt idx="496">
                  <c:v>45614</c:v>
                </c:pt>
                <c:pt idx="497">
                  <c:v>45615</c:v>
                </c:pt>
                <c:pt idx="498">
                  <c:v>45616</c:v>
                </c:pt>
                <c:pt idx="499">
                  <c:v>45617</c:v>
                </c:pt>
                <c:pt idx="500">
                  <c:v>45618</c:v>
                </c:pt>
                <c:pt idx="501">
                  <c:v>45621</c:v>
                </c:pt>
                <c:pt idx="502">
                  <c:v>45622</c:v>
                </c:pt>
                <c:pt idx="503">
                  <c:v>45623</c:v>
                </c:pt>
                <c:pt idx="504">
                  <c:v>45624</c:v>
                </c:pt>
                <c:pt idx="505">
                  <c:v>45625</c:v>
                </c:pt>
                <c:pt idx="506">
                  <c:v>45628</c:v>
                </c:pt>
                <c:pt idx="507">
                  <c:v>45629</c:v>
                </c:pt>
                <c:pt idx="508">
                  <c:v>45630</c:v>
                </c:pt>
                <c:pt idx="509">
                  <c:v>45631</c:v>
                </c:pt>
                <c:pt idx="510">
                  <c:v>45632</c:v>
                </c:pt>
                <c:pt idx="511">
                  <c:v>45635</c:v>
                </c:pt>
                <c:pt idx="512">
                  <c:v>45636</c:v>
                </c:pt>
                <c:pt idx="513">
                  <c:v>45637</c:v>
                </c:pt>
                <c:pt idx="514">
                  <c:v>45638</c:v>
                </c:pt>
                <c:pt idx="515">
                  <c:v>45639</c:v>
                </c:pt>
                <c:pt idx="516">
                  <c:v>45642</c:v>
                </c:pt>
                <c:pt idx="517">
                  <c:v>45643</c:v>
                </c:pt>
                <c:pt idx="518">
                  <c:v>45644</c:v>
                </c:pt>
                <c:pt idx="519">
                  <c:v>45645</c:v>
                </c:pt>
                <c:pt idx="520">
                  <c:v>45646</c:v>
                </c:pt>
                <c:pt idx="521">
                  <c:v>45649</c:v>
                </c:pt>
                <c:pt idx="522">
                  <c:v>45650</c:v>
                </c:pt>
                <c:pt idx="523">
                  <c:v>45653</c:v>
                </c:pt>
                <c:pt idx="524">
                  <c:v>45656</c:v>
                </c:pt>
                <c:pt idx="525">
                  <c:v>45657</c:v>
                </c:pt>
                <c:pt idx="526">
                  <c:v>45659</c:v>
                </c:pt>
                <c:pt idx="527">
                  <c:v>45660</c:v>
                </c:pt>
                <c:pt idx="528">
                  <c:v>45663</c:v>
                </c:pt>
                <c:pt idx="529">
                  <c:v>45664</c:v>
                </c:pt>
                <c:pt idx="530">
                  <c:v>45665</c:v>
                </c:pt>
                <c:pt idx="531">
                  <c:v>45666</c:v>
                </c:pt>
                <c:pt idx="532">
                  <c:v>45667</c:v>
                </c:pt>
                <c:pt idx="533">
                  <c:v>45670</c:v>
                </c:pt>
                <c:pt idx="534">
                  <c:v>45671</c:v>
                </c:pt>
                <c:pt idx="535">
                  <c:v>45672</c:v>
                </c:pt>
                <c:pt idx="536">
                  <c:v>45673</c:v>
                </c:pt>
                <c:pt idx="537">
                  <c:v>45674</c:v>
                </c:pt>
                <c:pt idx="538">
                  <c:v>45677</c:v>
                </c:pt>
                <c:pt idx="539">
                  <c:v>45678</c:v>
                </c:pt>
                <c:pt idx="540">
                  <c:v>45679</c:v>
                </c:pt>
                <c:pt idx="541">
                  <c:v>45680</c:v>
                </c:pt>
                <c:pt idx="542">
                  <c:v>45681</c:v>
                </c:pt>
                <c:pt idx="543">
                  <c:v>45684</c:v>
                </c:pt>
                <c:pt idx="544">
                  <c:v>45685</c:v>
                </c:pt>
                <c:pt idx="545">
                  <c:v>45686</c:v>
                </c:pt>
                <c:pt idx="546">
                  <c:v>45687</c:v>
                </c:pt>
                <c:pt idx="547">
                  <c:v>45688</c:v>
                </c:pt>
                <c:pt idx="548">
                  <c:v>45691</c:v>
                </c:pt>
                <c:pt idx="549">
                  <c:v>45692</c:v>
                </c:pt>
                <c:pt idx="550">
                  <c:v>45693</c:v>
                </c:pt>
                <c:pt idx="551">
                  <c:v>45694</c:v>
                </c:pt>
                <c:pt idx="552">
                  <c:v>45695</c:v>
                </c:pt>
                <c:pt idx="553">
                  <c:v>45698</c:v>
                </c:pt>
                <c:pt idx="554">
                  <c:v>45699</c:v>
                </c:pt>
                <c:pt idx="555">
                  <c:v>45700</c:v>
                </c:pt>
                <c:pt idx="556">
                  <c:v>45701</c:v>
                </c:pt>
                <c:pt idx="557">
                  <c:v>45702</c:v>
                </c:pt>
                <c:pt idx="558">
                  <c:v>45705</c:v>
                </c:pt>
                <c:pt idx="559">
                  <c:v>45706</c:v>
                </c:pt>
                <c:pt idx="560">
                  <c:v>45707</c:v>
                </c:pt>
                <c:pt idx="561">
                  <c:v>45708</c:v>
                </c:pt>
                <c:pt idx="562">
                  <c:v>45709</c:v>
                </c:pt>
                <c:pt idx="563">
                  <c:v>45712</c:v>
                </c:pt>
                <c:pt idx="564">
                  <c:v>45713</c:v>
                </c:pt>
                <c:pt idx="565">
                  <c:v>45714</c:v>
                </c:pt>
                <c:pt idx="566">
                  <c:v>45715</c:v>
                </c:pt>
                <c:pt idx="567">
                  <c:v>45716</c:v>
                </c:pt>
                <c:pt idx="568">
                  <c:v>45719</c:v>
                </c:pt>
                <c:pt idx="569">
                  <c:v>45720</c:v>
                </c:pt>
                <c:pt idx="570">
                  <c:v>45721</c:v>
                </c:pt>
                <c:pt idx="571">
                  <c:v>45722</c:v>
                </c:pt>
                <c:pt idx="572">
                  <c:v>45723</c:v>
                </c:pt>
                <c:pt idx="573">
                  <c:v>45726</c:v>
                </c:pt>
                <c:pt idx="574">
                  <c:v>45727</c:v>
                </c:pt>
                <c:pt idx="575">
                  <c:v>45728</c:v>
                </c:pt>
                <c:pt idx="576">
                  <c:v>45729</c:v>
                </c:pt>
                <c:pt idx="577">
                  <c:v>45730</c:v>
                </c:pt>
                <c:pt idx="578">
                  <c:v>45733</c:v>
                </c:pt>
                <c:pt idx="579">
                  <c:v>45734</c:v>
                </c:pt>
                <c:pt idx="580">
                  <c:v>45735</c:v>
                </c:pt>
                <c:pt idx="581">
                  <c:v>45736</c:v>
                </c:pt>
                <c:pt idx="582">
                  <c:v>45737</c:v>
                </c:pt>
                <c:pt idx="583">
                  <c:v>45740</c:v>
                </c:pt>
                <c:pt idx="584">
                  <c:v>45741</c:v>
                </c:pt>
                <c:pt idx="585">
                  <c:v>45742</c:v>
                </c:pt>
                <c:pt idx="586">
                  <c:v>45743</c:v>
                </c:pt>
                <c:pt idx="587">
                  <c:v>45744</c:v>
                </c:pt>
                <c:pt idx="588">
                  <c:v>45747</c:v>
                </c:pt>
                <c:pt idx="589">
                  <c:v>45748</c:v>
                </c:pt>
                <c:pt idx="590">
                  <c:v>45749</c:v>
                </c:pt>
                <c:pt idx="591">
                  <c:v>45750</c:v>
                </c:pt>
                <c:pt idx="592">
                  <c:v>45751</c:v>
                </c:pt>
                <c:pt idx="593">
                  <c:v>45754</c:v>
                </c:pt>
                <c:pt idx="594">
                  <c:v>45755</c:v>
                </c:pt>
                <c:pt idx="595">
                  <c:v>45756</c:v>
                </c:pt>
                <c:pt idx="596">
                  <c:v>45757</c:v>
                </c:pt>
                <c:pt idx="597">
                  <c:v>45761</c:v>
                </c:pt>
                <c:pt idx="598">
                  <c:v>45762</c:v>
                </c:pt>
                <c:pt idx="599">
                  <c:v>45763</c:v>
                </c:pt>
                <c:pt idx="600">
                  <c:v>45764</c:v>
                </c:pt>
                <c:pt idx="601">
                  <c:v>45768</c:v>
                </c:pt>
                <c:pt idx="602">
                  <c:v>45771</c:v>
                </c:pt>
                <c:pt idx="603">
                  <c:v>45772</c:v>
                </c:pt>
                <c:pt idx="604">
                  <c:v>45775</c:v>
                </c:pt>
                <c:pt idx="605">
                  <c:v>45776</c:v>
                </c:pt>
                <c:pt idx="606">
                  <c:v>45784</c:v>
                </c:pt>
                <c:pt idx="607">
                  <c:v>45785</c:v>
                </c:pt>
                <c:pt idx="608">
                  <c:v>45789</c:v>
                </c:pt>
                <c:pt idx="609">
                  <c:v>45790</c:v>
                </c:pt>
                <c:pt idx="610">
                  <c:v>45796</c:v>
                </c:pt>
                <c:pt idx="611">
                  <c:v>45797</c:v>
                </c:pt>
                <c:pt idx="612">
                  <c:v>45798</c:v>
                </c:pt>
                <c:pt idx="613">
                  <c:v>45799</c:v>
                </c:pt>
                <c:pt idx="614">
                  <c:v>45800</c:v>
                </c:pt>
                <c:pt idx="615">
                  <c:v>45804</c:v>
                </c:pt>
                <c:pt idx="616">
                  <c:v>45805</c:v>
                </c:pt>
                <c:pt idx="617">
                  <c:v>45806</c:v>
                </c:pt>
                <c:pt idx="618">
                  <c:v>45807</c:v>
                </c:pt>
                <c:pt idx="619">
                  <c:v>45810</c:v>
                </c:pt>
                <c:pt idx="620">
                  <c:v>45811</c:v>
                </c:pt>
                <c:pt idx="621">
                  <c:v>45812</c:v>
                </c:pt>
                <c:pt idx="622">
                  <c:v>45813</c:v>
                </c:pt>
                <c:pt idx="623">
                  <c:v>45814</c:v>
                </c:pt>
                <c:pt idx="624">
                  <c:v>45817</c:v>
                </c:pt>
                <c:pt idx="625">
                  <c:v>45818</c:v>
                </c:pt>
                <c:pt idx="626">
                  <c:v>45819</c:v>
                </c:pt>
                <c:pt idx="627">
                  <c:v>45821</c:v>
                </c:pt>
                <c:pt idx="628">
                  <c:v>45824</c:v>
                </c:pt>
                <c:pt idx="629">
                  <c:v>45825</c:v>
                </c:pt>
                <c:pt idx="630">
                  <c:v>45826</c:v>
                </c:pt>
                <c:pt idx="631">
                  <c:v>45828</c:v>
                </c:pt>
                <c:pt idx="632">
                  <c:v>45831</c:v>
                </c:pt>
                <c:pt idx="633">
                  <c:v>45832</c:v>
                </c:pt>
                <c:pt idx="634">
                  <c:v>45833</c:v>
                </c:pt>
                <c:pt idx="635">
                  <c:v>45835</c:v>
                </c:pt>
                <c:pt idx="636">
                  <c:v>45838</c:v>
                </c:pt>
                <c:pt idx="637">
                  <c:v>45839</c:v>
                </c:pt>
                <c:pt idx="638">
                  <c:v>45840</c:v>
                </c:pt>
                <c:pt idx="639">
                  <c:v>45841</c:v>
                </c:pt>
                <c:pt idx="640">
                  <c:v>45845</c:v>
                </c:pt>
                <c:pt idx="641">
                  <c:v>45846</c:v>
                </c:pt>
                <c:pt idx="642">
                  <c:v>45847</c:v>
                </c:pt>
                <c:pt idx="643">
                  <c:v>45848</c:v>
                </c:pt>
                <c:pt idx="644">
                  <c:v>45849</c:v>
                </c:pt>
                <c:pt idx="645">
                  <c:v>45852</c:v>
                </c:pt>
                <c:pt idx="646">
                  <c:v>45853</c:v>
                </c:pt>
                <c:pt idx="647">
                  <c:v>45854</c:v>
                </c:pt>
                <c:pt idx="648">
                  <c:v>45855</c:v>
                </c:pt>
                <c:pt idx="649">
                  <c:v>45856</c:v>
                </c:pt>
                <c:pt idx="650">
                  <c:v>45859</c:v>
                </c:pt>
                <c:pt idx="651">
                  <c:v>45860</c:v>
                </c:pt>
                <c:pt idx="652">
                  <c:v>45861</c:v>
                </c:pt>
                <c:pt idx="653">
                  <c:v>45862</c:v>
                </c:pt>
                <c:pt idx="654">
                  <c:v>45863</c:v>
                </c:pt>
                <c:pt idx="655">
                  <c:v>45866</c:v>
                </c:pt>
                <c:pt idx="656">
                  <c:v>45867</c:v>
                </c:pt>
                <c:pt idx="657">
                  <c:v>45868</c:v>
                </c:pt>
                <c:pt idx="658">
                  <c:v>45869</c:v>
                </c:pt>
                <c:pt idx="659">
                  <c:v>45870</c:v>
                </c:pt>
                <c:pt idx="660">
                  <c:v>45873</c:v>
                </c:pt>
                <c:pt idx="661">
                  <c:v>45874</c:v>
                </c:pt>
                <c:pt idx="662">
                  <c:v>45875</c:v>
                </c:pt>
                <c:pt idx="663">
                  <c:v>45876</c:v>
                </c:pt>
                <c:pt idx="664">
                  <c:v>45877</c:v>
                </c:pt>
                <c:pt idx="665">
                  <c:v>45880</c:v>
                </c:pt>
                <c:pt idx="666">
                  <c:v>45881</c:v>
                </c:pt>
                <c:pt idx="667">
                  <c:v>45882</c:v>
                </c:pt>
                <c:pt idx="668">
                  <c:v>45883</c:v>
                </c:pt>
                <c:pt idx="669">
                  <c:v>45884</c:v>
                </c:pt>
                <c:pt idx="670">
                  <c:v>45887</c:v>
                </c:pt>
                <c:pt idx="671">
                  <c:v>45888</c:v>
                </c:pt>
                <c:pt idx="672">
                  <c:v>45889</c:v>
                </c:pt>
                <c:pt idx="673">
                  <c:v>45890</c:v>
                </c:pt>
                <c:pt idx="674">
                  <c:v>45891</c:v>
                </c:pt>
                <c:pt idx="675">
                  <c:v>45894</c:v>
                </c:pt>
                <c:pt idx="676">
                  <c:v>45895</c:v>
                </c:pt>
                <c:pt idx="677">
                  <c:v>45896</c:v>
                </c:pt>
                <c:pt idx="678">
                  <c:v>45897</c:v>
                </c:pt>
                <c:pt idx="679">
                  <c:v>45898</c:v>
                </c:pt>
                <c:pt idx="680">
                  <c:v>45901</c:v>
                </c:pt>
                <c:pt idx="681">
                  <c:v>45902</c:v>
                </c:pt>
                <c:pt idx="682">
                  <c:v>45903</c:v>
                </c:pt>
                <c:pt idx="683">
                  <c:v>45904</c:v>
                </c:pt>
                <c:pt idx="684">
                  <c:v>45905</c:v>
                </c:pt>
                <c:pt idx="685">
                  <c:v>45908</c:v>
                </c:pt>
                <c:pt idx="686">
                  <c:v>45909</c:v>
                </c:pt>
                <c:pt idx="687">
                  <c:v>45910</c:v>
                </c:pt>
                <c:pt idx="688">
                  <c:v>45911</c:v>
                </c:pt>
                <c:pt idx="689">
                  <c:v>45912</c:v>
                </c:pt>
                <c:pt idx="690">
                  <c:v>45915</c:v>
                </c:pt>
                <c:pt idx="691">
                  <c:v>45916</c:v>
                </c:pt>
                <c:pt idx="692">
                  <c:v>45917</c:v>
                </c:pt>
                <c:pt idx="693">
                  <c:v>45918</c:v>
                </c:pt>
              </c:numCache>
            </c:numRef>
          </c:cat>
          <c:val>
            <c:numRef>
              <c:f>Info!$L$4:$L$667</c:f>
              <c:numCache>
                <c:formatCode>General</c:formatCode>
                <c:ptCount val="66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5D-40F4-A5DD-E9C4939E8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852912"/>
        <c:axId val="27984625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Swap Implied EFP</c:v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Info!$A$4:$A$697</c15:sqref>
                        </c15:formulaRef>
                      </c:ext>
                    </c:extLst>
                    <c:numCache>
                      <c:formatCode>m/d/yy</c:formatCode>
                      <c:ptCount val="694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44900</c:v>
                      </c:pt>
                      <c:pt idx="3">
                        <c:v>44901</c:v>
                      </c:pt>
                      <c:pt idx="4">
                        <c:v>44902</c:v>
                      </c:pt>
                      <c:pt idx="5">
                        <c:v>44903</c:v>
                      </c:pt>
                      <c:pt idx="6">
                        <c:v>44904</c:v>
                      </c:pt>
                      <c:pt idx="7">
                        <c:v>44907</c:v>
                      </c:pt>
                      <c:pt idx="8">
                        <c:v>44908</c:v>
                      </c:pt>
                      <c:pt idx="9">
                        <c:v>44909</c:v>
                      </c:pt>
                      <c:pt idx="10">
                        <c:v>44910</c:v>
                      </c:pt>
                      <c:pt idx="11">
                        <c:v>44911</c:v>
                      </c:pt>
                      <c:pt idx="12">
                        <c:v>44914</c:v>
                      </c:pt>
                      <c:pt idx="13">
                        <c:v>44915</c:v>
                      </c:pt>
                      <c:pt idx="14">
                        <c:v>44916</c:v>
                      </c:pt>
                      <c:pt idx="15">
                        <c:v>44917</c:v>
                      </c:pt>
                      <c:pt idx="16">
                        <c:v>44918</c:v>
                      </c:pt>
                      <c:pt idx="17">
                        <c:v>44923</c:v>
                      </c:pt>
                      <c:pt idx="18">
                        <c:v>44924</c:v>
                      </c:pt>
                      <c:pt idx="19">
                        <c:v>44925</c:v>
                      </c:pt>
                      <c:pt idx="20">
                        <c:v>44929</c:v>
                      </c:pt>
                      <c:pt idx="21">
                        <c:v>44930</c:v>
                      </c:pt>
                      <c:pt idx="22">
                        <c:v>44931</c:v>
                      </c:pt>
                      <c:pt idx="23">
                        <c:v>44932</c:v>
                      </c:pt>
                      <c:pt idx="24">
                        <c:v>44935</c:v>
                      </c:pt>
                      <c:pt idx="25">
                        <c:v>44936</c:v>
                      </c:pt>
                      <c:pt idx="26">
                        <c:v>44937</c:v>
                      </c:pt>
                      <c:pt idx="27">
                        <c:v>44938</c:v>
                      </c:pt>
                      <c:pt idx="28">
                        <c:v>44939</c:v>
                      </c:pt>
                      <c:pt idx="29">
                        <c:v>44942</c:v>
                      </c:pt>
                      <c:pt idx="30">
                        <c:v>44943</c:v>
                      </c:pt>
                      <c:pt idx="31">
                        <c:v>44944</c:v>
                      </c:pt>
                      <c:pt idx="32">
                        <c:v>44945</c:v>
                      </c:pt>
                      <c:pt idx="33">
                        <c:v>44946</c:v>
                      </c:pt>
                      <c:pt idx="34">
                        <c:v>44949</c:v>
                      </c:pt>
                      <c:pt idx="35">
                        <c:v>44950</c:v>
                      </c:pt>
                      <c:pt idx="36">
                        <c:v>44951</c:v>
                      </c:pt>
                      <c:pt idx="37">
                        <c:v>44952</c:v>
                      </c:pt>
                      <c:pt idx="38">
                        <c:v>44953</c:v>
                      </c:pt>
                      <c:pt idx="39">
                        <c:v>44956</c:v>
                      </c:pt>
                      <c:pt idx="40">
                        <c:v>44958</c:v>
                      </c:pt>
                      <c:pt idx="41">
                        <c:v>44959</c:v>
                      </c:pt>
                      <c:pt idx="42">
                        <c:v>44960</c:v>
                      </c:pt>
                      <c:pt idx="43">
                        <c:v>44963</c:v>
                      </c:pt>
                      <c:pt idx="44">
                        <c:v>44964</c:v>
                      </c:pt>
                      <c:pt idx="45">
                        <c:v>44965</c:v>
                      </c:pt>
                      <c:pt idx="46">
                        <c:v>44966</c:v>
                      </c:pt>
                      <c:pt idx="47">
                        <c:v>44967</c:v>
                      </c:pt>
                      <c:pt idx="48">
                        <c:v>44970</c:v>
                      </c:pt>
                      <c:pt idx="49">
                        <c:v>44971</c:v>
                      </c:pt>
                      <c:pt idx="50">
                        <c:v>44972</c:v>
                      </c:pt>
                      <c:pt idx="51">
                        <c:v>44973</c:v>
                      </c:pt>
                      <c:pt idx="52">
                        <c:v>44974</c:v>
                      </c:pt>
                      <c:pt idx="53">
                        <c:v>44977</c:v>
                      </c:pt>
                      <c:pt idx="54">
                        <c:v>44978</c:v>
                      </c:pt>
                      <c:pt idx="55">
                        <c:v>44979</c:v>
                      </c:pt>
                      <c:pt idx="56">
                        <c:v>44980</c:v>
                      </c:pt>
                      <c:pt idx="57">
                        <c:v>44981</c:v>
                      </c:pt>
                      <c:pt idx="58">
                        <c:v>44984</c:v>
                      </c:pt>
                      <c:pt idx="59">
                        <c:v>44985</c:v>
                      </c:pt>
                      <c:pt idx="60">
                        <c:v>44986</c:v>
                      </c:pt>
                      <c:pt idx="61">
                        <c:v>44987</c:v>
                      </c:pt>
                      <c:pt idx="62">
                        <c:v>44988</c:v>
                      </c:pt>
                      <c:pt idx="63">
                        <c:v>44991</c:v>
                      </c:pt>
                      <c:pt idx="64">
                        <c:v>44992</c:v>
                      </c:pt>
                      <c:pt idx="65">
                        <c:v>44993</c:v>
                      </c:pt>
                      <c:pt idx="66">
                        <c:v>44994</c:v>
                      </c:pt>
                      <c:pt idx="67">
                        <c:v>44995</c:v>
                      </c:pt>
                      <c:pt idx="68">
                        <c:v>44998</c:v>
                      </c:pt>
                      <c:pt idx="69">
                        <c:v>44999</c:v>
                      </c:pt>
                      <c:pt idx="70">
                        <c:v>45000</c:v>
                      </c:pt>
                      <c:pt idx="71">
                        <c:v>45001</c:v>
                      </c:pt>
                      <c:pt idx="72">
                        <c:v>45002</c:v>
                      </c:pt>
                      <c:pt idx="73">
                        <c:v>45005</c:v>
                      </c:pt>
                      <c:pt idx="74">
                        <c:v>45006</c:v>
                      </c:pt>
                      <c:pt idx="75">
                        <c:v>45007</c:v>
                      </c:pt>
                      <c:pt idx="76">
                        <c:v>45008</c:v>
                      </c:pt>
                      <c:pt idx="77">
                        <c:v>45009</c:v>
                      </c:pt>
                      <c:pt idx="78">
                        <c:v>45012</c:v>
                      </c:pt>
                      <c:pt idx="79">
                        <c:v>45013</c:v>
                      </c:pt>
                      <c:pt idx="80">
                        <c:v>45014</c:v>
                      </c:pt>
                      <c:pt idx="81">
                        <c:v>45015</c:v>
                      </c:pt>
                      <c:pt idx="82">
                        <c:v>45016</c:v>
                      </c:pt>
                      <c:pt idx="83">
                        <c:v>45019</c:v>
                      </c:pt>
                      <c:pt idx="84">
                        <c:v>45020</c:v>
                      </c:pt>
                      <c:pt idx="85">
                        <c:v>45021</c:v>
                      </c:pt>
                      <c:pt idx="86">
                        <c:v>45022</c:v>
                      </c:pt>
                      <c:pt idx="87">
                        <c:v>45027</c:v>
                      </c:pt>
                      <c:pt idx="88">
                        <c:v>45028</c:v>
                      </c:pt>
                      <c:pt idx="89">
                        <c:v>45029</c:v>
                      </c:pt>
                      <c:pt idx="90">
                        <c:v>45030</c:v>
                      </c:pt>
                      <c:pt idx="91">
                        <c:v>45033</c:v>
                      </c:pt>
                      <c:pt idx="92">
                        <c:v>45034</c:v>
                      </c:pt>
                      <c:pt idx="93">
                        <c:v>45035</c:v>
                      </c:pt>
                      <c:pt idx="94">
                        <c:v>45036</c:v>
                      </c:pt>
                      <c:pt idx="95">
                        <c:v>45037</c:v>
                      </c:pt>
                      <c:pt idx="96">
                        <c:v>45040</c:v>
                      </c:pt>
                      <c:pt idx="97">
                        <c:v>45041</c:v>
                      </c:pt>
                      <c:pt idx="98">
                        <c:v>45042</c:v>
                      </c:pt>
                      <c:pt idx="99">
                        <c:v>45043</c:v>
                      </c:pt>
                      <c:pt idx="100">
                        <c:v>45044</c:v>
                      </c:pt>
                      <c:pt idx="101">
                        <c:v>45048</c:v>
                      </c:pt>
                      <c:pt idx="102">
                        <c:v>45049</c:v>
                      </c:pt>
                      <c:pt idx="103">
                        <c:v>45050</c:v>
                      </c:pt>
                      <c:pt idx="104">
                        <c:v>45051</c:v>
                      </c:pt>
                      <c:pt idx="105">
                        <c:v>45055</c:v>
                      </c:pt>
                      <c:pt idx="106">
                        <c:v>45056</c:v>
                      </c:pt>
                      <c:pt idx="107">
                        <c:v>45057</c:v>
                      </c:pt>
                      <c:pt idx="108">
                        <c:v>45058</c:v>
                      </c:pt>
                      <c:pt idx="109">
                        <c:v>45061</c:v>
                      </c:pt>
                      <c:pt idx="110">
                        <c:v>45062</c:v>
                      </c:pt>
                      <c:pt idx="111">
                        <c:v>45063</c:v>
                      </c:pt>
                      <c:pt idx="112">
                        <c:v>45064</c:v>
                      </c:pt>
                      <c:pt idx="113">
                        <c:v>45065</c:v>
                      </c:pt>
                      <c:pt idx="114">
                        <c:v>45068</c:v>
                      </c:pt>
                      <c:pt idx="115">
                        <c:v>45069</c:v>
                      </c:pt>
                      <c:pt idx="116">
                        <c:v>45070</c:v>
                      </c:pt>
                      <c:pt idx="117">
                        <c:v>45071</c:v>
                      </c:pt>
                      <c:pt idx="118">
                        <c:v>45072</c:v>
                      </c:pt>
                      <c:pt idx="119">
                        <c:v>45076</c:v>
                      </c:pt>
                      <c:pt idx="120">
                        <c:v>45077</c:v>
                      </c:pt>
                      <c:pt idx="121">
                        <c:v>45078</c:v>
                      </c:pt>
                      <c:pt idx="122">
                        <c:v>45079</c:v>
                      </c:pt>
                      <c:pt idx="123">
                        <c:v>45082</c:v>
                      </c:pt>
                      <c:pt idx="124">
                        <c:v>45083</c:v>
                      </c:pt>
                      <c:pt idx="125">
                        <c:v>45084</c:v>
                      </c:pt>
                      <c:pt idx="126">
                        <c:v>45085</c:v>
                      </c:pt>
                      <c:pt idx="127">
                        <c:v>45086</c:v>
                      </c:pt>
                      <c:pt idx="128">
                        <c:v>45089</c:v>
                      </c:pt>
                      <c:pt idx="129">
                        <c:v>45090</c:v>
                      </c:pt>
                      <c:pt idx="130">
                        <c:v>45091</c:v>
                      </c:pt>
                      <c:pt idx="131">
                        <c:v>45092</c:v>
                      </c:pt>
                      <c:pt idx="132">
                        <c:v>45093</c:v>
                      </c:pt>
                      <c:pt idx="133">
                        <c:v>45096</c:v>
                      </c:pt>
                      <c:pt idx="134">
                        <c:v>45097</c:v>
                      </c:pt>
                      <c:pt idx="135">
                        <c:v>45098</c:v>
                      </c:pt>
                      <c:pt idx="136">
                        <c:v>45099</c:v>
                      </c:pt>
                      <c:pt idx="137">
                        <c:v>45100</c:v>
                      </c:pt>
                      <c:pt idx="138">
                        <c:v>45103</c:v>
                      </c:pt>
                      <c:pt idx="139">
                        <c:v>45104</c:v>
                      </c:pt>
                      <c:pt idx="140">
                        <c:v>45105</c:v>
                      </c:pt>
                      <c:pt idx="141">
                        <c:v>45106</c:v>
                      </c:pt>
                      <c:pt idx="142">
                        <c:v>45107</c:v>
                      </c:pt>
                      <c:pt idx="143">
                        <c:v>45110</c:v>
                      </c:pt>
                      <c:pt idx="144">
                        <c:v>45111</c:v>
                      </c:pt>
                      <c:pt idx="145">
                        <c:v>45112</c:v>
                      </c:pt>
                      <c:pt idx="146">
                        <c:v>45113</c:v>
                      </c:pt>
                      <c:pt idx="147">
                        <c:v>45114</c:v>
                      </c:pt>
                      <c:pt idx="148">
                        <c:v>45117</c:v>
                      </c:pt>
                      <c:pt idx="149">
                        <c:v>45118</c:v>
                      </c:pt>
                      <c:pt idx="150">
                        <c:v>45119</c:v>
                      </c:pt>
                      <c:pt idx="151">
                        <c:v>45120</c:v>
                      </c:pt>
                      <c:pt idx="152">
                        <c:v>45121</c:v>
                      </c:pt>
                      <c:pt idx="153">
                        <c:v>45124</c:v>
                      </c:pt>
                      <c:pt idx="154">
                        <c:v>45125</c:v>
                      </c:pt>
                      <c:pt idx="155">
                        <c:v>45126</c:v>
                      </c:pt>
                      <c:pt idx="156">
                        <c:v>45127</c:v>
                      </c:pt>
                      <c:pt idx="157">
                        <c:v>45128</c:v>
                      </c:pt>
                      <c:pt idx="158">
                        <c:v>45131</c:v>
                      </c:pt>
                      <c:pt idx="159">
                        <c:v>45132</c:v>
                      </c:pt>
                      <c:pt idx="160">
                        <c:v>45133</c:v>
                      </c:pt>
                      <c:pt idx="161">
                        <c:v>45134</c:v>
                      </c:pt>
                      <c:pt idx="162">
                        <c:v>45135</c:v>
                      </c:pt>
                      <c:pt idx="163">
                        <c:v>45138</c:v>
                      </c:pt>
                      <c:pt idx="164">
                        <c:v>45139</c:v>
                      </c:pt>
                      <c:pt idx="165">
                        <c:v>45140</c:v>
                      </c:pt>
                      <c:pt idx="166">
                        <c:v>45141</c:v>
                      </c:pt>
                      <c:pt idx="167">
                        <c:v>45142</c:v>
                      </c:pt>
                      <c:pt idx="168">
                        <c:v>45145</c:v>
                      </c:pt>
                      <c:pt idx="169">
                        <c:v>45146</c:v>
                      </c:pt>
                      <c:pt idx="170">
                        <c:v>45147</c:v>
                      </c:pt>
                      <c:pt idx="171">
                        <c:v>45148</c:v>
                      </c:pt>
                      <c:pt idx="172">
                        <c:v>45149</c:v>
                      </c:pt>
                      <c:pt idx="173">
                        <c:v>45152</c:v>
                      </c:pt>
                      <c:pt idx="174">
                        <c:v>45153</c:v>
                      </c:pt>
                      <c:pt idx="175">
                        <c:v>45154</c:v>
                      </c:pt>
                      <c:pt idx="176">
                        <c:v>45155</c:v>
                      </c:pt>
                      <c:pt idx="177">
                        <c:v>45156</c:v>
                      </c:pt>
                      <c:pt idx="178">
                        <c:v>45159</c:v>
                      </c:pt>
                      <c:pt idx="179">
                        <c:v>45160</c:v>
                      </c:pt>
                      <c:pt idx="180">
                        <c:v>45161</c:v>
                      </c:pt>
                      <c:pt idx="181">
                        <c:v>45162</c:v>
                      </c:pt>
                      <c:pt idx="182">
                        <c:v>45163</c:v>
                      </c:pt>
                      <c:pt idx="183">
                        <c:v>45167</c:v>
                      </c:pt>
                      <c:pt idx="184">
                        <c:v>45168</c:v>
                      </c:pt>
                      <c:pt idx="185">
                        <c:v>45169</c:v>
                      </c:pt>
                      <c:pt idx="186">
                        <c:v>45170</c:v>
                      </c:pt>
                      <c:pt idx="187">
                        <c:v>45173</c:v>
                      </c:pt>
                      <c:pt idx="188">
                        <c:v>45174</c:v>
                      </c:pt>
                      <c:pt idx="189">
                        <c:v>45175</c:v>
                      </c:pt>
                      <c:pt idx="190">
                        <c:v>45176</c:v>
                      </c:pt>
                      <c:pt idx="191">
                        <c:v>45177</c:v>
                      </c:pt>
                      <c:pt idx="192">
                        <c:v>45180</c:v>
                      </c:pt>
                      <c:pt idx="193">
                        <c:v>45181</c:v>
                      </c:pt>
                      <c:pt idx="194">
                        <c:v>45182</c:v>
                      </c:pt>
                      <c:pt idx="195">
                        <c:v>45183</c:v>
                      </c:pt>
                      <c:pt idx="196">
                        <c:v>45184</c:v>
                      </c:pt>
                      <c:pt idx="197">
                        <c:v>45187</c:v>
                      </c:pt>
                      <c:pt idx="198">
                        <c:v>45188</c:v>
                      </c:pt>
                      <c:pt idx="199">
                        <c:v>45189</c:v>
                      </c:pt>
                      <c:pt idx="200">
                        <c:v>45190</c:v>
                      </c:pt>
                      <c:pt idx="201">
                        <c:v>45191</c:v>
                      </c:pt>
                      <c:pt idx="202">
                        <c:v>45194</c:v>
                      </c:pt>
                      <c:pt idx="203">
                        <c:v>45195</c:v>
                      </c:pt>
                      <c:pt idx="204">
                        <c:v>45196</c:v>
                      </c:pt>
                      <c:pt idx="205">
                        <c:v>45197</c:v>
                      </c:pt>
                      <c:pt idx="206">
                        <c:v>45198</c:v>
                      </c:pt>
                      <c:pt idx="207">
                        <c:v>45201</c:v>
                      </c:pt>
                      <c:pt idx="208">
                        <c:v>45202</c:v>
                      </c:pt>
                      <c:pt idx="209">
                        <c:v>45203</c:v>
                      </c:pt>
                      <c:pt idx="210">
                        <c:v>45204</c:v>
                      </c:pt>
                      <c:pt idx="211">
                        <c:v>45205</c:v>
                      </c:pt>
                      <c:pt idx="212">
                        <c:v>45208</c:v>
                      </c:pt>
                      <c:pt idx="213">
                        <c:v>45209</c:v>
                      </c:pt>
                      <c:pt idx="214">
                        <c:v>45210</c:v>
                      </c:pt>
                      <c:pt idx="215">
                        <c:v>45211</c:v>
                      </c:pt>
                      <c:pt idx="216">
                        <c:v>45212</c:v>
                      </c:pt>
                      <c:pt idx="217">
                        <c:v>45215</c:v>
                      </c:pt>
                      <c:pt idx="218">
                        <c:v>45216</c:v>
                      </c:pt>
                      <c:pt idx="219">
                        <c:v>45217</c:v>
                      </c:pt>
                      <c:pt idx="220">
                        <c:v>45218</c:v>
                      </c:pt>
                      <c:pt idx="221">
                        <c:v>45219</c:v>
                      </c:pt>
                      <c:pt idx="222">
                        <c:v>45222</c:v>
                      </c:pt>
                      <c:pt idx="223">
                        <c:v>45223</c:v>
                      </c:pt>
                      <c:pt idx="224">
                        <c:v>45224</c:v>
                      </c:pt>
                      <c:pt idx="225">
                        <c:v>45225</c:v>
                      </c:pt>
                      <c:pt idx="226">
                        <c:v>45226</c:v>
                      </c:pt>
                      <c:pt idx="227">
                        <c:v>45229</c:v>
                      </c:pt>
                      <c:pt idx="228">
                        <c:v>45230</c:v>
                      </c:pt>
                      <c:pt idx="229">
                        <c:v>45231</c:v>
                      </c:pt>
                      <c:pt idx="230">
                        <c:v>45232</c:v>
                      </c:pt>
                      <c:pt idx="231">
                        <c:v>45233</c:v>
                      </c:pt>
                      <c:pt idx="232">
                        <c:v>45236</c:v>
                      </c:pt>
                      <c:pt idx="233">
                        <c:v>45237</c:v>
                      </c:pt>
                      <c:pt idx="234">
                        <c:v>45238</c:v>
                      </c:pt>
                      <c:pt idx="235">
                        <c:v>45239</c:v>
                      </c:pt>
                      <c:pt idx="236">
                        <c:v>45240</c:v>
                      </c:pt>
                      <c:pt idx="237">
                        <c:v>45243</c:v>
                      </c:pt>
                      <c:pt idx="238">
                        <c:v>45244</c:v>
                      </c:pt>
                      <c:pt idx="239">
                        <c:v>45245</c:v>
                      </c:pt>
                      <c:pt idx="240">
                        <c:v>45246</c:v>
                      </c:pt>
                      <c:pt idx="241">
                        <c:v>45247</c:v>
                      </c:pt>
                      <c:pt idx="242">
                        <c:v>45250</c:v>
                      </c:pt>
                      <c:pt idx="243">
                        <c:v>45251</c:v>
                      </c:pt>
                      <c:pt idx="244">
                        <c:v>45252</c:v>
                      </c:pt>
                      <c:pt idx="245">
                        <c:v>45253</c:v>
                      </c:pt>
                      <c:pt idx="246">
                        <c:v>45254</c:v>
                      </c:pt>
                      <c:pt idx="247">
                        <c:v>45257</c:v>
                      </c:pt>
                      <c:pt idx="248">
                        <c:v>45258</c:v>
                      </c:pt>
                      <c:pt idx="249">
                        <c:v>45259</c:v>
                      </c:pt>
                      <c:pt idx="250">
                        <c:v>45260</c:v>
                      </c:pt>
                      <c:pt idx="251">
                        <c:v>45261</c:v>
                      </c:pt>
                      <c:pt idx="252">
                        <c:v>45264</c:v>
                      </c:pt>
                      <c:pt idx="253">
                        <c:v>45265</c:v>
                      </c:pt>
                      <c:pt idx="254">
                        <c:v>45266</c:v>
                      </c:pt>
                      <c:pt idx="255">
                        <c:v>45267</c:v>
                      </c:pt>
                      <c:pt idx="256">
                        <c:v>45268</c:v>
                      </c:pt>
                      <c:pt idx="257">
                        <c:v>45271</c:v>
                      </c:pt>
                      <c:pt idx="258">
                        <c:v>45272</c:v>
                      </c:pt>
                      <c:pt idx="259">
                        <c:v>45273</c:v>
                      </c:pt>
                      <c:pt idx="260">
                        <c:v>45274</c:v>
                      </c:pt>
                      <c:pt idx="261">
                        <c:v>45275</c:v>
                      </c:pt>
                      <c:pt idx="262">
                        <c:v>45278</c:v>
                      </c:pt>
                      <c:pt idx="263">
                        <c:v>45279</c:v>
                      </c:pt>
                      <c:pt idx="264">
                        <c:v>45280</c:v>
                      </c:pt>
                      <c:pt idx="265">
                        <c:v>45281</c:v>
                      </c:pt>
                      <c:pt idx="266">
                        <c:v>45282</c:v>
                      </c:pt>
                      <c:pt idx="267">
                        <c:v>45286</c:v>
                      </c:pt>
                      <c:pt idx="268">
                        <c:v>45287</c:v>
                      </c:pt>
                      <c:pt idx="269">
                        <c:v>45288</c:v>
                      </c:pt>
                      <c:pt idx="270">
                        <c:v>45289</c:v>
                      </c:pt>
                      <c:pt idx="271">
                        <c:v>45293</c:v>
                      </c:pt>
                      <c:pt idx="272">
                        <c:v>45294</c:v>
                      </c:pt>
                      <c:pt idx="273">
                        <c:v>45295</c:v>
                      </c:pt>
                      <c:pt idx="274">
                        <c:v>45296</c:v>
                      </c:pt>
                      <c:pt idx="275">
                        <c:v>45299</c:v>
                      </c:pt>
                      <c:pt idx="276">
                        <c:v>45300</c:v>
                      </c:pt>
                      <c:pt idx="277">
                        <c:v>45301</c:v>
                      </c:pt>
                      <c:pt idx="278">
                        <c:v>45302</c:v>
                      </c:pt>
                      <c:pt idx="279">
                        <c:v>45303</c:v>
                      </c:pt>
                      <c:pt idx="280">
                        <c:v>45306</c:v>
                      </c:pt>
                      <c:pt idx="281">
                        <c:v>45307</c:v>
                      </c:pt>
                      <c:pt idx="282">
                        <c:v>45308</c:v>
                      </c:pt>
                      <c:pt idx="283">
                        <c:v>45309</c:v>
                      </c:pt>
                      <c:pt idx="284">
                        <c:v>45310</c:v>
                      </c:pt>
                      <c:pt idx="285">
                        <c:v>45313</c:v>
                      </c:pt>
                      <c:pt idx="286">
                        <c:v>45314</c:v>
                      </c:pt>
                      <c:pt idx="287">
                        <c:v>45315</c:v>
                      </c:pt>
                      <c:pt idx="288">
                        <c:v>45316</c:v>
                      </c:pt>
                      <c:pt idx="289">
                        <c:v>45317</c:v>
                      </c:pt>
                      <c:pt idx="290">
                        <c:v>45320</c:v>
                      </c:pt>
                      <c:pt idx="291">
                        <c:v>45321</c:v>
                      </c:pt>
                      <c:pt idx="292">
                        <c:v>45322</c:v>
                      </c:pt>
                      <c:pt idx="293">
                        <c:v>45323</c:v>
                      </c:pt>
                      <c:pt idx="294">
                        <c:v>45324</c:v>
                      </c:pt>
                      <c:pt idx="295">
                        <c:v>45327</c:v>
                      </c:pt>
                      <c:pt idx="296">
                        <c:v>45328</c:v>
                      </c:pt>
                      <c:pt idx="297">
                        <c:v>45329</c:v>
                      </c:pt>
                      <c:pt idx="298">
                        <c:v>45330</c:v>
                      </c:pt>
                      <c:pt idx="299">
                        <c:v>45331</c:v>
                      </c:pt>
                      <c:pt idx="300">
                        <c:v>45334</c:v>
                      </c:pt>
                      <c:pt idx="301">
                        <c:v>45335</c:v>
                      </c:pt>
                      <c:pt idx="302">
                        <c:v>45336</c:v>
                      </c:pt>
                      <c:pt idx="303">
                        <c:v>45337</c:v>
                      </c:pt>
                      <c:pt idx="304">
                        <c:v>45338</c:v>
                      </c:pt>
                      <c:pt idx="305">
                        <c:v>45341</c:v>
                      </c:pt>
                      <c:pt idx="306">
                        <c:v>45342</c:v>
                      </c:pt>
                      <c:pt idx="307">
                        <c:v>45343</c:v>
                      </c:pt>
                      <c:pt idx="308">
                        <c:v>45344</c:v>
                      </c:pt>
                      <c:pt idx="309">
                        <c:v>45345</c:v>
                      </c:pt>
                      <c:pt idx="310">
                        <c:v>45348</c:v>
                      </c:pt>
                      <c:pt idx="311">
                        <c:v>45349</c:v>
                      </c:pt>
                      <c:pt idx="312">
                        <c:v>45350</c:v>
                      </c:pt>
                      <c:pt idx="313">
                        <c:v>45351</c:v>
                      </c:pt>
                      <c:pt idx="314">
                        <c:v>45352</c:v>
                      </c:pt>
                      <c:pt idx="315">
                        <c:v>45355</c:v>
                      </c:pt>
                      <c:pt idx="316">
                        <c:v>45356</c:v>
                      </c:pt>
                      <c:pt idx="317">
                        <c:v>45357</c:v>
                      </c:pt>
                      <c:pt idx="318">
                        <c:v>45358</c:v>
                      </c:pt>
                      <c:pt idx="319">
                        <c:v>45359</c:v>
                      </c:pt>
                      <c:pt idx="320">
                        <c:v>45362</c:v>
                      </c:pt>
                      <c:pt idx="321">
                        <c:v>45363</c:v>
                      </c:pt>
                      <c:pt idx="322">
                        <c:v>45364</c:v>
                      </c:pt>
                      <c:pt idx="323">
                        <c:v>45365</c:v>
                      </c:pt>
                      <c:pt idx="324">
                        <c:v>45366</c:v>
                      </c:pt>
                      <c:pt idx="325">
                        <c:v>45369</c:v>
                      </c:pt>
                      <c:pt idx="326">
                        <c:v>45370</c:v>
                      </c:pt>
                      <c:pt idx="327">
                        <c:v>45371</c:v>
                      </c:pt>
                      <c:pt idx="328">
                        <c:v>45372</c:v>
                      </c:pt>
                      <c:pt idx="329">
                        <c:v>45373</c:v>
                      </c:pt>
                      <c:pt idx="330">
                        <c:v>45376</c:v>
                      </c:pt>
                      <c:pt idx="331">
                        <c:v>45377</c:v>
                      </c:pt>
                      <c:pt idx="332">
                        <c:v>45378</c:v>
                      </c:pt>
                      <c:pt idx="333">
                        <c:v>45379</c:v>
                      </c:pt>
                      <c:pt idx="334">
                        <c:v>45384</c:v>
                      </c:pt>
                      <c:pt idx="335">
                        <c:v>45385</c:v>
                      </c:pt>
                      <c:pt idx="336">
                        <c:v>45386</c:v>
                      </c:pt>
                      <c:pt idx="337">
                        <c:v>45387</c:v>
                      </c:pt>
                      <c:pt idx="338">
                        <c:v>45390</c:v>
                      </c:pt>
                      <c:pt idx="339">
                        <c:v>45391</c:v>
                      </c:pt>
                      <c:pt idx="340">
                        <c:v>45392</c:v>
                      </c:pt>
                      <c:pt idx="341">
                        <c:v>45393</c:v>
                      </c:pt>
                      <c:pt idx="342">
                        <c:v>45394</c:v>
                      </c:pt>
                      <c:pt idx="343">
                        <c:v>45397</c:v>
                      </c:pt>
                      <c:pt idx="344">
                        <c:v>45398</c:v>
                      </c:pt>
                      <c:pt idx="345">
                        <c:v>45399</c:v>
                      </c:pt>
                      <c:pt idx="346">
                        <c:v>45400</c:v>
                      </c:pt>
                      <c:pt idx="347">
                        <c:v>45404</c:v>
                      </c:pt>
                      <c:pt idx="348">
                        <c:v>45405</c:v>
                      </c:pt>
                      <c:pt idx="349">
                        <c:v>45406</c:v>
                      </c:pt>
                      <c:pt idx="350">
                        <c:v>45407</c:v>
                      </c:pt>
                      <c:pt idx="351">
                        <c:v>45408</c:v>
                      </c:pt>
                      <c:pt idx="352">
                        <c:v>45411</c:v>
                      </c:pt>
                      <c:pt idx="353">
                        <c:v>45412</c:v>
                      </c:pt>
                      <c:pt idx="354">
                        <c:v>45413</c:v>
                      </c:pt>
                      <c:pt idx="355">
                        <c:v>45414</c:v>
                      </c:pt>
                      <c:pt idx="356">
                        <c:v>45415</c:v>
                      </c:pt>
                      <c:pt idx="357">
                        <c:v>45418</c:v>
                      </c:pt>
                      <c:pt idx="358">
                        <c:v>45419</c:v>
                      </c:pt>
                      <c:pt idx="359">
                        <c:v>45420</c:v>
                      </c:pt>
                      <c:pt idx="360">
                        <c:v>45421</c:v>
                      </c:pt>
                      <c:pt idx="361">
                        <c:v>45422</c:v>
                      </c:pt>
                      <c:pt idx="362">
                        <c:v>45425</c:v>
                      </c:pt>
                      <c:pt idx="363">
                        <c:v>45426</c:v>
                      </c:pt>
                      <c:pt idx="364">
                        <c:v>45427</c:v>
                      </c:pt>
                      <c:pt idx="365">
                        <c:v>45428</c:v>
                      </c:pt>
                      <c:pt idx="366">
                        <c:v>45429</c:v>
                      </c:pt>
                      <c:pt idx="367">
                        <c:v>45432</c:v>
                      </c:pt>
                      <c:pt idx="368">
                        <c:v>45433</c:v>
                      </c:pt>
                      <c:pt idx="369">
                        <c:v>45434</c:v>
                      </c:pt>
                      <c:pt idx="370">
                        <c:v>45435</c:v>
                      </c:pt>
                      <c:pt idx="371">
                        <c:v>45436</c:v>
                      </c:pt>
                      <c:pt idx="372">
                        <c:v>45439</c:v>
                      </c:pt>
                      <c:pt idx="373">
                        <c:v>45440</c:v>
                      </c:pt>
                      <c:pt idx="374">
                        <c:v>45441</c:v>
                      </c:pt>
                      <c:pt idx="375">
                        <c:v>45442</c:v>
                      </c:pt>
                      <c:pt idx="376">
                        <c:v>45443</c:v>
                      </c:pt>
                      <c:pt idx="377">
                        <c:v>45446</c:v>
                      </c:pt>
                      <c:pt idx="378">
                        <c:v>45447</c:v>
                      </c:pt>
                      <c:pt idx="379">
                        <c:v>45448</c:v>
                      </c:pt>
                      <c:pt idx="380">
                        <c:v>45449</c:v>
                      </c:pt>
                      <c:pt idx="381">
                        <c:v>45450</c:v>
                      </c:pt>
                      <c:pt idx="382">
                        <c:v>45453</c:v>
                      </c:pt>
                      <c:pt idx="383">
                        <c:v>45454</c:v>
                      </c:pt>
                      <c:pt idx="384">
                        <c:v>45455</c:v>
                      </c:pt>
                      <c:pt idx="385">
                        <c:v>45456</c:v>
                      </c:pt>
                      <c:pt idx="386">
                        <c:v>45457</c:v>
                      </c:pt>
                      <c:pt idx="387">
                        <c:v>45460</c:v>
                      </c:pt>
                      <c:pt idx="388">
                        <c:v>45461</c:v>
                      </c:pt>
                      <c:pt idx="389">
                        <c:v>45462</c:v>
                      </c:pt>
                      <c:pt idx="390">
                        <c:v>45463</c:v>
                      </c:pt>
                      <c:pt idx="391">
                        <c:v>45464</c:v>
                      </c:pt>
                      <c:pt idx="392">
                        <c:v>45467</c:v>
                      </c:pt>
                      <c:pt idx="393">
                        <c:v>45468</c:v>
                      </c:pt>
                      <c:pt idx="394">
                        <c:v>45469</c:v>
                      </c:pt>
                      <c:pt idx="395">
                        <c:v>45470</c:v>
                      </c:pt>
                      <c:pt idx="396">
                        <c:v>45471</c:v>
                      </c:pt>
                      <c:pt idx="397">
                        <c:v>45474</c:v>
                      </c:pt>
                      <c:pt idx="398">
                        <c:v>45475</c:v>
                      </c:pt>
                      <c:pt idx="399">
                        <c:v>45476</c:v>
                      </c:pt>
                      <c:pt idx="400">
                        <c:v>45477</c:v>
                      </c:pt>
                      <c:pt idx="401">
                        <c:v>45478</c:v>
                      </c:pt>
                      <c:pt idx="402">
                        <c:v>45481</c:v>
                      </c:pt>
                      <c:pt idx="403">
                        <c:v>45482</c:v>
                      </c:pt>
                      <c:pt idx="404">
                        <c:v>45483</c:v>
                      </c:pt>
                      <c:pt idx="405">
                        <c:v>45484</c:v>
                      </c:pt>
                      <c:pt idx="406">
                        <c:v>45485</c:v>
                      </c:pt>
                      <c:pt idx="407">
                        <c:v>45488</c:v>
                      </c:pt>
                      <c:pt idx="408">
                        <c:v>45489</c:v>
                      </c:pt>
                      <c:pt idx="409">
                        <c:v>45490</c:v>
                      </c:pt>
                      <c:pt idx="410">
                        <c:v>45491</c:v>
                      </c:pt>
                      <c:pt idx="411">
                        <c:v>45492</c:v>
                      </c:pt>
                      <c:pt idx="412">
                        <c:v>45495</c:v>
                      </c:pt>
                      <c:pt idx="413">
                        <c:v>45496</c:v>
                      </c:pt>
                      <c:pt idx="414">
                        <c:v>45497</c:v>
                      </c:pt>
                      <c:pt idx="415">
                        <c:v>45498</c:v>
                      </c:pt>
                      <c:pt idx="416">
                        <c:v>45499</c:v>
                      </c:pt>
                      <c:pt idx="417">
                        <c:v>45502</c:v>
                      </c:pt>
                      <c:pt idx="418">
                        <c:v>45503</c:v>
                      </c:pt>
                      <c:pt idx="419">
                        <c:v>45504</c:v>
                      </c:pt>
                      <c:pt idx="420">
                        <c:v>45505</c:v>
                      </c:pt>
                      <c:pt idx="421">
                        <c:v>45506</c:v>
                      </c:pt>
                      <c:pt idx="422">
                        <c:v>45509</c:v>
                      </c:pt>
                      <c:pt idx="423">
                        <c:v>45510</c:v>
                      </c:pt>
                      <c:pt idx="424">
                        <c:v>45511</c:v>
                      </c:pt>
                      <c:pt idx="425">
                        <c:v>45512</c:v>
                      </c:pt>
                      <c:pt idx="426">
                        <c:v>45513</c:v>
                      </c:pt>
                      <c:pt idx="427">
                        <c:v>45516</c:v>
                      </c:pt>
                      <c:pt idx="428">
                        <c:v>45517</c:v>
                      </c:pt>
                      <c:pt idx="429">
                        <c:v>45518</c:v>
                      </c:pt>
                      <c:pt idx="430">
                        <c:v>45519</c:v>
                      </c:pt>
                      <c:pt idx="431">
                        <c:v>45520</c:v>
                      </c:pt>
                      <c:pt idx="432">
                        <c:v>45523</c:v>
                      </c:pt>
                      <c:pt idx="433">
                        <c:v>45524</c:v>
                      </c:pt>
                      <c:pt idx="434">
                        <c:v>45525</c:v>
                      </c:pt>
                      <c:pt idx="435">
                        <c:v>45526</c:v>
                      </c:pt>
                      <c:pt idx="436">
                        <c:v>45527</c:v>
                      </c:pt>
                      <c:pt idx="437">
                        <c:v>45530</c:v>
                      </c:pt>
                      <c:pt idx="438">
                        <c:v>45531</c:v>
                      </c:pt>
                      <c:pt idx="439">
                        <c:v>45532</c:v>
                      </c:pt>
                      <c:pt idx="440">
                        <c:v>45533</c:v>
                      </c:pt>
                      <c:pt idx="441">
                        <c:v>45534</c:v>
                      </c:pt>
                      <c:pt idx="442">
                        <c:v>45537</c:v>
                      </c:pt>
                      <c:pt idx="443">
                        <c:v>45538</c:v>
                      </c:pt>
                      <c:pt idx="444">
                        <c:v>45539</c:v>
                      </c:pt>
                      <c:pt idx="445">
                        <c:v>45540</c:v>
                      </c:pt>
                      <c:pt idx="446">
                        <c:v>45541</c:v>
                      </c:pt>
                      <c:pt idx="447">
                        <c:v>45544</c:v>
                      </c:pt>
                      <c:pt idx="448">
                        <c:v>45545</c:v>
                      </c:pt>
                      <c:pt idx="449">
                        <c:v>45546</c:v>
                      </c:pt>
                      <c:pt idx="450">
                        <c:v>45547</c:v>
                      </c:pt>
                      <c:pt idx="451">
                        <c:v>45548</c:v>
                      </c:pt>
                      <c:pt idx="452">
                        <c:v>45551</c:v>
                      </c:pt>
                      <c:pt idx="453">
                        <c:v>45552</c:v>
                      </c:pt>
                      <c:pt idx="454">
                        <c:v>45553</c:v>
                      </c:pt>
                      <c:pt idx="455">
                        <c:v>45554</c:v>
                      </c:pt>
                      <c:pt idx="456">
                        <c:v>45555</c:v>
                      </c:pt>
                      <c:pt idx="457">
                        <c:v>45558</c:v>
                      </c:pt>
                      <c:pt idx="458">
                        <c:v>45559</c:v>
                      </c:pt>
                      <c:pt idx="459">
                        <c:v>45560</c:v>
                      </c:pt>
                      <c:pt idx="460">
                        <c:v>45561</c:v>
                      </c:pt>
                      <c:pt idx="461">
                        <c:v>45562</c:v>
                      </c:pt>
                      <c:pt idx="462">
                        <c:v>45565</c:v>
                      </c:pt>
                      <c:pt idx="463">
                        <c:v>45566</c:v>
                      </c:pt>
                      <c:pt idx="464">
                        <c:v>45567</c:v>
                      </c:pt>
                      <c:pt idx="465">
                        <c:v>45568</c:v>
                      </c:pt>
                      <c:pt idx="466">
                        <c:v>45569</c:v>
                      </c:pt>
                      <c:pt idx="467">
                        <c:v>45572</c:v>
                      </c:pt>
                      <c:pt idx="468">
                        <c:v>45573</c:v>
                      </c:pt>
                      <c:pt idx="469">
                        <c:v>45574</c:v>
                      </c:pt>
                      <c:pt idx="470">
                        <c:v>45575</c:v>
                      </c:pt>
                      <c:pt idx="471">
                        <c:v>45576</c:v>
                      </c:pt>
                      <c:pt idx="472">
                        <c:v>45579</c:v>
                      </c:pt>
                      <c:pt idx="473">
                        <c:v>45580</c:v>
                      </c:pt>
                      <c:pt idx="474">
                        <c:v>45581</c:v>
                      </c:pt>
                      <c:pt idx="475">
                        <c:v>45582</c:v>
                      </c:pt>
                      <c:pt idx="476">
                        <c:v>45583</c:v>
                      </c:pt>
                      <c:pt idx="477">
                        <c:v>45586</c:v>
                      </c:pt>
                      <c:pt idx="478">
                        <c:v>45587</c:v>
                      </c:pt>
                      <c:pt idx="479">
                        <c:v>45588</c:v>
                      </c:pt>
                      <c:pt idx="480">
                        <c:v>45589</c:v>
                      </c:pt>
                      <c:pt idx="481">
                        <c:v>45590</c:v>
                      </c:pt>
                      <c:pt idx="482">
                        <c:v>45593</c:v>
                      </c:pt>
                      <c:pt idx="483">
                        <c:v>45594</c:v>
                      </c:pt>
                      <c:pt idx="484">
                        <c:v>45595</c:v>
                      </c:pt>
                      <c:pt idx="485">
                        <c:v>45596</c:v>
                      </c:pt>
                      <c:pt idx="486">
                        <c:v>45597</c:v>
                      </c:pt>
                      <c:pt idx="487">
                        <c:v>45600</c:v>
                      </c:pt>
                      <c:pt idx="488">
                        <c:v>45601</c:v>
                      </c:pt>
                      <c:pt idx="489">
                        <c:v>45602</c:v>
                      </c:pt>
                      <c:pt idx="490">
                        <c:v>45603</c:v>
                      </c:pt>
                      <c:pt idx="491">
                        <c:v>45604</c:v>
                      </c:pt>
                      <c:pt idx="492">
                        <c:v>45608</c:v>
                      </c:pt>
                      <c:pt idx="493">
                        <c:v>45609</c:v>
                      </c:pt>
                      <c:pt idx="494">
                        <c:v>45610</c:v>
                      </c:pt>
                      <c:pt idx="495">
                        <c:v>45611</c:v>
                      </c:pt>
                      <c:pt idx="496">
                        <c:v>45614</c:v>
                      </c:pt>
                      <c:pt idx="497">
                        <c:v>45615</c:v>
                      </c:pt>
                      <c:pt idx="498">
                        <c:v>45616</c:v>
                      </c:pt>
                      <c:pt idx="499">
                        <c:v>45617</c:v>
                      </c:pt>
                      <c:pt idx="500">
                        <c:v>45618</c:v>
                      </c:pt>
                      <c:pt idx="501">
                        <c:v>45621</c:v>
                      </c:pt>
                      <c:pt idx="502">
                        <c:v>45622</c:v>
                      </c:pt>
                      <c:pt idx="503">
                        <c:v>45623</c:v>
                      </c:pt>
                      <c:pt idx="504">
                        <c:v>45624</c:v>
                      </c:pt>
                      <c:pt idx="505">
                        <c:v>45625</c:v>
                      </c:pt>
                      <c:pt idx="506">
                        <c:v>45628</c:v>
                      </c:pt>
                      <c:pt idx="507">
                        <c:v>45629</c:v>
                      </c:pt>
                      <c:pt idx="508">
                        <c:v>45630</c:v>
                      </c:pt>
                      <c:pt idx="509">
                        <c:v>45631</c:v>
                      </c:pt>
                      <c:pt idx="510">
                        <c:v>45632</c:v>
                      </c:pt>
                      <c:pt idx="511">
                        <c:v>45635</c:v>
                      </c:pt>
                      <c:pt idx="512">
                        <c:v>45636</c:v>
                      </c:pt>
                      <c:pt idx="513">
                        <c:v>45637</c:v>
                      </c:pt>
                      <c:pt idx="514">
                        <c:v>45638</c:v>
                      </c:pt>
                      <c:pt idx="515">
                        <c:v>45639</c:v>
                      </c:pt>
                      <c:pt idx="516">
                        <c:v>45642</c:v>
                      </c:pt>
                      <c:pt idx="517">
                        <c:v>45643</c:v>
                      </c:pt>
                      <c:pt idx="518">
                        <c:v>45644</c:v>
                      </c:pt>
                      <c:pt idx="519">
                        <c:v>45645</c:v>
                      </c:pt>
                      <c:pt idx="520">
                        <c:v>45646</c:v>
                      </c:pt>
                      <c:pt idx="521">
                        <c:v>45649</c:v>
                      </c:pt>
                      <c:pt idx="522">
                        <c:v>45650</c:v>
                      </c:pt>
                      <c:pt idx="523">
                        <c:v>45653</c:v>
                      </c:pt>
                      <c:pt idx="524">
                        <c:v>45656</c:v>
                      </c:pt>
                      <c:pt idx="525">
                        <c:v>45657</c:v>
                      </c:pt>
                      <c:pt idx="526">
                        <c:v>45659</c:v>
                      </c:pt>
                      <c:pt idx="527">
                        <c:v>45660</c:v>
                      </c:pt>
                      <c:pt idx="528">
                        <c:v>45663</c:v>
                      </c:pt>
                      <c:pt idx="529">
                        <c:v>45664</c:v>
                      </c:pt>
                      <c:pt idx="530">
                        <c:v>45665</c:v>
                      </c:pt>
                      <c:pt idx="531">
                        <c:v>45666</c:v>
                      </c:pt>
                      <c:pt idx="532">
                        <c:v>45667</c:v>
                      </c:pt>
                      <c:pt idx="533">
                        <c:v>45670</c:v>
                      </c:pt>
                      <c:pt idx="534">
                        <c:v>45671</c:v>
                      </c:pt>
                      <c:pt idx="535">
                        <c:v>45672</c:v>
                      </c:pt>
                      <c:pt idx="536">
                        <c:v>45673</c:v>
                      </c:pt>
                      <c:pt idx="537">
                        <c:v>45674</c:v>
                      </c:pt>
                      <c:pt idx="538">
                        <c:v>45677</c:v>
                      </c:pt>
                      <c:pt idx="539">
                        <c:v>45678</c:v>
                      </c:pt>
                      <c:pt idx="540">
                        <c:v>45679</c:v>
                      </c:pt>
                      <c:pt idx="541">
                        <c:v>45680</c:v>
                      </c:pt>
                      <c:pt idx="542">
                        <c:v>45681</c:v>
                      </c:pt>
                      <c:pt idx="543">
                        <c:v>45684</c:v>
                      </c:pt>
                      <c:pt idx="544">
                        <c:v>45685</c:v>
                      </c:pt>
                      <c:pt idx="545">
                        <c:v>45686</c:v>
                      </c:pt>
                      <c:pt idx="546">
                        <c:v>45687</c:v>
                      </c:pt>
                      <c:pt idx="547">
                        <c:v>45688</c:v>
                      </c:pt>
                      <c:pt idx="548">
                        <c:v>45691</c:v>
                      </c:pt>
                      <c:pt idx="549">
                        <c:v>45692</c:v>
                      </c:pt>
                      <c:pt idx="550">
                        <c:v>45693</c:v>
                      </c:pt>
                      <c:pt idx="551">
                        <c:v>45694</c:v>
                      </c:pt>
                      <c:pt idx="552">
                        <c:v>45695</c:v>
                      </c:pt>
                      <c:pt idx="553">
                        <c:v>45698</c:v>
                      </c:pt>
                      <c:pt idx="554">
                        <c:v>45699</c:v>
                      </c:pt>
                      <c:pt idx="555">
                        <c:v>45700</c:v>
                      </c:pt>
                      <c:pt idx="556">
                        <c:v>45701</c:v>
                      </c:pt>
                      <c:pt idx="557">
                        <c:v>45702</c:v>
                      </c:pt>
                      <c:pt idx="558">
                        <c:v>45705</c:v>
                      </c:pt>
                      <c:pt idx="559">
                        <c:v>45706</c:v>
                      </c:pt>
                      <c:pt idx="560">
                        <c:v>45707</c:v>
                      </c:pt>
                      <c:pt idx="561">
                        <c:v>45708</c:v>
                      </c:pt>
                      <c:pt idx="562">
                        <c:v>45709</c:v>
                      </c:pt>
                      <c:pt idx="563">
                        <c:v>45712</c:v>
                      </c:pt>
                      <c:pt idx="564">
                        <c:v>45713</c:v>
                      </c:pt>
                      <c:pt idx="565">
                        <c:v>45714</c:v>
                      </c:pt>
                      <c:pt idx="566">
                        <c:v>45715</c:v>
                      </c:pt>
                      <c:pt idx="567">
                        <c:v>45716</c:v>
                      </c:pt>
                      <c:pt idx="568">
                        <c:v>45719</c:v>
                      </c:pt>
                      <c:pt idx="569">
                        <c:v>45720</c:v>
                      </c:pt>
                      <c:pt idx="570">
                        <c:v>45721</c:v>
                      </c:pt>
                      <c:pt idx="571">
                        <c:v>45722</c:v>
                      </c:pt>
                      <c:pt idx="572">
                        <c:v>45723</c:v>
                      </c:pt>
                      <c:pt idx="573">
                        <c:v>45726</c:v>
                      </c:pt>
                      <c:pt idx="574">
                        <c:v>45727</c:v>
                      </c:pt>
                      <c:pt idx="575">
                        <c:v>45728</c:v>
                      </c:pt>
                      <c:pt idx="576">
                        <c:v>45729</c:v>
                      </c:pt>
                      <c:pt idx="577">
                        <c:v>45730</c:v>
                      </c:pt>
                      <c:pt idx="578">
                        <c:v>45733</c:v>
                      </c:pt>
                      <c:pt idx="579">
                        <c:v>45734</c:v>
                      </c:pt>
                      <c:pt idx="580">
                        <c:v>45735</c:v>
                      </c:pt>
                      <c:pt idx="581">
                        <c:v>45736</c:v>
                      </c:pt>
                      <c:pt idx="582">
                        <c:v>45737</c:v>
                      </c:pt>
                      <c:pt idx="583">
                        <c:v>45740</c:v>
                      </c:pt>
                      <c:pt idx="584">
                        <c:v>45741</c:v>
                      </c:pt>
                      <c:pt idx="585">
                        <c:v>45742</c:v>
                      </c:pt>
                      <c:pt idx="586">
                        <c:v>45743</c:v>
                      </c:pt>
                      <c:pt idx="587">
                        <c:v>45744</c:v>
                      </c:pt>
                      <c:pt idx="588">
                        <c:v>45747</c:v>
                      </c:pt>
                      <c:pt idx="589">
                        <c:v>45748</c:v>
                      </c:pt>
                      <c:pt idx="590">
                        <c:v>45749</c:v>
                      </c:pt>
                      <c:pt idx="591">
                        <c:v>45750</c:v>
                      </c:pt>
                      <c:pt idx="592">
                        <c:v>45751</c:v>
                      </c:pt>
                      <c:pt idx="593">
                        <c:v>45754</c:v>
                      </c:pt>
                      <c:pt idx="594">
                        <c:v>45755</c:v>
                      </c:pt>
                      <c:pt idx="595">
                        <c:v>45756</c:v>
                      </c:pt>
                      <c:pt idx="596">
                        <c:v>45757</c:v>
                      </c:pt>
                      <c:pt idx="597">
                        <c:v>45761</c:v>
                      </c:pt>
                      <c:pt idx="598">
                        <c:v>45762</c:v>
                      </c:pt>
                      <c:pt idx="599">
                        <c:v>45763</c:v>
                      </c:pt>
                      <c:pt idx="600">
                        <c:v>45764</c:v>
                      </c:pt>
                      <c:pt idx="601">
                        <c:v>45768</c:v>
                      </c:pt>
                      <c:pt idx="602">
                        <c:v>45771</c:v>
                      </c:pt>
                      <c:pt idx="603">
                        <c:v>45772</c:v>
                      </c:pt>
                      <c:pt idx="604">
                        <c:v>45775</c:v>
                      </c:pt>
                      <c:pt idx="605">
                        <c:v>45776</c:v>
                      </c:pt>
                      <c:pt idx="606">
                        <c:v>45784</c:v>
                      </c:pt>
                      <c:pt idx="607">
                        <c:v>45785</c:v>
                      </c:pt>
                      <c:pt idx="608">
                        <c:v>45789</c:v>
                      </c:pt>
                      <c:pt idx="609">
                        <c:v>45790</c:v>
                      </c:pt>
                      <c:pt idx="610">
                        <c:v>45796</c:v>
                      </c:pt>
                      <c:pt idx="611">
                        <c:v>45797</c:v>
                      </c:pt>
                      <c:pt idx="612">
                        <c:v>45798</c:v>
                      </c:pt>
                      <c:pt idx="613">
                        <c:v>45799</c:v>
                      </c:pt>
                      <c:pt idx="614">
                        <c:v>45800</c:v>
                      </c:pt>
                      <c:pt idx="615">
                        <c:v>45804</c:v>
                      </c:pt>
                      <c:pt idx="616">
                        <c:v>45805</c:v>
                      </c:pt>
                      <c:pt idx="617">
                        <c:v>45806</c:v>
                      </c:pt>
                      <c:pt idx="618">
                        <c:v>45807</c:v>
                      </c:pt>
                      <c:pt idx="619">
                        <c:v>45810</c:v>
                      </c:pt>
                      <c:pt idx="620">
                        <c:v>45811</c:v>
                      </c:pt>
                      <c:pt idx="621">
                        <c:v>45812</c:v>
                      </c:pt>
                      <c:pt idx="622">
                        <c:v>45813</c:v>
                      </c:pt>
                      <c:pt idx="623">
                        <c:v>45814</c:v>
                      </c:pt>
                      <c:pt idx="624">
                        <c:v>45817</c:v>
                      </c:pt>
                      <c:pt idx="625">
                        <c:v>45818</c:v>
                      </c:pt>
                      <c:pt idx="626">
                        <c:v>45819</c:v>
                      </c:pt>
                      <c:pt idx="627">
                        <c:v>45821</c:v>
                      </c:pt>
                      <c:pt idx="628">
                        <c:v>45824</c:v>
                      </c:pt>
                      <c:pt idx="629">
                        <c:v>45825</c:v>
                      </c:pt>
                      <c:pt idx="630">
                        <c:v>45826</c:v>
                      </c:pt>
                      <c:pt idx="631">
                        <c:v>45828</c:v>
                      </c:pt>
                      <c:pt idx="632">
                        <c:v>45831</c:v>
                      </c:pt>
                      <c:pt idx="633">
                        <c:v>45832</c:v>
                      </c:pt>
                      <c:pt idx="634">
                        <c:v>45833</c:v>
                      </c:pt>
                      <c:pt idx="635">
                        <c:v>45835</c:v>
                      </c:pt>
                      <c:pt idx="636">
                        <c:v>45838</c:v>
                      </c:pt>
                      <c:pt idx="637">
                        <c:v>45839</c:v>
                      </c:pt>
                      <c:pt idx="638">
                        <c:v>45840</c:v>
                      </c:pt>
                      <c:pt idx="639">
                        <c:v>45841</c:v>
                      </c:pt>
                      <c:pt idx="640">
                        <c:v>45845</c:v>
                      </c:pt>
                      <c:pt idx="641">
                        <c:v>45846</c:v>
                      </c:pt>
                      <c:pt idx="642">
                        <c:v>45847</c:v>
                      </c:pt>
                      <c:pt idx="643">
                        <c:v>45848</c:v>
                      </c:pt>
                      <c:pt idx="644">
                        <c:v>45849</c:v>
                      </c:pt>
                      <c:pt idx="645">
                        <c:v>45852</c:v>
                      </c:pt>
                      <c:pt idx="646">
                        <c:v>45853</c:v>
                      </c:pt>
                      <c:pt idx="647">
                        <c:v>45854</c:v>
                      </c:pt>
                      <c:pt idx="648">
                        <c:v>45855</c:v>
                      </c:pt>
                      <c:pt idx="649">
                        <c:v>45856</c:v>
                      </c:pt>
                      <c:pt idx="650">
                        <c:v>45859</c:v>
                      </c:pt>
                      <c:pt idx="651">
                        <c:v>45860</c:v>
                      </c:pt>
                      <c:pt idx="652">
                        <c:v>45861</c:v>
                      </c:pt>
                      <c:pt idx="653">
                        <c:v>45862</c:v>
                      </c:pt>
                      <c:pt idx="654">
                        <c:v>45863</c:v>
                      </c:pt>
                      <c:pt idx="655">
                        <c:v>45866</c:v>
                      </c:pt>
                      <c:pt idx="656">
                        <c:v>45867</c:v>
                      </c:pt>
                      <c:pt idx="657">
                        <c:v>45868</c:v>
                      </c:pt>
                      <c:pt idx="658">
                        <c:v>45869</c:v>
                      </c:pt>
                      <c:pt idx="659">
                        <c:v>45870</c:v>
                      </c:pt>
                      <c:pt idx="660">
                        <c:v>45873</c:v>
                      </c:pt>
                      <c:pt idx="661">
                        <c:v>45874</c:v>
                      </c:pt>
                      <c:pt idx="662">
                        <c:v>45875</c:v>
                      </c:pt>
                      <c:pt idx="663">
                        <c:v>45876</c:v>
                      </c:pt>
                      <c:pt idx="664">
                        <c:v>45877</c:v>
                      </c:pt>
                      <c:pt idx="665">
                        <c:v>45880</c:v>
                      </c:pt>
                      <c:pt idx="666">
                        <c:v>45881</c:v>
                      </c:pt>
                      <c:pt idx="667">
                        <c:v>45882</c:v>
                      </c:pt>
                      <c:pt idx="668">
                        <c:v>45883</c:v>
                      </c:pt>
                      <c:pt idx="669">
                        <c:v>45884</c:v>
                      </c:pt>
                      <c:pt idx="670">
                        <c:v>45887</c:v>
                      </c:pt>
                      <c:pt idx="671">
                        <c:v>45888</c:v>
                      </c:pt>
                      <c:pt idx="672">
                        <c:v>45889</c:v>
                      </c:pt>
                      <c:pt idx="673">
                        <c:v>45890</c:v>
                      </c:pt>
                      <c:pt idx="674">
                        <c:v>45891</c:v>
                      </c:pt>
                      <c:pt idx="675">
                        <c:v>45894</c:v>
                      </c:pt>
                      <c:pt idx="676">
                        <c:v>45895</c:v>
                      </c:pt>
                      <c:pt idx="677">
                        <c:v>45896</c:v>
                      </c:pt>
                      <c:pt idx="678">
                        <c:v>45897</c:v>
                      </c:pt>
                      <c:pt idx="679">
                        <c:v>45898</c:v>
                      </c:pt>
                      <c:pt idx="680">
                        <c:v>45901</c:v>
                      </c:pt>
                      <c:pt idx="681">
                        <c:v>45902</c:v>
                      </c:pt>
                      <c:pt idx="682">
                        <c:v>45903</c:v>
                      </c:pt>
                      <c:pt idx="683">
                        <c:v>45904</c:v>
                      </c:pt>
                      <c:pt idx="684">
                        <c:v>45905</c:v>
                      </c:pt>
                      <c:pt idx="685">
                        <c:v>45908</c:v>
                      </c:pt>
                      <c:pt idx="686">
                        <c:v>45909</c:v>
                      </c:pt>
                      <c:pt idx="687">
                        <c:v>45910</c:v>
                      </c:pt>
                      <c:pt idx="688">
                        <c:v>45911</c:v>
                      </c:pt>
                      <c:pt idx="689">
                        <c:v>45912</c:v>
                      </c:pt>
                      <c:pt idx="690">
                        <c:v>45915</c:v>
                      </c:pt>
                      <c:pt idx="691">
                        <c:v>45916</c:v>
                      </c:pt>
                      <c:pt idx="692">
                        <c:v>45917</c:v>
                      </c:pt>
                      <c:pt idx="693">
                        <c:v>45918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Info!$G$24:$G$38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6.0702839999999991</c:v>
                      </c:pt>
                      <c:pt idx="1">
                        <c:v>5.9603497777777772</c:v>
                      </c:pt>
                      <c:pt idx="2">
                        <c:v>5.2110080972222219</c:v>
                      </c:pt>
                      <c:pt idx="3">
                        <c:v>4.9596259166666661</c:v>
                      </c:pt>
                      <c:pt idx="4">
                        <c:v>4.8043123333333329</c:v>
                      </c:pt>
                      <c:pt idx="5">
                        <c:v>4.5882955555555549</c:v>
                      </c:pt>
                      <c:pt idx="6">
                        <c:v>4.3557689999999996</c:v>
                      </c:pt>
                      <c:pt idx="7">
                        <c:v>3.4779983333333324</c:v>
                      </c:pt>
                      <c:pt idx="8">
                        <c:v>3.2857268888888886</c:v>
                      </c:pt>
                      <c:pt idx="9">
                        <c:v>3.2785231111111108</c:v>
                      </c:pt>
                      <c:pt idx="10">
                        <c:v>3.032696333333333</c:v>
                      </c:pt>
                      <c:pt idx="11">
                        <c:v>2.7926946666666663</c:v>
                      </c:pt>
                      <c:pt idx="12">
                        <c:v>2.125464</c:v>
                      </c:pt>
                      <c:pt idx="13">
                        <c:v>1.8832782222222222</c:v>
                      </c:pt>
                      <c:pt idx="14">
                        <c:v>1.652112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05D-40F4-A5DD-E9C4939E8428}"/>
                  </c:ext>
                </c:extLst>
              </c15:ser>
            </c15:filteredLineSeries>
          </c:ext>
        </c:extLst>
      </c:lineChart>
      <c:dateAx>
        <c:axId val="2798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46256"/>
        <c:crosses val="autoZero"/>
        <c:auto val="0"/>
        <c:lblOffset val="100"/>
        <c:baseTimeUnit val="days"/>
        <c:majorUnit val="1"/>
        <c:majorTimeUnit val="months"/>
        <c:minorUnit val="5"/>
      </c:dateAx>
      <c:valAx>
        <c:axId val="279846256"/>
        <c:scaling>
          <c:orientation val="minMax"/>
          <c:max val="50"/>
          <c:min val="-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/>
                  <a:t>EFP Premium/ DIscount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5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9014053394087772E-2"/>
          <c:y val="0.39478646955940366"/>
          <c:w val="0.32562763764582497"/>
          <c:h val="0.16134712415480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6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XAG - EFP Disc/Prem to Implied Swap EFP - as of 07.08.25</a:t>
            </a:r>
          </a:p>
        </c:rich>
      </c:tx>
      <c:layout>
        <c:manualLayout>
          <c:xMode val="edge"/>
          <c:yMode val="edge"/>
          <c:x val="0.30103969610958781"/>
          <c:y val="1.1878247032620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31064772380079E-2"/>
          <c:y val="8.9713467161358834E-2"/>
          <c:w val="0.88505335745698688"/>
          <c:h val="0.85343172136646261"/>
        </c:manualLayout>
      </c:layout>
      <c:lineChart>
        <c:grouping val="standard"/>
        <c:varyColors val="0"/>
        <c:ser>
          <c:idx val="2"/>
          <c:order val="1"/>
          <c:tx>
            <c:strRef>
              <c:f>Info!$V$1</c:f>
              <c:strCache>
                <c:ptCount val="1"/>
                <c:pt idx="0">
                  <c:v>Nearby Contract/Premium EFP over Swaps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Info!$A$24:$A$667</c:f>
              <c:numCache>
                <c:formatCode>m/d/yy</c:formatCode>
                <c:ptCount val="644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44977</c:v>
                </c:pt>
                <c:pt idx="34">
                  <c:v>44978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45009</c:v>
                </c:pt>
                <c:pt idx="58">
                  <c:v>45012</c:v>
                </c:pt>
                <c:pt idx="59">
                  <c:v>45013</c:v>
                </c:pt>
                <c:pt idx="60">
                  <c:v>45014</c:v>
                </c:pt>
                <c:pt idx="61">
                  <c:v>45015</c:v>
                </c:pt>
                <c:pt idx="62">
                  <c:v>45016</c:v>
                </c:pt>
                <c:pt idx="63">
                  <c:v>45019</c:v>
                </c:pt>
                <c:pt idx="64">
                  <c:v>45020</c:v>
                </c:pt>
                <c:pt idx="65">
                  <c:v>45021</c:v>
                </c:pt>
                <c:pt idx="66">
                  <c:v>45022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45048</c:v>
                </c:pt>
                <c:pt idx="82">
                  <c:v>45049</c:v>
                </c:pt>
                <c:pt idx="83">
                  <c:v>45050</c:v>
                </c:pt>
                <c:pt idx="84">
                  <c:v>45051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45071</c:v>
                </c:pt>
                <c:pt idx="98">
                  <c:v>45072</c:v>
                </c:pt>
                <c:pt idx="99">
                  <c:v>45076</c:v>
                </c:pt>
                <c:pt idx="100">
                  <c:v>45077</c:v>
                </c:pt>
                <c:pt idx="101">
                  <c:v>45078</c:v>
                </c:pt>
                <c:pt idx="102">
                  <c:v>45079</c:v>
                </c:pt>
                <c:pt idx="103">
                  <c:v>45082</c:v>
                </c:pt>
                <c:pt idx="104">
                  <c:v>45083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45096</c:v>
                </c:pt>
                <c:pt idx="114">
                  <c:v>45097</c:v>
                </c:pt>
                <c:pt idx="115">
                  <c:v>45098</c:v>
                </c:pt>
                <c:pt idx="116">
                  <c:v>45099</c:v>
                </c:pt>
                <c:pt idx="117">
                  <c:v>45100</c:v>
                </c:pt>
                <c:pt idx="118">
                  <c:v>45103</c:v>
                </c:pt>
                <c:pt idx="119">
                  <c:v>45104</c:v>
                </c:pt>
                <c:pt idx="120">
                  <c:v>45105</c:v>
                </c:pt>
                <c:pt idx="121">
                  <c:v>45106</c:v>
                </c:pt>
                <c:pt idx="122">
                  <c:v>45107</c:v>
                </c:pt>
                <c:pt idx="123">
                  <c:v>45110</c:v>
                </c:pt>
                <c:pt idx="124">
                  <c:v>45111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45167</c:v>
                </c:pt>
                <c:pt idx="164">
                  <c:v>45168</c:v>
                </c:pt>
                <c:pt idx="165">
                  <c:v>45169</c:v>
                </c:pt>
                <c:pt idx="166">
                  <c:v>45170</c:v>
                </c:pt>
                <c:pt idx="167">
                  <c:v>45173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45253</c:v>
                </c:pt>
                <c:pt idx="226">
                  <c:v>45254</c:v>
                </c:pt>
                <c:pt idx="227">
                  <c:v>45257</c:v>
                </c:pt>
                <c:pt idx="228">
                  <c:v>45258</c:v>
                </c:pt>
                <c:pt idx="229">
                  <c:v>45259</c:v>
                </c:pt>
                <c:pt idx="230">
                  <c:v>45260</c:v>
                </c:pt>
                <c:pt idx="231">
                  <c:v>45261</c:v>
                </c:pt>
                <c:pt idx="232">
                  <c:v>45264</c:v>
                </c:pt>
                <c:pt idx="233">
                  <c:v>45265</c:v>
                </c:pt>
                <c:pt idx="234">
                  <c:v>45266</c:v>
                </c:pt>
                <c:pt idx="235">
                  <c:v>45267</c:v>
                </c:pt>
                <c:pt idx="236">
                  <c:v>45268</c:v>
                </c:pt>
                <c:pt idx="237">
                  <c:v>45271</c:v>
                </c:pt>
                <c:pt idx="238">
                  <c:v>45272</c:v>
                </c:pt>
                <c:pt idx="239">
                  <c:v>45273</c:v>
                </c:pt>
                <c:pt idx="240">
                  <c:v>45274</c:v>
                </c:pt>
                <c:pt idx="241">
                  <c:v>45275</c:v>
                </c:pt>
                <c:pt idx="242">
                  <c:v>45278</c:v>
                </c:pt>
                <c:pt idx="243">
                  <c:v>45279</c:v>
                </c:pt>
                <c:pt idx="244">
                  <c:v>45280</c:v>
                </c:pt>
                <c:pt idx="245">
                  <c:v>45281</c:v>
                </c:pt>
                <c:pt idx="246">
                  <c:v>45282</c:v>
                </c:pt>
                <c:pt idx="247">
                  <c:v>45286</c:v>
                </c:pt>
                <c:pt idx="248">
                  <c:v>45287</c:v>
                </c:pt>
                <c:pt idx="249">
                  <c:v>45288</c:v>
                </c:pt>
                <c:pt idx="250">
                  <c:v>45289</c:v>
                </c:pt>
                <c:pt idx="251">
                  <c:v>45293</c:v>
                </c:pt>
                <c:pt idx="252">
                  <c:v>45294</c:v>
                </c:pt>
                <c:pt idx="253">
                  <c:v>45295</c:v>
                </c:pt>
                <c:pt idx="254">
                  <c:v>45296</c:v>
                </c:pt>
                <c:pt idx="255">
                  <c:v>45299</c:v>
                </c:pt>
                <c:pt idx="256">
                  <c:v>45300</c:v>
                </c:pt>
                <c:pt idx="257">
                  <c:v>45301</c:v>
                </c:pt>
                <c:pt idx="258">
                  <c:v>45302</c:v>
                </c:pt>
                <c:pt idx="259">
                  <c:v>45303</c:v>
                </c:pt>
                <c:pt idx="260">
                  <c:v>45306</c:v>
                </c:pt>
                <c:pt idx="261">
                  <c:v>45307</c:v>
                </c:pt>
                <c:pt idx="262">
                  <c:v>45308</c:v>
                </c:pt>
                <c:pt idx="263">
                  <c:v>45309</c:v>
                </c:pt>
                <c:pt idx="264">
                  <c:v>45310</c:v>
                </c:pt>
                <c:pt idx="265">
                  <c:v>45313</c:v>
                </c:pt>
                <c:pt idx="266">
                  <c:v>45314</c:v>
                </c:pt>
                <c:pt idx="267">
                  <c:v>45315</c:v>
                </c:pt>
                <c:pt idx="268">
                  <c:v>45316</c:v>
                </c:pt>
                <c:pt idx="269">
                  <c:v>45317</c:v>
                </c:pt>
                <c:pt idx="270">
                  <c:v>45320</c:v>
                </c:pt>
                <c:pt idx="271">
                  <c:v>45321</c:v>
                </c:pt>
                <c:pt idx="272">
                  <c:v>45322</c:v>
                </c:pt>
                <c:pt idx="273">
                  <c:v>45323</c:v>
                </c:pt>
                <c:pt idx="274">
                  <c:v>45324</c:v>
                </c:pt>
                <c:pt idx="275">
                  <c:v>45327</c:v>
                </c:pt>
                <c:pt idx="276">
                  <c:v>45328</c:v>
                </c:pt>
                <c:pt idx="277">
                  <c:v>45329</c:v>
                </c:pt>
                <c:pt idx="278">
                  <c:v>45330</c:v>
                </c:pt>
                <c:pt idx="279">
                  <c:v>45331</c:v>
                </c:pt>
                <c:pt idx="280">
                  <c:v>45334</c:v>
                </c:pt>
                <c:pt idx="281">
                  <c:v>45335</c:v>
                </c:pt>
                <c:pt idx="282">
                  <c:v>45336</c:v>
                </c:pt>
                <c:pt idx="283">
                  <c:v>45337</c:v>
                </c:pt>
                <c:pt idx="284">
                  <c:v>45338</c:v>
                </c:pt>
                <c:pt idx="285">
                  <c:v>45341</c:v>
                </c:pt>
                <c:pt idx="286">
                  <c:v>45342</c:v>
                </c:pt>
                <c:pt idx="287">
                  <c:v>45343</c:v>
                </c:pt>
                <c:pt idx="288">
                  <c:v>45344</c:v>
                </c:pt>
                <c:pt idx="289">
                  <c:v>45345</c:v>
                </c:pt>
                <c:pt idx="290">
                  <c:v>45348</c:v>
                </c:pt>
                <c:pt idx="291">
                  <c:v>45349</c:v>
                </c:pt>
                <c:pt idx="292">
                  <c:v>45350</c:v>
                </c:pt>
                <c:pt idx="293">
                  <c:v>45351</c:v>
                </c:pt>
                <c:pt idx="294">
                  <c:v>45352</c:v>
                </c:pt>
                <c:pt idx="295">
                  <c:v>45355</c:v>
                </c:pt>
                <c:pt idx="296">
                  <c:v>45356</c:v>
                </c:pt>
                <c:pt idx="297">
                  <c:v>45357</c:v>
                </c:pt>
                <c:pt idx="298">
                  <c:v>45358</c:v>
                </c:pt>
                <c:pt idx="299">
                  <c:v>45359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45384</c:v>
                </c:pt>
                <c:pt idx="315">
                  <c:v>45385</c:v>
                </c:pt>
                <c:pt idx="316">
                  <c:v>45386</c:v>
                </c:pt>
                <c:pt idx="317">
                  <c:v>45387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45397</c:v>
                </c:pt>
                <c:pt idx="324">
                  <c:v>45398</c:v>
                </c:pt>
                <c:pt idx="325">
                  <c:v>45399</c:v>
                </c:pt>
                <c:pt idx="326">
                  <c:v>45400</c:v>
                </c:pt>
                <c:pt idx="327">
                  <c:v>45404</c:v>
                </c:pt>
                <c:pt idx="328">
                  <c:v>45405</c:v>
                </c:pt>
                <c:pt idx="329">
                  <c:v>45406</c:v>
                </c:pt>
                <c:pt idx="330">
                  <c:v>45407</c:v>
                </c:pt>
                <c:pt idx="331">
                  <c:v>45408</c:v>
                </c:pt>
                <c:pt idx="332">
                  <c:v>45411</c:v>
                </c:pt>
                <c:pt idx="333">
                  <c:v>45412</c:v>
                </c:pt>
                <c:pt idx="334">
                  <c:v>45413</c:v>
                </c:pt>
                <c:pt idx="335">
                  <c:v>45414</c:v>
                </c:pt>
                <c:pt idx="336">
                  <c:v>45415</c:v>
                </c:pt>
                <c:pt idx="337">
                  <c:v>45418</c:v>
                </c:pt>
                <c:pt idx="338">
                  <c:v>45419</c:v>
                </c:pt>
                <c:pt idx="339">
                  <c:v>45420</c:v>
                </c:pt>
                <c:pt idx="340">
                  <c:v>45421</c:v>
                </c:pt>
                <c:pt idx="341">
                  <c:v>45422</c:v>
                </c:pt>
                <c:pt idx="342">
                  <c:v>45425</c:v>
                </c:pt>
                <c:pt idx="343">
                  <c:v>45426</c:v>
                </c:pt>
                <c:pt idx="344">
                  <c:v>45427</c:v>
                </c:pt>
                <c:pt idx="345">
                  <c:v>45428</c:v>
                </c:pt>
                <c:pt idx="346">
                  <c:v>45429</c:v>
                </c:pt>
                <c:pt idx="347">
                  <c:v>45432</c:v>
                </c:pt>
                <c:pt idx="348">
                  <c:v>45433</c:v>
                </c:pt>
                <c:pt idx="349">
                  <c:v>45434</c:v>
                </c:pt>
                <c:pt idx="350">
                  <c:v>45435</c:v>
                </c:pt>
                <c:pt idx="351">
                  <c:v>45436</c:v>
                </c:pt>
                <c:pt idx="352">
                  <c:v>45439</c:v>
                </c:pt>
                <c:pt idx="353">
                  <c:v>45440</c:v>
                </c:pt>
                <c:pt idx="354">
                  <c:v>45441</c:v>
                </c:pt>
                <c:pt idx="355">
                  <c:v>45442</c:v>
                </c:pt>
                <c:pt idx="356">
                  <c:v>45443</c:v>
                </c:pt>
                <c:pt idx="357">
                  <c:v>45446</c:v>
                </c:pt>
                <c:pt idx="358">
                  <c:v>45447</c:v>
                </c:pt>
                <c:pt idx="359">
                  <c:v>45448</c:v>
                </c:pt>
                <c:pt idx="360">
                  <c:v>45449</c:v>
                </c:pt>
                <c:pt idx="361">
                  <c:v>45450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45460</c:v>
                </c:pt>
                <c:pt idx="368">
                  <c:v>45461</c:v>
                </c:pt>
                <c:pt idx="369">
                  <c:v>45462</c:v>
                </c:pt>
                <c:pt idx="370">
                  <c:v>45463</c:v>
                </c:pt>
                <c:pt idx="371">
                  <c:v>45464</c:v>
                </c:pt>
                <c:pt idx="372">
                  <c:v>45467</c:v>
                </c:pt>
                <c:pt idx="373">
                  <c:v>45468</c:v>
                </c:pt>
                <c:pt idx="374">
                  <c:v>45469</c:v>
                </c:pt>
                <c:pt idx="375">
                  <c:v>45470</c:v>
                </c:pt>
                <c:pt idx="376">
                  <c:v>45471</c:v>
                </c:pt>
                <c:pt idx="377">
                  <c:v>45474</c:v>
                </c:pt>
                <c:pt idx="378">
                  <c:v>45475</c:v>
                </c:pt>
                <c:pt idx="379">
                  <c:v>45476</c:v>
                </c:pt>
                <c:pt idx="380">
                  <c:v>45477</c:v>
                </c:pt>
                <c:pt idx="381">
                  <c:v>45478</c:v>
                </c:pt>
                <c:pt idx="382">
                  <c:v>45481</c:v>
                </c:pt>
                <c:pt idx="383">
                  <c:v>45482</c:v>
                </c:pt>
                <c:pt idx="384">
                  <c:v>45483</c:v>
                </c:pt>
                <c:pt idx="385">
                  <c:v>45484</c:v>
                </c:pt>
                <c:pt idx="386">
                  <c:v>45485</c:v>
                </c:pt>
                <c:pt idx="387">
                  <c:v>45488</c:v>
                </c:pt>
                <c:pt idx="388">
                  <c:v>45489</c:v>
                </c:pt>
                <c:pt idx="389">
                  <c:v>45490</c:v>
                </c:pt>
                <c:pt idx="390">
                  <c:v>45491</c:v>
                </c:pt>
                <c:pt idx="391">
                  <c:v>45492</c:v>
                </c:pt>
                <c:pt idx="392">
                  <c:v>45495</c:v>
                </c:pt>
                <c:pt idx="393">
                  <c:v>45496</c:v>
                </c:pt>
                <c:pt idx="394">
                  <c:v>45497</c:v>
                </c:pt>
                <c:pt idx="395">
                  <c:v>45498</c:v>
                </c:pt>
                <c:pt idx="396">
                  <c:v>45499</c:v>
                </c:pt>
                <c:pt idx="397">
                  <c:v>45502</c:v>
                </c:pt>
                <c:pt idx="398">
                  <c:v>45503</c:v>
                </c:pt>
                <c:pt idx="399">
                  <c:v>45504</c:v>
                </c:pt>
                <c:pt idx="400">
                  <c:v>45505</c:v>
                </c:pt>
                <c:pt idx="401">
                  <c:v>45506</c:v>
                </c:pt>
                <c:pt idx="402">
                  <c:v>45509</c:v>
                </c:pt>
                <c:pt idx="403">
                  <c:v>45510</c:v>
                </c:pt>
                <c:pt idx="404">
                  <c:v>45511</c:v>
                </c:pt>
                <c:pt idx="405">
                  <c:v>45512</c:v>
                </c:pt>
                <c:pt idx="406">
                  <c:v>45513</c:v>
                </c:pt>
                <c:pt idx="407">
                  <c:v>45516</c:v>
                </c:pt>
                <c:pt idx="408">
                  <c:v>45517</c:v>
                </c:pt>
                <c:pt idx="409">
                  <c:v>45518</c:v>
                </c:pt>
                <c:pt idx="410">
                  <c:v>45519</c:v>
                </c:pt>
                <c:pt idx="411">
                  <c:v>45520</c:v>
                </c:pt>
                <c:pt idx="412">
                  <c:v>45523</c:v>
                </c:pt>
                <c:pt idx="413">
                  <c:v>45524</c:v>
                </c:pt>
                <c:pt idx="414">
                  <c:v>45525</c:v>
                </c:pt>
                <c:pt idx="415">
                  <c:v>45526</c:v>
                </c:pt>
                <c:pt idx="416">
                  <c:v>45527</c:v>
                </c:pt>
                <c:pt idx="417">
                  <c:v>45530</c:v>
                </c:pt>
                <c:pt idx="418">
                  <c:v>45531</c:v>
                </c:pt>
                <c:pt idx="419">
                  <c:v>45532</c:v>
                </c:pt>
                <c:pt idx="420">
                  <c:v>45533</c:v>
                </c:pt>
                <c:pt idx="421">
                  <c:v>45534</c:v>
                </c:pt>
                <c:pt idx="422">
                  <c:v>45537</c:v>
                </c:pt>
                <c:pt idx="423">
                  <c:v>45538</c:v>
                </c:pt>
                <c:pt idx="424">
                  <c:v>45539</c:v>
                </c:pt>
                <c:pt idx="425">
                  <c:v>45540</c:v>
                </c:pt>
                <c:pt idx="426">
                  <c:v>45541</c:v>
                </c:pt>
                <c:pt idx="427">
                  <c:v>45544</c:v>
                </c:pt>
                <c:pt idx="428">
                  <c:v>45545</c:v>
                </c:pt>
                <c:pt idx="429">
                  <c:v>45546</c:v>
                </c:pt>
                <c:pt idx="430">
                  <c:v>45547</c:v>
                </c:pt>
                <c:pt idx="431">
                  <c:v>45548</c:v>
                </c:pt>
                <c:pt idx="432">
                  <c:v>45551</c:v>
                </c:pt>
                <c:pt idx="433">
                  <c:v>45552</c:v>
                </c:pt>
                <c:pt idx="434">
                  <c:v>45553</c:v>
                </c:pt>
                <c:pt idx="435">
                  <c:v>45554</c:v>
                </c:pt>
                <c:pt idx="436">
                  <c:v>45555</c:v>
                </c:pt>
                <c:pt idx="437">
                  <c:v>45558</c:v>
                </c:pt>
                <c:pt idx="438">
                  <c:v>45559</c:v>
                </c:pt>
                <c:pt idx="439">
                  <c:v>45560</c:v>
                </c:pt>
                <c:pt idx="440">
                  <c:v>45561</c:v>
                </c:pt>
                <c:pt idx="441">
                  <c:v>45562</c:v>
                </c:pt>
                <c:pt idx="442">
                  <c:v>45565</c:v>
                </c:pt>
                <c:pt idx="443">
                  <c:v>45566</c:v>
                </c:pt>
                <c:pt idx="444">
                  <c:v>45567</c:v>
                </c:pt>
                <c:pt idx="445">
                  <c:v>45568</c:v>
                </c:pt>
                <c:pt idx="446">
                  <c:v>45569</c:v>
                </c:pt>
                <c:pt idx="447">
                  <c:v>45572</c:v>
                </c:pt>
                <c:pt idx="448">
                  <c:v>45573</c:v>
                </c:pt>
                <c:pt idx="449">
                  <c:v>45574</c:v>
                </c:pt>
                <c:pt idx="450">
                  <c:v>45575</c:v>
                </c:pt>
                <c:pt idx="451">
                  <c:v>45576</c:v>
                </c:pt>
                <c:pt idx="452">
                  <c:v>45579</c:v>
                </c:pt>
                <c:pt idx="453">
                  <c:v>45580</c:v>
                </c:pt>
                <c:pt idx="454">
                  <c:v>45581</c:v>
                </c:pt>
                <c:pt idx="455">
                  <c:v>45582</c:v>
                </c:pt>
                <c:pt idx="456">
                  <c:v>45583</c:v>
                </c:pt>
                <c:pt idx="457">
                  <c:v>45586</c:v>
                </c:pt>
                <c:pt idx="458">
                  <c:v>45587</c:v>
                </c:pt>
                <c:pt idx="459">
                  <c:v>45588</c:v>
                </c:pt>
                <c:pt idx="460">
                  <c:v>45589</c:v>
                </c:pt>
                <c:pt idx="461">
                  <c:v>45590</c:v>
                </c:pt>
                <c:pt idx="462">
                  <c:v>45593</c:v>
                </c:pt>
                <c:pt idx="463">
                  <c:v>45594</c:v>
                </c:pt>
                <c:pt idx="464">
                  <c:v>45595</c:v>
                </c:pt>
                <c:pt idx="465">
                  <c:v>45596</c:v>
                </c:pt>
                <c:pt idx="466">
                  <c:v>45597</c:v>
                </c:pt>
                <c:pt idx="467">
                  <c:v>45600</c:v>
                </c:pt>
                <c:pt idx="468">
                  <c:v>45601</c:v>
                </c:pt>
                <c:pt idx="469">
                  <c:v>45602</c:v>
                </c:pt>
                <c:pt idx="470">
                  <c:v>45603</c:v>
                </c:pt>
                <c:pt idx="471">
                  <c:v>45604</c:v>
                </c:pt>
                <c:pt idx="472">
                  <c:v>45608</c:v>
                </c:pt>
                <c:pt idx="473">
                  <c:v>45609</c:v>
                </c:pt>
                <c:pt idx="474">
                  <c:v>45610</c:v>
                </c:pt>
                <c:pt idx="475">
                  <c:v>45611</c:v>
                </c:pt>
                <c:pt idx="476">
                  <c:v>45614</c:v>
                </c:pt>
                <c:pt idx="477">
                  <c:v>45615</c:v>
                </c:pt>
                <c:pt idx="478">
                  <c:v>45616</c:v>
                </c:pt>
                <c:pt idx="479">
                  <c:v>45617</c:v>
                </c:pt>
                <c:pt idx="480">
                  <c:v>45618</c:v>
                </c:pt>
                <c:pt idx="481">
                  <c:v>45621</c:v>
                </c:pt>
                <c:pt idx="482">
                  <c:v>45622</c:v>
                </c:pt>
                <c:pt idx="483">
                  <c:v>45623</c:v>
                </c:pt>
                <c:pt idx="484">
                  <c:v>45624</c:v>
                </c:pt>
                <c:pt idx="485">
                  <c:v>45625</c:v>
                </c:pt>
                <c:pt idx="486">
                  <c:v>45628</c:v>
                </c:pt>
                <c:pt idx="487">
                  <c:v>45629</c:v>
                </c:pt>
                <c:pt idx="488">
                  <c:v>45630</c:v>
                </c:pt>
                <c:pt idx="489">
                  <c:v>45631</c:v>
                </c:pt>
                <c:pt idx="490">
                  <c:v>45632</c:v>
                </c:pt>
                <c:pt idx="491">
                  <c:v>45635</c:v>
                </c:pt>
                <c:pt idx="492">
                  <c:v>45636</c:v>
                </c:pt>
                <c:pt idx="493">
                  <c:v>45637</c:v>
                </c:pt>
                <c:pt idx="494">
                  <c:v>45638</c:v>
                </c:pt>
                <c:pt idx="495">
                  <c:v>45639</c:v>
                </c:pt>
                <c:pt idx="496">
                  <c:v>45642</c:v>
                </c:pt>
                <c:pt idx="497">
                  <c:v>45643</c:v>
                </c:pt>
                <c:pt idx="498">
                  <c:v>45644</c:v>
                </c:pt>
                <c:pt idx="499">
                  <c:v>45645</c:v>
                </c:pt>
                <c:pt idx="500">
                  <c:v>45646</c:v>
                </c:pt>
                <c:pt idx="501">
                  <c:v>45649</c:v>
                </c:pt>
                <c:pt idx="502">
                  <c:v>45650</c:v>
                </c:pt>
                <c:pt idx="503">
                  <c:v>45653</c:v>
                </c:pt>
                <c:pt idx="504">
                  <c:v>45656</c:v>
                </c:pt>
                <c:pt idx="505">
                  <c:v>45657</c:v>
                </c:pt>
                <c:pt idx="506">
                  <c:v>45659</c:v>
                </c:pt>
                <c:pt idx="507">
                  <c:v>45660</c:v>
                </c:pt>
                <c:pt idx="508">
                  <c:v>45663</c:v>
                </c:pt>
                <c:pt idx="509">
                  <c:v>45664</c:v>
                </c:pt>
                <c:pt idx="510">
                  <c:v>45665</c:v>
                </c:pt>
                <c:pt idx="511">
                  <c:v>45666</c:v>
                </c:pt>
                <c:pt idx="512">
                  <c:v>45667</c:v>
                </c:pt>
                <c:pt idx="513">
                  <c:v>45670</c:v>
                </c:pt>
                <c:pt idx="514">
                  <c:v>45671</c:v>
                </c:pt>
                <c:pt idx="515">
                  <c:v>45672</c:v>
                </c:pt>
                <c:pt idx="516">
                  <c:v>45673</c:v>
                </c:pt>
                <c:pt idx="517">
                  <c:v>45674</c:v>
                </c:pt>
                <c:pt idx="518">
                  <c:v>45677</c:v>
                </c:pt>
                <c:pt idx="519">
                  <c:v>45678</c:v>
                </c:pt>
                <c:pt idx="520">
                  <c:v>45679</c:v>
                </c:pt>
                <c:pt idx="521">
                  <c:v>45680</c:v>
                </c:pt>
                <c:pt idx="522">
                  <c:v>45681</c:v>
                </c:pt>
                <c:pt idx="523">
                  <c:v>45684</c:v>
                </c:pt>
                <c:pt idx="524">
                  <c:v>45685</c:v>
                </c:pt>
                <c:pt idx="525">
                  <c:v>45686</c:v>
                </c:pt>
                <c:pt idx="526">
                  <c:v>45687</c:v>
                </c:pt>
                <c:pt idx="527">
                  <c:v>45688</c:v>
                </c:pt>
                <c:pt idx="528">
                  <c:v>45691</c:v>
                </c:pt>
                <c:pt idx="529">
                  <c:v>45692</c:v>
                </c:pt>
                <c:pt idx="530">
                  <c:v>45693</c:v>
                </c:pt>
                <c:pt idx="531">
                  <c:v>45694</c:v>
                </c:pt>
                <c:pt idx="532">
                  <c:v>45695</c:v>
                </c:pt>
                <c:pt idx="533">
                  <c:v>45698</c:v>
                </c:pt>
                <c:pt idx="534">
                  <c:v>45699</c:v>
                </c:pt>
                <c:pt idx="535">
                  <c:v>45700</c:v>
                </c:pt>
                <c:pt idx="536">
                  <c:v>45701</c:v>
                </c:pt>
                <c:pt idx="537">
                  <c:v>45702</c:v>
                </c:pt>
                <c:pt idx="538">
                  <c:v>45705</c:v>
                </c:pt>
                <c:pt idx="539">
                  <c:v>45706</c:v>
                </c:pt>
                <c:pt idx="540">
                  <c:v>45707</c:v>
                </c:pt>
                <c:pt idx="541">
                  <c:v>45708</c:v>
                </c:pt>
                <c:pt idx="542">
                  <c:v>45709</c:v>
                </c:pt>
                <c:pt idx="543">
                  <c:v>45712</c:v>
                </c:pt>
                <c:pt idx="544">
                  <c:v>45713</c:v>
                </c:pt>
                <c:pt idx="545">
                  <c:v>45714</c:v>
                </c:pt>
                <c:pt idx="546">
                  <c:v>45715</c:v>
                </c:pt>
                <c:pt idx="547">
                  <c:v>45716</c:v>
                </c:pt>
                <c:pt idx="548">
                  <c:v>45719</c:v>
                </c:pt>
                <c:pt idx="549">
                  <c:v>45720</c:v>
                </c:pt>
                <c:pt idx="550">
                  <c:v>45721</c:v>
                </c:pt>
                <c:pt idx="551">
                  <c:v>45722</c:v>
                </c:pt>
                <c:pt idx="552">
                  <c:v>45723</c:v>
                </c:pt>
                <c:pt idx="553">
                  <c:v>45726</c:v>
                </c:pt>
                <c:pt idx="554">
                  <c:v>45727</c:v>
                </c:pt>
                <c:pt idx="555">
                  <c:v>45728</c:v>
                </c:pt>
                <c:pt idx="556">
                  <c:v>45729</c:v>
                </c:pt>
                <c:pt idx="557">
                  <c:v>45730</c:v>
                </c:pt>
                <c:pt idx="558">
                  <c:v>45733</c:v>
                </c:pt>
                <c:pt idx="559">
                  <c:v>45734</c:v>
                </c:pt>
                <c:pt idx="560">
                  <c:v>45735</c:v>
                </c:pt>
                <c:pt idx="561">
                  <c:v>45736</c:v>
                </c:pt>
                <c:pt idx="562">
                  <c:v>45737</c:v>
                </c:pt>
                <c:pt idx="563">
                  <c:v>45740</c:v>
                </c:pt>
                <c:pt idx="564">
                  <c:v>45741</c:v>
                </c:pt>
                <c:pt idx="565">
                  <c:v>45742</c:v>
                </c:pt>
                <c:pt idx="566">
                  <c:v>45743</c:v>
                </c:pt>
                <c:pt idx="567">
                  <c:v>45744</c:v>
                </c:pt>
                <c:pt idx="568">
                  <c:v>45747</c:v>
                </c:pt>
                <c:pt idx="569">
                  <c:v>45748</c:v>
                </c:pt>
                <c:pt idx="570">
                  <c:v>45749</c:v>
                </c:pt>
                <c:pt idx="571">
                  <c:v>45750</c:v>
                </c:pt>
                <c:pt idx="572">
                  <c:v>45751</c:v>
                </c:pt>
                <c:pt idx="573">
                  <c:v>45754</c:v>
                </c:pt>
                <c:pt idx="574">
                  <c:v>45755</c:v>
                </c:pt>
                <c:pt idx="575">
                  <c:v>45756</c:v>
                </c:pt>
                <c:pt idx="576">
                  <c:v>45757</c:v>
                </c:pt>
                <c:pt idx="577">
                  <c:v>45761</c:v>
                </c:pt>
                <c:pt idx="578">
                  <c:v>45762</c:v>
                </c:pt>
                <c:pt idx="579">
                  <c:v>45763</c:v>
                </c:pt>
                <c:pt idx="580">
                  <c:v>45764</c:v>
                </c:pt>
                <c:pt idx="581">
                  <c:v>45768</c:v>
                </c:pt>
                <c:pt idx="582">
                  <c:v>45771</c:v>
                </c:pt>
                <c:pt idx="583">
                  <c:v>45772</c:v>
                </c:pt>
                <c:pt idx="584">
                  <c:v>45775</c:v>
                </c:pt>
                <c:pt idx="585">
                  <c:v>45776</c:v>
                </c:pt>
                <c:pt idx="586">
                  <c:v>45784</c:v>
                </c:pt>
                <c:pt idx="587">
                  <c:v>45785</c:v>
                </c:pt>
                <c:pt idx="588">
                  <c:v>45789</c:v>
                </c:pt>
                <c:pt idx="589">
                  <c:v>45790</c:v>
                </c:pt>
                <c:pt idx="590">
                  <c:v>45796</c:v>
                </c:pt>
                <c:pt idx="591">
                  <c:v>45797</c:v>
                </c:pt>
                <c:pt idx="592">
                  <c:v>45798</c:v>
                </c:pt>
                <c:pt idx="593">
                  <c:v>45799</c:v>
                </c:pt>
                <c:pt idx="594">
                  <c:v>45800</c:v>
                </c:pt>
                <c:pt idx="595">
                  <c:v>45804</c:v>
                </c:pt>
                <c:pt idx="596">
                  <c:v>45805</c:v>
                </c:pt>
                <c:pt idx="597">
                  <c:v>45806</c:v>
                </c:pt>
                <c:pt idx="598">
                  <c:v>45807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45821</c:v>
                </c:pt>
                <c:pt idx="608">
                  <c:v>45824</c:v>
                </c:pt>
                <c:pt idx="609">
                  <c:v>45825</c:v>
                </c:pt>
                <c:pt idx="610">
                  <c:v>45826</c:v>
                </c:pt>
                <c:pt idx="611">
                  <c:v>45828</c:v>
                </c:pt>
                <c:pt idx="612">
                  <c:v>45831</c:v>
                </c:pt>
                <c:pt idx="613">
                  <c:v>45832</c:v>
                </c:pt>
                <c:pt idx="614">
                  <c:v>45833</c:v>
                </c:pt>
                <c:pt idx="615">
                  <c:v>45835</c:v>
                </c:pt>
                <c:pt idx="616">
                  <c:v>45838</c:v>
                </c:pt>
                <c:pt idx="617">
                  <c:v>45839</c:v>
                </c:pt>
                <c:pt idx="618">
                  <c:v>45840</c:v>
                </c:pt>
                <c:pt idx="619">
                  <c:v>45841</c:v>
                </c:pt>
                <c:pt idx="620">
                  <c:v>45845</c:v>
                </c:pt>
                <c:pt idx="621">
                  <c:v>45846</c:v>
                </c:pt>
                <c:pt idx="622">
                  <c:v>45847</c:v>
                </c:pt>
                <c:pt idx="623">
                  <c:v>45848</c:v>
                </c:pt>
                <c:pt idx="624">
                  <c:v>45849</c:v>
                </c:pt>
                <c:pt idx="625">
                  <c:v>45852</c:v>
                </c:pt>
                <c:pt idx="626">
                  <c:v>45853</c:v>
                </c:pt>
                <c:pt idx="627">
                  <c:v>45854</c:v>
                </c:pt>
                <c:pt idx="628">
                  <c:v>45855</c:v>
                </c:pt>
                <c:pt idx="629">
                  <c:v>45856</c:v>
                </c:pt>
                <c:pt idx="630">
                  <c:v>45859</c:v>
                </c:pt>
                <c:pt idx="631">
                  <c:v>45860</c:v>
                </c:pt>
                <c:pt idx="632">
                  <c:v>45861</c:v>
                </c:pt>
                <c:pt idx="633">
                  <c:v>45862</c:v>
                </c:pt>
                <c:pt idx="634">
                  <c:v>45863</c:v>
                </c:pt>
                <c:pt idx="635">
                  <c:v>45866</c:v>
                </c:pt>
                <c:pt idx="636">
                  <c:v>45867</c:v>
                </c:pt>
                <c:pt idx="637">
                  <c:v>45868</c:v>
                </c:pt>
                <c:pt idx="638">
                  <c:v>45869</c:v>
                </c:pt>
                <c:pt idx="639">
                  <c:v>45870</c:v>
                </c:pt>
                <c:pt idx="640">
                  <c:v>45873</c:v>
                </c:pt>
                <c:pt idx="641">
                  <c:v>45874</c:v>
                </c:pt>
                <c:pt idx="642">
                  <c:v>45875</c:v>
                </c:pt>
                <c:pt idx="643">
                  <c:v>45876</c:v>
                </c:pt>
              </c:numCache>
            </c:numRef>
          </c:cat>
          <c:val>
            <c:numRef>
              <c:f>Info!$V$24:$V$667</c:f>
              <c:numCache>
                <c:formatCode>0.000</c:formatCode>
                <c:ptCount val="644"/>
                <c:pt idx="0">
                  <c:v>3.9119916666666645</c:v>
                </c:pt>
                <c:pt idx="1">
                  <c:v>1.1031912500000018</c:v>
                </c:pt>
                <c:pt idx="2">
                  <c:v>0.63029541666666522</c:v>
                </c:pt>
                <c:pt idx="3">
                  <c:v>2.1833854166666637</c:v>
                </c:pt>
                <c:pt idx="4">
                  <c:v>1.3187848611111108</c:v>
                </c:pt>
                <c:pt idx="5">
                  <c:v>0.12485333333333293</c:v>
                </c:pt>
                <c:pt idx="6">
                  <c:v>-0.49246131944444826</c:v>
                </c:pt>
                <c:pt idx="7">
                  <c:v>0.42951479166666445</c:v>
                </c:pt>
                <c:pt idx="8">
                  <c:v>2.2189512499999982</c:v>
                </c:pt>
                <c:pt idx="9">
                  <c:v>3.4738104166666659</c:v>
                </c:pt>
                <c:pt idx="10">
                  <c:v>2.6678929166666658</c:v>
                </c:pt>
                <c:pt idx="11">
                  <c:v>2.9195416666666669</c:v>
                </c:pt>
                <c:pt idx="12">
                  <c:v>1.710553083333334</c:v>
                </c:pt>
                <c:pt idx="13">
                  <c:v>1.7088100000000008</c:v>
                </c:pt>
                <c:pt idx="14">
                  <c:v>1.4651888888888895</c:v>
                </c:pt>
                <c:pt idx="15">
                  <c:v>0.38491333333333516</c:v>
                </c:pt>
                <c:pt idx="16">
                  <c:v>0.57429250000000232</c:v>
                </c:pt>
                <c:pt idx="17">
                  <c:v>3.4313541666666669</c:v>
                </c:pt>
                <c:pt idx="18">
                  <c:v>1.8238366666666685</c:v>
                </c:pt>
                <c:pt idx="19">
                  <c:v>0.60694388888889028</c:v>
                </c:pt>
                <c:pt idx="20">
                  <c:v>1.8017908333333346</c:v>
                </c:pt>
                <c:pt idx="21">
                  <c:v>3.5532309722222237</c:v>
                </c:pt>
                <c:pt idx="22">
                  <c:v>-0.87387166666666594</c:v>
                </c:pt>
                <c:pt idx="23">
                  <c:v>-2.5860583333333333</c:v>
                </c:pt>
                <c:pt idx="24">
                  <c:v>-3.2965249999999999</c:v>
                </c:pt>
                <c:pt idx="25">
                  <c:v>-3.065173055555555</c:v>
                </c:pt>
                <c:pt idx="26">
                  <c:v>-2.2001253333333337</c:v>
                </c:pt>
                <c:pt idx="27">
                  <c:v>-3.4423295833333327</c:v>
                </c:pt>
                <c:pt idx="28">
                  <c:v>-3.1776347222222223</c:v>
                </c:pt>
                <c:pt idx="29">
                  <c:v>-4.8932076388888888</c:v>
                </c:pt>
                <c:pt idx="30">
                  <c:v>-4.5997839999999997</c:v>
                </c:pt>
                <c:pt idx="31">
                  <c:v>-3.5619455555555555</c:v>
                </c:pt>
                <c:pt idx="32">
                  <c:v>-3.4013925</c:v>
                </c:pt>
                <c:pt idx="33">
                  <c:v>-0.90899624999999984</c:v>
                </c:pt>
                <c:pt idx="34">
                  <c:v>-0.13751250000000015</c:v>
                </c:pt>
                <c:pt idx="35">
                  <c:v>-0.34436874999999972</c:v>
                </c:pt>
                <c:pt idx="36">
                  <c:v>-1.0327124999999999</c:v>
                </c:pt>
                <c:pt idx="37">
                  <c:v>0.24045</c:v>
                </c:pt>
                <c:pt idx="38">
                  <c:v>-5.4825555555555558</c:v>
                </c:pt>
                <c:pt idx="39">
                  <c:v>-5.4409333333333327</c:v>
                </c:pt>
                <c:pt idx="40">
                  <c:v>-3.7620777777777752</c:v>
                </c:pt>
                <c:pt idx="41">
                  <c:v>-2.9526000000000012</c:v>
                </c:pt>
                <c:pt idx="42">
                  <c:v>-3.1937149999999996</c:v>
                </c:pt>
                <c:pt idx="43">
                  <c:v>-1.8680799999999984</c:v>
                </c:pt>
                <c:pt idx="44">
                  <c:v>-3.6402799999999997</c:v>
                </c:pt>
                <c:pt idx="45">
                  <c:v>-3.9133639999999983</c:v>
                </c:pt>
                <c:pt idx="46">
                  <c:v>-4.8822016666666652</c:v>
                </c:pt>
                <c:pt idx="47">
                  <c:v>-3.9066799999999997</c:v>
                </c:pt>
                <c:pt idx="48">
                  <c:v>-4.3165121111111135</c:v>
                </c:pt>
                <c:pt idx="49">
                  <c:v>-1.5350988888888875</c:v>
                </c:pt>
                <c:pt idx="50">
                  <c:v>2.6566375000000004</c:v>
                </c:pt>
                <c:pt idx="51">
                  <c:v>0.88108533333333405</c:v>
                </c:pt>
                <c:pt idx="52">
                  <c:v>1.4461216666666652</c:v>
                </c:pt>
                <c:pt idx="53">
                  <c:v>1.9782444444444449</c:v>
                </c:pt>
                <c:pt idx="54">
                  <c:v>3.0783866666666659</c:v>
                </c:pt>
                <c:pt idx="55">
                  <c:v>3.0726080000000029</c:v>
                </c:pt>
                <c:pt idx="56">
                  <c:v>3.866408333333335</c:v>
                </c:pt>
                <c:pt idx="57">
                  <c:v>4.0976833333333351</c:v>
                </c:pt>
                <c:pt idx="58">
                  <c:v>4.6906633333333367</c:v>
                </c:pt>
                <c:pt idx="59">
                  <c:v>3.4404533333333349</c:v>
                </c:pt>
                <c:pt idx="60">
                  <c:v>3.952986111111112</c:v>
                </c:pt>
                <c:pt idx="61">
                  <c:v>5.2043888888888876</c:v>
                </c:pt>
                <c:pt idx="62">
                  <c:v>4.4628750000000013</c:v>
                </c:pt>
                <c:pt idx="63">
                  <c:v>5.0889305555555566</c:v>
                </c:pt>
                <c:pt idx="64">
                  <c:v>7.317499999999999</c:v>
                </c:pt>
                <c:pt idx="65">
                  <c:v>7.5718055555555539</c:v>
                </c:pt>
                <c:pt idx="66">
                  <c:v>7.908108333333332</c:v>
                </c:pt>
                <c:pt idx="67">
                  <c:v>7.2346250000000012</c:v>
                </c:pt>
                <c:pt idx="68">
                  <c:v>7.9788597222222233</c:v>
                </c:pt>
                <c:pt idx="69">
                  <c:v>6.9778888888888888</c:v>
                </c:pt>
                <c:pt idx="70">
                  <c:v>7.4232777777777788</c:v>
                </c:pt>
                <c:pt idx="71">
                  <c:v>6.8278333333333325</c:v>
                </c:pt>
                <c:pt idx="72">
                  <c:v>5.6511458333333335</c:v>
                </c:pt>
                <c:pt idx="73">
                  <c:v>3.4872916666666676</c:v>
                </c:pt>
                <c:pt idx="74">
                  <c:v>6.541230555555555</c:v>
                </c:pt>
                <c:pt idx="75">
                  <c:v>5.4096166666666665</c:v>
                </c:pt>
                <c:pt idx="76">
                  <c:v>5.2527777777777782</c:v>
                </c:pt>
                <c:pt idx="77">
                  <c:v>5.8603333333333323</c:v>
                </c:pt>
                <c:pt idx="78">
                  <c:v>6.9632833333333339</c:v>
                </c:pt>
                <c:pt idx="79">
                  <c:v>8.3462166666666668</c:v>
                </c:pt>
                <c:pt idx="80">
                  <c:v>3.7732708333333309</c:v>
                </c:pt>
                <c:pt idx="81">
                  <c:v>3.3570833333333328</c:v>
                </c:pt>
                <c:pt idx="82">
                  <c:v>7.0410694444444477</c:v>
                </c:pt>
                <c:pt idx="83">
                  <c:v>8.1003125000000011</c:v>
                </c:pt>
                <c:pt idx="84">
                  <c:v>8.750275000000002</c:v>
                </c:pt>
                <c:pt idx="85">
                  <c:v>6.6539361111111113</c:v>
                </c:pt>
                <c:pt idx="86">
                  <c:v>8.1539666666666673</c:v>
                </c:pt>
                <c:pt idx="87">
                  <c:v>3.212620416666673</c:v>
                </c:pt>
                <c:pt idx="88">
                  <c:v>2.7010800000000001</c:v>
                </c:pt>
                <c:pt idx="89">
                  <c:v>2.9630712500000018</c:v>
                </c:pt>
                <c:pt idx="90">
                  <c:v>1.8269638888888911</c:v>
                </c:pt>
                <c:pt idx="91">
                  <c:v>2.1559375000000021</c:v>
                </c:pt>
                <c:pt idx="92">
                  <c:v>2.7960416666666683</c:v>
                </c:pt>
                <c:pt idx="93">
                  <c:v>1.9173263888888874</c:v>
                </c:pt>
                <c:pt idx="94">
                  <c:v>2.3736111111111096</c:v>
                </c:pt>
                <c:pt idx="95">
                  <c:v>0.79840416666666636</c:v>
                </c:pt>
                <c:pt idx="96">
                  <c:v>0.95655555555555627</c:v>
                </c:pt>
                <c:pt idx="97">
                  <c:v>0.63643055555555605</c:v>
                </c:pt>
                <c:pt idx="98">
                  <c:v>0.32037500000000052</c:v>
                </c:pt>
                <c:pt idx="99">
                  <c:v>-0.40295511111111126</c:v>
                </c:pt>
                <c:pt idx="100">
                  <c:v>-0.71306108333333285</c:v>
                </c:pt>
                <c:pt idx="101">
                  <c:v>0.12910777777777743</c:v>
                </c:pt>
                <c:pt idx="102">
                  <c:v>-0.44077250000000012</c:v>
                </c:pt>
                <c:pt idx="103">
                  <c:v>0.91261527777777718</c:v>
                </c:pt>
                <c:pt idx="104">
                  <c:v>0.23476319444444421</c:v>
                </c:pt>
                <c:pt idx="105">
                  <c:v>-0.13409366666666672</c:v>
                </c:pt>
                <c:pt idx="106">
                  <c:v>0.10997754166666568</c:v>
                </c:pt>
                <c:pt idx="107">
                  <c:v>1.1844638888888883</c:v>
                </c:pt>
                <c:pt idx="108">
                  <c:v>1.5891807083333334</c:v>
                </c:pt>
                <c:pt idx="109">
                  <c:v>2.0243350000000002</c:v>
                </c:pt>
                <c:pt idx="110">
                  <c:v>2.2959590694444447</c:v>
                </c:pt>
                <c:pt idx="111">
                  <c:v>2.648736236111112</c:v>
                </c:pt>
                <c:pt idx="112">
                  <c:v>2.9263333333333335</c:v>
                </c:pt>
                <c:pt idx="113">
                  <c:v>3.2179453333333328</c:v>
                </c:pt>
                <c:pt idx="114">
                  <c:v>2.6802952777777778</c:v>
                </c:pt>
                <c:pt idx="115">
                  <c:v>-0.17538388888888867</c:v>
                </c:pt>
                <c:pt idx="116">
                  <c:v>-0.18433541666666686</c:v>
                </c:pt>
                <c:pt idx="117">
                  <c:v>0.36230999999999969</c:v>
                </c:pt>
                <c:pt idx="118">
                  <c:v>1.4014996527777774</c:v>
                </c:pt>
                <c:pt idx="119">
                  <c:v>2.7173280555555555</c:v>
                </c:pt>
                <c:pt idx="120">
                  <c:v>2.2948135416666666</c:v>
                </c:pt>
                <c:pt idx="121">
                  <c:v>1.7560625000000023</c:v>
                </c:pt>
                <c:pt idx="122">
                  <c:v>2.2363995833333314</c:v>
                </c:pt>
                <c:pt idx="123">
                  <c:v>2.4483318750000009</c:v>
                </c:pt>
                <c:pt idx="124">
                  <c:v>2.4089306250000027</c:v>
                </c:pt>
                <c:pt idx="125">
                  <c:v>1.127895000000001</c:v>
                </c:pt>
                <c:pt idx="126">
                  <c:v>2.1893333333333347</c:v>
                </c:pt>
                <c:pt idx="127">
                  <c:v>2.4909933333333383</c:v>
                </c:pt>
                <c:pt idx="128">
                  <c:v>2.7970625000000027</c:v>
                </c:pt>
                <c:pt idx="129">
                  <c:v>2.6400625000000009</c:v>
                </c:pt>
                <c:pt idx="130">
                  <c:v>3.2624635416666687</c:v>
                </c:pt>
                <c:pt idx="131">
                  <c:v>4.8096666666666676</c:v>
                </c:pt>
                <c:pt idx="132">
                  <c:v>5.970823750000001</c:v>
                </c:pt>
                <c:pt idx="133">
                  <c:v>5.4082931111111119</c:v>
                </c:pt>
                <c:pt idx="134">
                  <c:v>5.6382866111111092</c:v>
                </c:pt>
                <c:pt idx="135">
                  <c:v>5.4518846666666674</c:v>
                </c:pt>
                <c:pt idx="136">
                  <c:v>5.7833462500000019</c:v>
                </c:pt>
                <c:pt idx="137">
                  <c:v>4.7302260555555584</c:v>
                </c:pt>
                <c:pt idx="138">
                  <c:v>3.4865460000000015</c:v>
                </c:pt>
                <c:pt idx="139">
                  <c:v>2.6739920000000001</c:v>
                </c:pt>
                <c:pt idx="140">
                  <c:v>2.9266188888888878</c:v>
                </c:pt>
                <c:pt idx="141">
                  <c:v>3.4858844444444426</c:v>
                </c:pt>
                <c:pt idx="142">
                  <c:v>2.7606375555555549</c:v>
                </c:pt>
                <c:pt idx="143">
                  <c:v>2.4516333333333336</c:v>
                </c:pt>
                <c:pt idx="144">
                  <c:v>2.5357444444444432</c:v>
                </c:pt>
                <c:pt idx="145">
                  <c:v>2.6700595555555555</c:v>
                </c:pt>
                <c:pt idx="146">
                  <c:v>0.83357777777777753</c:v>
                </c:pt>
                <c:pt idx="147">
                  <c:v>0.42645333333333341</c:v>
                </c:pt>
                <c:pt idx="148">
                  <c:v>0.22313311111111234</c:v>
                </c:pt>
                <c:pt idx="149">
                  <c:v>-0.79650666666666592</c:v>
                </c:pt>
                <c:pt idx="150">
                  <c:v>9.6688000000000329E-2</c:v>
                </c:pt>
                <c:pt idx="151">
                  <c:v>-0.35720400000000124</c:v>
                </c:pt>
                <c:pt idx="152">
                  <c:v>-0.4991073333333339</c:v>
                </c:pt>
                <c:pt idx="153">
                  <c:v>-0.42400000000000004</c:v>
                </c:pt>
                <c:pt idx="154">
                  <c:v>-6.893499999999983E-2</c:v>
                </c:pt>
                <c:pt idx="155">
                  <c:v>1.0428500000000001</c:v>
                </c:pt>
                <c:pt idx="156">
                  <c:v>1.2556880000000006</c:v>
                </c:pt>
                <c:pt idx="157">
                  <c:v>1.5875000000000008</c:v>
                </c:pt>
                <c:pt idx="158">
                  <c:v>1.3535550000000001</c:v>
                </c:pt>
                <c:pt idx="159">
                  <c:v>2.6912199999999995</c:v>
                </c:pt>
                <c:pt idx="160">
                  <c:v>4.4473660000000006</c:v>
                </c:pt>
                <c:pt idx="161">
                  <c:v>4.4144874999999999</c:v>
                </c:pt>
                <c:pt idx="162">
                  <c:v>4.2732200000000002</c:v>
                </c:pt>
                <c:pt idx="163">
                  <c:v>3.3757106527777774</c:v>
                </c:pt>
                <c:pt idx="164">
                  <c:v>4.8385921666666665</c:v>
                </c:pt>
                <c:pt idx="165">
                  <c:v>6.8065320833333329</c:v>
                </c:pt>
                <c:pt idx="166">
                  <c:v>5.1423883333333311</c:v>
                </c:pt>
                <c:pt idx="167">
                  <c:v>4.7643998611111122</c:v>
                </c:pt>
                <c:pt idx="168">
                  <c:v>4.2065383333333317</c:v>
                </c:pt>
                <c:pt idx="169">
                  <c:v>3.5376451666666697</c:v>
                </c:pt>
                <c:pt idx="170">
                  <c:v>0.83524474999999709</c:v>
                </c:pt>
                <c:pt idx="171">
                  <c:v>0.22385999999999795</c:v>
                </c:pt>
                <c:pt idx="172">
                  <c:v>0.89231020833333563</c:v>
                </c:pt>
                <c:pt idx="173">
                  <c:v>1.2633754999999969</c:v>
                </c:pt>
                <c:pt idx="174">
                  <c:v>1.3893908333333316</c:v>
                </c:pt>
                <c:pt idx="175">
                  <c:v>1.1611517500000001</c:v>
                </c:pt>
                <c:pt idx="176">
                  <c:v>2.0747891249999983</c:v>
                </c:pt>
                <c:pt idx="177">
                  <c:v>1.1998259999999983</c:v>
                </c:pt>
                <c:pt idx="178">
                  <c:v>1.8551193749999972</c:v>
                </c:pt>
                <c:pt idx="179">
                  <c:v>2.1715695833333326</c:v>
                </c:pt>
                <c:pt idx="180">
                  <c:v>1.8287170833333337</c:v>
                </c:pt>
                <c:pt idx="181">
                  <c:v>2.5260720000000041</c:v>
                </c:pt>
                <c:pt idx="182">
                  <c:v>2.0629941666666651</c:v>
                </c:pt>
                <c:pt idx="183">
                  <c:v>2.7055546666666679</c:v>
                </c:pt>
                <c:pt idx="184">
                  <c:v>2.6025860000000014</c:v>
                </c:pt>
                <c:pt idx="185">
                  <c:v>1.5729850000000019</c:v>
                </c:pt>
                <c:pt idx="186">
                  <c:v>2.825896458333335</c:v>
                </c:pt>
                <c:pt idx="187">
                  <c:v>1.6822624999999953</c:v>
                </c:pt>
                <c:pt idx="188">
                  <c:v>1.1441383750000007</c:v>
                </c:pt>
                <c:pt idx="189">
                  <c:v>1.5011111111107311E-2</c:v>
                </c:pt>
                <c:pt idx="190">
                  <c:v>-0.70777744444444346</c:v>
                </c:pt>
                <c:pt idx="191">
                  <c:v>-1.8734253333333339</c:v>
                </c:pt>
                <c:pt idx="192">
                  <c:v>-2.3332166666666652</c:v>
                </c:pt>
                <c:pt idx="193">
                  <c:v>-2.2298937499999978</c:v>
                </c:pt>
                <c:pt idx="194">
                  <c:v>-1.5475850694444433</c:v>
                </c:pt>
                <c:pt idx="195">
                  <c:v>0.57717961111111438</c:v>
                </c:pt>
                <c:pt idx="196">
                  <c:v>-0.76213874999999931</c:v>
                </c:pt>
                <c:pt idx="197">
                  <c:v>0.15983083333333536</c:v>
                </c:pt>
                <c:pt idx="198">
                  <c:v>0.37940116666666523</c:v>
                </c:pt>
                <c:pt idx="199">
                  <c:v>1.2101287500000002</c:v>
                </c:pt>
                <c:pt idx="200">
                  <c:v>0.64407349999999752</c:v>
                </c:pt>
                <c:pt idx="201">
                  <c:v>1.3063215833333308</c:v>
                </c:pt>
                <c:pt idx="202">
                  <c:v>0.89325104166667058</c:v>
                </c:pt>
                <c:pt idx="203">
                  <c:v>1.2812315000000019</c:v>
                </c:pt>
                <c:pt idx="204">
                  <c:v>0.66242708333333344</c:v>
                </c:pt>
                <c:pt idx="205">
                  <c:v>1.2544666666666648</c:v>
                </c:pt>
                <c:pt idx="206">
                  <c:v>1.4506144583333325</c:v>
                </c:pt>
                <c:pt idx="207">
                  <c:v>2.207238750000001</c:v>
                </c:pt>
                <c:pt idx="208">
                  <c:v>1.7863365416666666</c:v>
                </c:pt>
                <c:pt idx="209">
                  <c:v>1.0937248333333343</c:v>
                </c:pt>
                <c:pt idx="210">
                  <c:v>1.4759124999999984</c:v>
                </c:pt>
                <c:pt idx="211">
                  <c:v>1.4106350000000003</c:v>
                </c:pt>
                <c:pt idx="212">
                  <c:v>1.3350804999999992</c:v>
                </c:pt>
                <c:pt idx="213">
                  <c:v>1.3229624999999996</c:v>
                </c:pt>
                <c:pt idx="214">
                  <c:v>0.69642662499999897</c:v>
                </c:pt>
                <c:pt idx="215">
                  <c:v>1.2180382499999989</c:v>
                </c:pt>
                <c:pt idx="216">
                  <c:v>0.16405937500000023</c:v>
                </c:pt>
                <c:pt idx="217">
                  <c:v>0.49296933333333248</c:v>
                </c:pt>
                <c:pt idx="218">
                  <c:v>0.16022937499999973</c:v>
                </c:pt>
                <c:pt idx="219">
                  <c:v>-5.9586583333333387E-2</c:v>
                </c:pt>
                <c:pt idx="220">
                  <c:v>2.2228706666666667</c:v>
                </c:pt>
                <c:pt idx="221">
                  <c:v>3.343336250000001</c:v>
                </c:pt>
                <c:pt idx="222">
                  <c:v>3.7471727500000003</c:v>
                </c:pt>
                <c:pt idx="223">
                  <c:v>3.4367741249999999</c:v>
                </c:pt>
                <c:pt idx="224">
                  <c:v>4.2927179999999998</c:v>
                </c:pt>
                <c:pt idx="225">
                  <c:v>3.039825833333333</c:v>
                </c:pt>
                <c:pt idx="226">
                  <c:v>3.3747374999999997</c:v>
                </c:pt>
                <c:pt idx="227">
                  <c:v>4.7399891666666667</c:v>
                </c:pt>
                <c:pt idx="228">
                  <c:v>4.1141778749999993</c:v>
                </c:pt>
                <c:pt idx="229">
                  <c:v>3.95</c:v>
                </c:pt>
                <c:pt idx="230">
                  <c:v>5.6688299999999998</c:v>
                </c:pt>
                <c:pt idx="231">
                  <c:v>0</c:v>
                </c:pt>
                <c:pt idx="232">
                  <c:v>0.21708666666666598</c:v>
                </c:pt>
                <c:pt idx="233">
                  <c:v>1.056697777777782</c:v>
                </c:pt>
                <c:pt idx="234">
                  <c:v>2.2715813333333337</c:v>
                </c:pt>
                <c:pt idx="235">
                  <c:v>1.5098579999999973</c:v>
                </c:pt>
                <c:pt idx="236">
                  <c:v>2.3770311111111111</c:v>
                </c:pt>
                <c:pt idx="237">
                  <c:v>2.4566087499999947</c:v>
                </c:pt>
                <c:pt idx="238">
                  <c:v>2.8737395000000001</c:v>
                </c:pt>
                <c:pt idx="239">
                  <c:v>1.9999999999999962</c:v>
                </c:pt>
                <c:pt idx="240">
                  <c:v>0.66394466666666596</c:v>
                </c:pt>
                <c:pt idx="241">
                  <c:v>3.4269023333333317</c:v>
                </c:pt>
                <c:pt idx="242">
                  <c:v>3.862869999999996</c:v>
                </c:pt>
                <c:pt idx="243">
                  <c:v>3.9619930000000023</c:v>
                </c:pt>
                <c:pt idx="244">
                  <c:v>4.2367424999999956</c:v>
                </c:pt>
                <c:pt idx="245">
                  <c:v>5.8831874999999982</c:v>
                </c:pt>
                <c:pt idx="246">
                  <c:v>6.4891893333333286</c:v>
                </c:pt>
                <c:pt idx="247">
                  <c:v>0.45118933333333222</c:v>
                </c:pt>
                <c:pt idx="248">
                  <c:v>-0.20533499999999816</c:v>
                </c:pt>
                <c:pt idx="249">
                  <c:v>0.60400808333333222</c:v>
                </c:pt>
                <c:pt idx="250">
                  <c:v>1.1479828333333302</c:v>
                </c:pt>
                <c:pt idx="251">
                  <c:v>2.6434205000000017</c:v>
                </c:pt>
                <c:pt idx="252">
                  <c:v>2.6159766666666666</c:v>
                </c:pt>
                <c:pt idx="253">
                  <c:v>3.6901036666666664</c:v>
                </c:pt>
                <c:pt idx="254">
                  <c:v>-9.4746666666664647E-2</c:v>
                </c:pt>
                <c:pt idx="255">
                  <c:v>0.33859425000000165</c:v>
                </c:pt>
                <c:pt idx="256">
                  <c:v>-0.19392500000000035</c:v>
                </c:pt>
                <c:pt idx="257">
                  <c:v>0.23302875000000001</c:v>
                </c:pt>
                <c:pt idx="258">
                  <c:v>1.9321768749999968</c:v>
                </c:pt>
                <c:pt idx="259">
                  <c:v>1.9827710555555518</c:v>
                </c:pt>
                <c:pt idx="260">
                  <c:v>1.4644713333333337</c:v>
                </c:pt>
                <c:pt idx="261">
                  <c:v>1.0326557361111099</c:v>
                </c:pt>
                <c:pt idx="262">
                  <c:v>0.26308666666666758</c:v>
                </c:pt>
                <c:pt idx="263">
                  <c:v>1.3270338749999999</c:v>
                </c:pt>
                <c:pt idx="264">
                  <c:v>1.7475126666666645</c:v>
                </c:pt>
                <c:pt idx="265">
                  <c:v>-0.37682888888888738</c:v>
                </c:pt>
                <c:pt idx="266">
                  <c:v>1.8019999999999148E-2</c:v>
                </c:pt>
                <c:pt idx="267">
                  <c:v>0.23937326388888819</c:v>
                </c:pt>
                <c:pt idx="268">
                  <c:v>0.39968222222222238</c:v>
                </c:pt>
                <c:pt idx="269">
                  <c:v>0.79889472222222224</c:v>
                </c:pt>
                <c:pt idx="270">
                  <c:v>0.15474958333333289</c:v>
                </c:pt>
                <c:pt idx="271">
                  <c:v>1.4202235000000007</c:v>
                </c:pt>
                <c:pt idx="272">
                  <c:v>1.6790777777777779</c:v>
                </c:pt>
                <c:pt idx="273">
                  <c:v>1.3167354166666658</c:v>
                </c:pt>
                <c:pt idx="274">
                  <c:v>1.028693333333333</c:v>
                </c:pt>
                <c:pt idx="275">
                  <c:v>1.0738214583333336</c:v>
                </c:pt>
                <c:pt idx="276">
                  <c:v>1.0939839999999992</c:v>
                </c:pt>
                <c:pt idx="277">
                  <c:v>1.1211154166666681</c:v>
                </c:pt>
                <c:pt idx="278">
                  <c:v>0.78926250000000076</c:v>
                </c:pt>
                <c:pt idx="279">
                  <c:v>1.126589722222223</c:v>
                </c:pt>
                <c:pt idx="280">
                  <c:v>-0.89736533333333379</c:v>
                </c:pt>
                <c:pt idx="281">
                  <c:v>-1.4308052083333327</c:v>
                </c:pt>
                <c:pt idx="282">
                  <c:v>-0.61111777777777754</c:v>
                </c:pt>
                <c:pt idx="283">
                  <c:v>-0.90679083333333255</c:v>
                </c:pt>
                <c:pt idx="284">
                  <c:v>-0.63251862499999967</c:v>
                </c:pt>
                <c:pt idx="285">
                  <c:v>-0.57935299999999978</c:v>
                </c:pt>
                <c:pt idx="286">
                  <c:v>-0.23500322222222181</c:v>
                </c:pt>
                <c:pt idx="287">
                  <c:v>0.14147055555555588</c:v>
                </c:pt>
                <c:pt idx="288">
                  <c:v>1.6602424444444444</c:v>
                </c:pt>
                <c:pt idx="289">
                  <c:v>1.986375</c:v>
                </c:pt>
                <c:pt idx="290">
                  <c:v>0.29685510000000137</c:v>
                </c:pt>
                <c:pt idx="291">
                  <c:v>0.68770911111111221</c:v>
                </c:pt>
                <c:pt idx="292">
                  <c:v>1.0272199888888889</c:v>
                </c:pt>
                <c:pt idx="293">
                  <c:v>1.2048925555555534</c:v>
                </c:pt>
                <c:pt idx="294">
                  <c:v>0.87585633333333301</c:v>
                </c:pt>
                <c:pt idx="295">
                  <c:v>0.54681033333333073</c:v>
                </c:pt>
                <c:pt idx="296">
                  <c:v>2.1852609722222196</c:v>
                </c:pt>
                <c:pt idx="297">
                  <c:v>2.8519851000000012</c:v>
                </c:pt>
                <c:pt idx="298">
                  <c:v>3.5700738833333356</c:v>
                </c:pt>
                <c:pt idx="299">
                  <c:v>3.448692500000003</c:v>
                </c:pt>
                <c:pt idx="300">
                  <c:v>2.9158133666666668</c:v>
                </c:pt>
                <c:pt idx="301">
                  <c:v>3.204778666666666</c:v>
                </c:pt>
                <c:pt idx="302">
                  <c:v>2.9573940833333312</c:v>
                </c:pt>
                <c:pt idx="303">
                  <c:v>4.7798507000000017</c:v>
                </c:pt>
                <c:pt idx="304">
                  <c:v>4.6040277361111075</c:v>
                </c:pt>
                <c:pt idx="305">
                  <c:v>5.1972908166666665</c:v>
                </c:pt>
                <c:pt idx="306">
                  <c:v>3.6490228111111107</c:v>
                </c:pt>
                <c:pt idx="307">
                  <c:v>3.1221351111111129</c:v>
                </c:pt>
                <c:pt idx="308">
                  <c:v>4.2418154749999992</c:v>
                </c:pt>
                <c:pt idx="309">
                  <c:v>3.6517446999999983</c:v>
                </c:pt>
                <c:pt idx="310">
                  <c:v>2.0172172500000003</c:v>
                </c:pt>
                <c:pt idx="311">
                  <c:v>0.50470032777777818</c:v>
                </c:pt>
                <c:pt idx="312">
                  <c:v>1.2579160222222205</c:v>
                </c:pt>
                <c:pt idx="313">
                  <c:v>0.99608225555555541</c:v>
                </c:pt>
                <c:pt idx="314">
                  <c:v>2.3932486749999997</c:v>
                </c:pt>
                <c:pt idx="315">
                  <c:v>1.8793104111111112</c:v>
                </c:pt>
                <c:pt idx="316">
                  <c:v>2.6974403805555545</c:v>
                </c:pt>
                <c:pt idx="317">
                  <c:v>2.416228294444446</c:v>
                </c:pt>
                <c:pt idx="318">
                  <c:v>1.2270925000000001</c:v>
                </c:pt>
                <c:pt idx="319">
                  <c:v>2.0543999999999993</c:v>
                </c:pt>
                <c:pt idx="320">
                  <c:v>2.5347914999999999</c:v>
                </c:pt>
                <c:pt idx="321">
                  <c:v>3.1735120000000006</c:v>
                </c:pt>
                <c:pt idx="322">
                  <c:v>3.7276075000000004</c:v>
                </c:pt>
                <c:pt idx="323">
                  <c:v>3.7684600000000006</c:v>
                </c:pt>
                <c:pt idx="324">
                  <c:v>2.8161400000000012</c:v>
                </c:pt>
                <c:pt idx="325">
                  <c:v>3.4534273666666664</c:v>
                </c:pt>
                <c:pt idx="326">
                  <c:v>3.0245725500000002</c:v>
                </c:pt>
                <c:pt idx="327">
                  <c:v>2.0491797500000004</c:v>
                </c:pt>
                <c:pt idx="328">
                  <c:v>1.9695698666666668</c:v>
                </c:pt>
                <c:pt idx="329">
                  <c:v>1.8948985</c:v>
                </c:pt>
                <c:pt idx="330">
                  <c:v>1.649546</c:v>
                </c:pt>
                <c:pt idx="331">
                  <c:v>2.0783101000000004</c:v>
                </c:pt>
                <c:pt idx="332">
                  <c:v>3.7444037777777717</c:v>
                </c:pt>
                <c:pt idx="333">
                  <c:v>4.9587466666666691</c:v>
                </c:pt>
                <c:pt idx="334">
                  <c:v>2.5403044444444465</c:v>
                </c:pt>
                <c:pt idx="335">
                  <c:v>2.1713822222222205</c:v>
                </c:pt>
                <c:pt idx="336">
                  <c:v>2.6901040000000016</c:v>
                </c:pt>
                <c:pt idx="337">
                  <c:v>1.9466199999999989</c:v>
                </c:pt>
                <c:pt idx="338">
                  <c:v>2.540566888888887</c:v>
                </c:pt>
                <c:pt idx="339">
                  <c:v>1.2420960000000036</c:v>
                </c:pt>
                <c:pt idx="340">
                  <c:v>1.9160008888888886</c:v>
                </c:pt>
                <c:pt idx="341">
                  <c:v>1.5185053333333336</c:v>
                </c:pt>
                <c:pt idx="342">
                  <c:v>4.3815699999999982</c:v>
                </c:pt>
                <c:pt idx="343">
                  <c:v>2.521229333333336</c:v>
                </c:pt>
                <c:pt idx="344">
                  <c:v>4.7282700000000011</c:v>
                </c:pt>
                <c:pt idx="345">
                  <c:v>5.5047503333333303</c:v>
                </c:pt>
                <c:pt idx="346">
                  <c:v>3.4851293055555539</c:v>
                </c:pt>
                <c:pt idx="347">
                  <c:v>3.0215999999999994</c:v>
                </c:pt>
                <c:pt idx="348">
                  <c:v>3.9280233333333303</c:v>
                </c:pt>
                <c:pt idx="349">
                  <c:v>4.8870668333333338</c:v>
                </c:pt>
                <c:pt idx="350">
                  <c:v>4.6703228611111092</c:v>
                </c:pt>
                <c:pt idx="351">
                  <c:v>4.8268058333333332</c:v>
                </c:pt>
                <c:pt idx="352">
                  <c:v>3.6177779166666673</c:v>
                </c:pt>
                <c:pt idx="353">
                  <c:v>4.1264066666666679</c:v>
                </c:pt>
                <c:pt idx="354">
                  <c:v>4.6927877777777791</c:v>
                </c:pt>
                <c:pt idx="355">
                  <c:v>5.0511104444444426</c:v>
                </c:pt>
                <c:pt idx="356">
                  <c:v>3.8644828750000029</c:v>
                </c:pt>
                <c:pt idx="357">
                  <c:v>1.9585349166666655</c:v>
                </c:pt>
                <c:pt idx="358">
                  <c:v>2.4262496527777802</c:v>
                </c:pt>
                <c:pt idx="359">
                  <c:v>2.6955553333333353</c:v>
                </c:pt>
                <c:pt idx="360">
                  <c:v>2.1758020833333322</c:v>
                </c:pt>
                <c:pt idx="361">
                  <c:v>2.3491972222222239</c:v>
                </c:pt>
                <c:pt idx="362">
                  <c:v>2.5674112499999997</c:v>
                </c:pt>
                <c:pt idx="363">
                  <c:v>2.2439423999999986</c:v>
                </c:pt>
                <c:pt idx="364">
                  <c:v>2.0829753333333341</c:v>
                </c:pt>
                <c:pt idx="365">
                  <c:v>1.8578800666666673</c:v>
                </c:pt>
                <c:pt idx="366">
                  <c:v>1.9807335000000008</c:v>
                </c:pt>
                <c:pt idx="367">
                  <c:v>1.9998479999999998</c:v>
                </c:pt>
                <c:pt idx="368">
                  <c:v>2.4460622222222219</c:v>
                </c:pt>
                <c:pt idx="369">
                  <c:v>1.1162022222222228</c:v>
                </c:pt>
                <c:pt idx="370">
                  <c:v>1.1522546666666669</c:v>
                </c:pt>
                <c:pt idx="371">
                  <c:v>1.7416079999999996</c:v>
                </c:pt>
                <c:pt idx="372">
                  <c:v>1.1992866666666671</c:v>
                </c:pt>
                <c:pt idx="373">
                  <c:v>1.2010933333333331</c:v>
                </c:pt>
                <c:pt idx="374">
                  <c:v>0.40726000000000029</c:v>
                </c:pt>
                <c:pt idx="375">
                  <c:v>3.6573617777777789</c:v>
                </c:pt>
                <c:pt idx="376">
                  <c:v>1.8379578499999993</c:v>
                </c:pt>
                <c:pt idx="377">
                  <c:v>1.9950914888888893</c:v>
                </c:pt>
                <c:pt idx="378">
                  <c:v>0.84304333333333203</c:v>
                </c:pt>
                <c:pt idx="379">
                  <c:v>2.3594604500000003</c:v>
                </c:pt>
                <c:pt idx="380">
                  <c:v>2.9520031166666683</c:v>
                </c:pt>
                <c:pt idx="381">
                  <c:v>2.5619677777777738</c:v>
                </c:pt>
                <c:pt idx="382">
                  <c:v>2.6952040277777756</c:v>
                </c:pt>
                <c:pt idx="383">
                  <c:v>1.5528990000000076</c:v>
                </c:pt>
                <c:pt idx="384">
                  <c:v>1.5265109499999985</c:v>
                </c:pt>
                <c:pt idx="385">
                  <c:v>1.8724999999999992</c:v>
                </c:pt>
                <c:pt idx="386">
                  <c:v>1.403722569444446</c:v>
                </c:pt>
                <c:pt idx="387">
                  <c:v>1.1855560000000014</c:v>
                </c:pt>
                <c:pt idx="388">
                  <c:v>0.74598233333333097</c:v>
                </c:pt>
                <c:pt idx="389">
                  <c:v>0.92967916666666928</c:v>
                </c:pt>
                <c:pt idx="390">
                  <c:v>0.68876724999999694</c:v>
                </c:pt>
                <c:pt idx="391">
                  <c:v>-0.43329500000000021</c:v>
                </c:pt>
                <c:pt idx="392">
                  <c:v>2.6680555555555485E-2</c:v>
                </c:pt>
                <c:pt idx="393">
                  <c:v>-4.3746666666666378E-2</c:v>
                </c:pt>
                <c:pt idx="394">
                  <c:v>-0.19441104166666723</c:v>
                </c:pt>
                <c:pt idx="395">
                  <c:v>-0.59516000000000291</c:v>
                </c:pt>
                <c:pt idx="396">
                  <c:v>0.29595333333333196</c:v>
                </c:pt>
                <c:pt idx="397">
                  <c:v>0.15900113333333354</c:v>
                </c:pt>
                <c:pt idx="398">
                  <c:v>7.4282900000002816E-2</c:v>
                </c:pt>
                <c:pt idx="399">
                  <c:v>0.43229111111111052</c:v>
                </c:pt>
                <c:pt idx="400">
                  <c:v>-1.4821540972222227</c:v>
                </c:pt>
                <c:pt idx="401">
                  <c:v>-5.0401499999999655E-2</c:v>
                </c:pt>
                <c:pt idx="402">
                  <c:v>-0.49177599999999932</c:v>
                </c:pt>
                <c:pt idx="403">
                  <c:v>-0.4136097777777778</c:v>
                </c:pt>
                <c:pt idx="404">
                  <c:v>-0.81118125000000096</c:v>
                </c:pt>
                <c:pt idx="405">
                  <c:v>0.12432844444444507</c:v>
                </c:pt>
                <c:pt idx="406">
                  <c:v>-1.4219517333333334</c:v>
                </c:pt>
                <c:pt idx="407">
                  <c:v>-0.65763666666666665</c:v>
                </c:pt>
                <c:pt idx="408">
                  <c:v>-1.1585493333333321</c:v>
                </c:pt>
                <c:pt idx="409">
                  <c:v>-1.1503697500000007</c:v>
                </c:pt>
                <c:pt idx="410">
                  <c:v>-5.7001250000000836E-2</c:v>
                </c:pt>
                <c:pt idx="411">
                  <c:v>-0.81104755555555585</c:v>
                </c:pt>
                <c:pt idx="412">
                  <c:v>0.5446768888888891</c:v>
                </c:pt>
                <c:pt idx="413">
                  <c:v>-0.49509333333333305</c:v>
                </c:pt>
                <c:pt idx="414">
                  <c:v>-0.56488888888888977</c:v>
                </c:pt>
                <c:pt idx="415">
                  <c:v>-0.15619888888888864</c:v>
                </c:pt>
                <c:pt idx="416">
                  <c:v>-0.28279866666666642</c:v>
                </c:pt>
                <c:pt idx="417">
                  <c:v>-1.5409840000000001</c:v>
                </c:pt>
                <c:pt idx="418">
                  <c:v>-1.3522597916666665</c:v>
                </c:pt>
                <c:pt idx="419">
                  <c:v>-0.82850950000000012</c:v>
                </c:pt>
                <c:pt idx="420">
                  <c:v>1.4155224999999994</c:v>
                </c:pt>
                <c:pt idx="421">
                  <c:v>2.9656254999999963</c:v>
                </c:pt>
                <c:pt idx="422">
                  <c:v>2.8924249999999931</c:v>
                </c:pt>
                <c:pt idx="423">
                  <c:v>-1.5233599999999958</c:v>
                </c:pt>
                <c:pt idx="424">
                  <c:v>-0.62464326666666903</c:v>
                </c:pt>
                <c:pt idx="425">
                  <c:v>-0.48058683333333518</c:v>
                </c:pt>
                <c:pt idx="426">
                  <c:v>-0.262989583333334</c:v>
                </c:pt>
                <c:pt idx="427">
                  <c:v>1.0865026277777745</c:v>
                </c:pt>
                <c:pt idx="428">
                  <c:v>0.13073425000000305</c:v>
                </c:pt>
                <c:pt idx="429">
                  <c:v>-0.40258666666665999</c:v>
                </c:pt>
                <c:pt idx="430">
                  <c:v>-0.99920968888888573</c:v>
                </c:pt>
                <c:pt idx="431">
                  <c:v>0.95310833333333012</c:v>
                </c:pt>
                <c:pt idx="432">
                  <c:v>3.7066749999999979</c:v>
                </c:pt>
                <c:pt idx="433">
                  <c:v>2.6842560000000013</c:v>
                </c:pt>
                <c:pt idx="434">
                  <c:v>1.5860357222222288</c:v>
                </c:pt>
                <c:pt idx="435">
                  <c:v>2.1697395833333299</c:v>
                </c:pt>
                <c:pt idx="436">
                  <c:v>1.5239937500000023</c:v>
                </c:pt>
                <c:pt idx="437">
                  <c:v>2.4311576666666723</c:v>
                </c:pt>
                <c:pt idx="438">
                  <c:v>2.3318681249999971</c:v>
                </c:pt>
                <c:pt idx="439">
                  <c:v>2.4312107500000071</c:v>
                </c:pt>
                <c:pt idx="440">
                  <c:v>1.5920295000000029</c:v>
                </c:pt>
                <c:pt idx="441">
                  <c:v>1.9363112500000002</c:v>
                </c:pt>
                <c:pt idx="442">
                  <c:v>1.67859483333333</c:v>
                </c:pt>
                <c:pt idx="443">
                  <c:v>1.5244491666666693</c:v>
                </c:pt>
                <c:pt idx="444">
                  <c:v>1.1550127083333306</c:v>
                </c:pt>
                <c:pt idx="445">
                  <c:v>2.3488677777777744</c:v>
                </c:pt>
                <c:pt idx="446">
                  <c:v>2.4109891666666661</c:v>
                </c:pt>
                <c:pt idx="447">
                  <c:v>1.7609750000000035</c:v>
                </c:pt>
                <c:pt idx="448">
                  <c:v>2.0635191888888906</c:v>
                </c:pt>
                <c:pt idx="449">
                  <c:v>1.1179433333333351</c:v>
                </c:pt>
                <c:pt idx="450">
                  <c:v>0.51758666666666675</c:v>
                </c:pt>
                <c:pt idx="451">
                  <c:v>1.4558324305555537</c:v>
                </c:pt>
                <c:pt idx="452">
                  <c:v>0.93085341666666599</c:v>
                </c:pt>
                <c:pt idx="453">
                  <c:v>0.67362094444444742</c:v>
                </c:pt>
                <c:pt idx="454">
                  <c:v>0.49556124999999562</c:v>
                </c:pt>
                <c:pt idx="455">
                  <c:v>0.82488958333332973</c:v>
                </c:pt>
                <c:pt idx="456">
                  <c:v>0.60850219444444631</c:v>
                </c:pt>
                <c:pt idx="457">
                  <c:v>3.2286111111111127</c:v>
                </c:pt>
                <c:pt idx="458">
                  <c:v>1.1183125000000016</c:v>
                </c:pt>
                <c:pt idx="459">
                  <c:v>2.2144166666666685</c:v>
                </c:pt>
                <c:pt idx="460">
                  <c:v>2.191668916666667</c:v>
                </c:pt>
                <c:pt idx="461">
                  <c:v>2.1409243999999994</c:v>
                </c:pt>
                <c:pt idx="462">
                  <c:v>2.6285037500000024</c:v>
                </c:pt>
                <c:pt idx="463">
                  <c:v>2.4983184000000018</c:v>
                </c:pt>
                <c:pt idx="464">
                  <c:v>2.370170947222225</c:v>
                </c:pt>
                <c:pt idx="465">
                  <c:v>1.4249375000000009</c:v>
                </c:pt>
                <c:pt idx="466">
                  <c:v>1.0601087499999995</c:v>
                </c:pt>
                <c:pt idx="467">
                  <c:v>1.516128611111113</c:v>
                </c:pt>
                <c:pt idx="468">
                  <c:v>1.3875486111111113</c:v>
                </c:pt>
                <c:pt idx="469">
                  <c:v>2.3152519999999996</c:v>
                </c:pt>
                <c:pt idx="470">
                  <c:v>1.8640985749999992</c:v>
                </c:pt>
                <c:pt idx="471">
                  <c:v>2.5645027777777774</c:v>
                </c:pt>
                <c:pt idx="472">
                  <c:v>3.5499149999999995</c:v>
                </c:pt>
                <c:pt idx="473">
                  <c:v>4.0878205416666678</c:v>
                </c:pt>
                <c:pt idx="474">
                  <c:v>3.2568482499999987</c:v>
                </c:pt>
                <c:pt idx="475">
                  <c:v>3.6984057222222213</c:v>
                </c:pt>
                <c:pt idx="476">
                  <c:v>4.4603165000000002</c:v>
                </c:pt>
                <c:pt idx="477">
                  <c:v>4.0769448611111105</c:v>
                </c:pt>
                <c:pt idx="478">
                  <c:v>4.8262476666666663</c:v>
                </c:pt>
                <c:pt idx="479">
                  <c:v>5.0366549999999997</c:v>
                </c:pt>
                <c:pt idx="480">
                  <c:v>4.9139714999999997</c:v>
                </c:pt>
                <c:pt idx="481">
                  <c:v>3.9169781249999995</c:v>
                </c:pt>
                <c:pt idx="482">
                  <c:v>3.3257339999999997</c:v>
                </c:pt>
                <c:pt idx="483">
                  <c:v>3.2583914999999997</c:v>
                </c:pt>
                <c:pt idx="484">
                  <c:v>10.330639999999997</c:v>
                </c:pt>
                <c:pt idx="485">
                  <c:v>9.4031250000000011</c:v>
                </c:pt>
                <c:pt idx="486">
                  <c:v>10.140965972222221</c:v>
                </c:pt>
                <c:pt idx="487">
                  <c:v>11.08384</c:v>
                </c:pt>
                <c:pt idx="488">
                  <c:v>27.916388950000005</c:v>
                </c:pt>
                <c:pt idx="489">
                  <c:v>18.736970500000005</c:v>
                </c:pt>
                <c:pt idx="490">
                  <c:v>18.800152166666667</c:v>
                </c:pt>
                <c:pt idx="491">
                  <c:v>33.280370000000012</c:v>
                </c:pt>
                <c:pt idx="492">
                  <c:v>47.692643750000009</c:v>
                </c:pt>
                <c:pt idx="493">
                  <c:v>63.644000000000013</c:v>
                </c:pt>
                <c:pt idx="494">
                  <c:v>40.796050000000001</c:v>
                </c:pt>
                <c:pt idx="495">
                  <c:v>18.007138333333334</c:v>
                </c:pt>
                <c:pt idx="496">
                  <c:v>21.041335416666669</c:v>
                </c:pt>
                <c:pt idx="497">
                  <c:v>19.749574999999997</c:v>
                </c:pt>
                <c:pt idx="498">
                  <c:v>25.003583333333335</c:v>
                </c:pt>
                <c:pt idx="499">
                  <c:v>20.71222638888889</c:v>
                </c:pt>
                <c:pt idx="500">
                  <c:v>15.539431249999996</c:v>
                </c:pt>
                <c:pt idx="501">
                  <c:v>35.809970583333332</c:v>
                </c:pt>
                <c:pt idx="502">
                  <c:v>36.901496250000001</c:v>
                </c:pt>
                <c:pt idx="503">
                  <c:v>33.467512499999998</c:v>
                </c:pt>
                <c:pt idx="504">
                  <c:v>30.370124666666669</c:v>
                </c:pt>
                <c:pt idx="505">
                  <c:v>19.447864597222221</c:v>
                </c:pt>
                <c:pt idx="506">
                  <c:v>20.749745333333333</c:v>
                </c:pt>
                <c:pt idx="507">
                  <c:v>26.18161388888889</c:v>
                </c:pt>
                <c:pt idx="508">
                  <c:v>37.329669999999993</c:v>
                </c:pt>
                <c:pt idx="509">
                  <c:v>42.533500444444442</c:v>
                </c:pt>
                <c:pt idx="510">
                  <c:v>52.736603333333335</c:v>
                </c:pt>
                <c:pt idx="511">
                  <c:v>64.209208958333335</c:v>
                </c:pt>
                <c:pt idx="512">
                  <c:v>75.404303999999996</c:v>
                </c:pt>
                <c:pt idx="513">
                  <c:v>57.501870833333335</c:v>
                </c:pt>
                <c:pt idx="514">
                  <c:v>43.480140888888883</c:v>
                </c:pt>
                <c:pt idx="515">
                  <c:v>68.397731249999993</c:v>
                </c:pt>
                <c:pt idx="516">
                  <c:v>90.76982666666666</c:v>
                </c:pt>
                <c:pt idx="517">
                  <c:v>73.202844444444437</c:v>
                </c:pt>
                <c:pt idx="518">
                  <c:v>75.497453333333326</c:v>
                </c:pt>
                <c:pt idx="519">
                  <c:v>57.995487999999995</c:v>
                </c:pt>
                <c:pt idx="520">
                  <c:v>48.285246000000001</c:v>
                </c:pt>
                <c:pt idx="521">
                  <c:v>29.341100000000004</c:v>
                </c:pt>
                <c:pt idx="522">
                  <c:v>49.601099999999995</c:v>
                </c:pt>
                <c:pt idx="523">
                  <c:v>30.305058333333335</c:v>
                </c:pt>
                <c:pt idx="524">
                  <c:v>33.535782222222224</c:v>
                </c:pt>
                <c:pt idx="525">
                  <c:v>69.499469333333337</c:v>
                </c:pt>
                <c:pt idx="526">
                  <c:v>103.24196666666667</c:v>
                </c:pt>
                <c:pt idx="527">
                  <c:v>107.71733187499999</c:v>
                </c:pt>
                <c:pt idx="528">
                  <c:v>113.14731249999998</c:v>
                </c:pt>
                <c:pt idx="529">
                  <c:v>80</c:v>
                </c:pt>
                <c:pt idx="530">
                  <c:v>62.154053333333323</c:v>
                </c:pt>
                <c:pt idx="531">
                  <c:v>46.246156666666664</c:v>
                </c:pt>
                <c:pt idx="532">
                  <c:v>48.464944444444448</c:v>
                </c:pt>
                <c:pt idx="533">
                  <c:v>50.308356111111109</c:v>
                </c:pt>
                <c:pt idx="534">
                  <c:v>48.806918750000001</c:v>
                </c:pt>
                <c:pt idx="535">
                  <c:v>47.47761222222222</c:v>
                </c:pt>
                <c:pt idx="536">
                  <c:v>51.832014999999998</c:v>
                </c:pt>
                <c:pt idx="537">
                  <c:v>58.929900000000004</c:v>
                </c:pt>
                <c:pt idx="538">
                  <c:v>55.922116666666668</c:v>
                </c:pt>
                <c:pt idx="539">
                  <c:v>54.497654444444457</c:v>
                </c:pt>
                <c:pt idx="540">
                  <c:v>46.275166666666664</c:v>
                </c:pt>
                <c:pt idx="541">
                  <c:v>50.077228333333338</c:v>
                </c:pt>
                <c:pt idx="542">
                  <c:v>42.9714375</c:v>
                </c:pt>
                <c:pt idx="543">
                  <c:v>33.539811111111106</c:v>
                </c:pt>
                <c:pt idx="544">
                  <c:v>28.853880277777776</c:v>
                </c:pt>
                <c:pt idx="545">
                  <c:v>36.283239999999999</c:v>
                </c:pt>
                <c:pt idx="546">
                  <c:v>45.903765069444439</c:v>
                </c:pt>
                <c:pt idx="547">
                  <c:v>43.708088750000009</c:v>
                </c:pt>
                <c:pt idx="548">
                  <c:v>49.713002499999995</c:v>
                </c:pt>
                <c:pt idx="549">
                  <c:v>51.050822222222216</c:v>
                </c:pt>
                <c:pt idx="550">
                  <c:v>56.999999999999993</c:v>
                </c:pt>
                <c:pt idx="551">
                  <c:v>60</c:v>
                </c:pt>
                <c:pt idx="552">
                  <c:v>52</c:v>
                </c:pt>
                <c:pt idx="553">
                  <c:v>45</c:v>
                </c:pt>
                <c:pt idx="554">
                  <c:v>49.483853888888888</c:v>
                </c:pt>
                <c:pt idx="555">
                  <c:v>58.432706666666668</c:v>
                </c:pt>
                <c:pt idx="556">
                  <c:v>68.233487499999995</c:v>
                </c:pt>
                <c:pt idx="557">
                  <c:v>64.934481111111126</c:v>
                </c:pt>
                <c:pt idx="558">
                  <c:v>55.977638333333324</c:v>
                </c:pt>
                <c:pt idx="559">
                  <c:v>69.007936666666652</c:v>
                </c:pt>
                <c:pt idx="560">
                  <c:v>73</c:v>
                </c:pt>
                <c:pt idx="561">
                  <c:v>56.113565555555553</c:v>
                </c:pt>
                <c:pt idx="562">
                  <c:v>52.151240555555553</c:v>
                </c:pt>
                <c:pt idx="563">
                  <c:v>50.349170000000001</c:v>
                </c:pt>
                <c:pt idx="564">
                  <c:v>56.639657638888899</c:v>
                </c:pt>
                <c:pt idx="565">
                  <c:v>59.588248611111105</c:v>
                </c:pt>
                <c:pt idx="566">
                  <c:v>56.000000000000007</c:v>
                </c:pt>
                <c:pt idx="567">
                  <c:v>75</c:v>
                </c:pt>
                <c:pt idx="568">
                  <c:v>70.745808611111116</c:v>
                </c:pt>
                <c:pt idx="569">
                  <c:v>75.931059999999988</c:v>
                </c:pt>
                <c:pt idx="570">
                  <c:v>77.541000000000011</c:v>
                </c:pt>
                <c:pt idx="571">
                  <c:v>6.7526400000000013</c:v>
                </c:pt>
                <c:pt idx="572">
                  <c:v>-4.252915625</c:v>
                </c:pt>
                <c:pt idx="573">
                  <c:v>-3.6767377777777774</c:v>
                </c:pt>
                <c:pt idx="574">
                  <c:v>-5.1295250000000001</c:v>
                </c:pt>
                <c:pt idx="575">
                  <c:v>-5.4486333333333334</c:v>
                </c:pt>
                <c:pt idx="576">
                  <c:v>-9.6861548611111115</c:v>
                </c:pt>
                <c:pt idx="577">
                  <c:v>-7.2173291666666666</c:v>
                </c:pt>
                <c:pt idx="578">
                  <c:v>-6.8990974999999999</c:v>
                </c:pt>
                <c:pt idx="579">
                  <c:v>-0.86698125000000059</c:v>
                </c:pt>
                <c:pt idx="580">
                  <c:v>-0.48947833333333363</c:v>
                </c:pt>
                <c:pt idx="581">
                  <c:v>-2.9531555555555555</c:v>
                </c:pt>
                <c:pt idx="582">
                  <c:v>-1.6296268749999998</c:v>
                </c:pt>
                <c:pt idx="583">
                  <c:v>-4.3678911111111116</c:v>
                </c:pt>
                <c:pt idx="584">
                  <c:v>-0.27635916666666671</c:v>
                </c:pt>
                <c:pt idx="585">
                  <c:v>0</c:v>
                </c:pt>
                <c:pt idx="586">
                  <c:v>-1.1130955555555571</c:v>
                </c:pt>
                <c:pt idx="587">
                  <c:v>-2.5350555555555543</c:v>
                </c:pt>
                <c:pt idx="588">
                  <c:v>0.61210666666666469</c:v>
                </c:pt>
                <c:pt idx="589">
                  <c:v>-0.69573333333333154</c:v>
                </c:pt>
                <c:pt idx="590">
                  <c:v>7.7666666666670325E-3</c:v>
                </c:pt>
                <c:pt idx="591">
                  <c:v>-0.70315555555555409</c:v>
                </c:pt>
                <c:pt idx="592">
                  <c:v>3.5313033333333328</c:v>
                </c:pt>
                <c:pt idx="593">
                  <c:v>2.6448499999999986</c:v>
                </c:pt>
                <c:pt idx="594">
                  <c:v>1.8531333333333344</c:v>
                </c:pt>
                <c:pt idx="595">
                  <c:v>0.3030166666666681</c:v>
                </c:pt>
                <c:pt idx="596">
                  <c:v>2.022355555555555</c:v>
                </c:pt>
                <c:pt idx="597">
                  <c:v>0.86120633333333085</c:v>
                </c:pt>
                <c:pt idx="598">
                  <c:v>0.3537560000000009</c:v>
                </c:pt>
                <c:pt idx="599">
                  <c:v>6.0501275000000003</c:v>
                </c:pt>
                <c:pt idx="600">
                  <c:v>6.4050144444444452</c:v>
                </c:pt>
                <c:pt idx="601">
                  <c:v>5.6965729166666659</c:v>
                </c:pt>
                <c:pt idx="602">
                  <c:v>5.6317094444444438</c:v>
                </c:pt>
                <c:pt idx="603">
                  <c:v>7.7348130833333331</c:v>
                </c:pt>
                <c:pt idx="604">
                  <c:v>7.9441066666666673</c:v>
                </c:pt>
                <c:pt idx="605">
                  <c:v>7.4155263888888889</c:v>
                </c:pt>
                <c:pt idx="606">
                  <c:v>5.8835172500000006</c:v>
                </c:pt>
                <c:pt idx="607">
                  <c:v>2.1234837222222227</c:v>
                </c:pt>
                <c:pt idx="608">
                  <c:v>3.9349390000000004</c:v>
                </c:pt>
                <c:pt idx="609">
                  <c:v>2.4850572500000001</c:v>
                </c:pt>
                <c:pt idx="610">
                  <c:v>4.4693873333333345</c:v>
                </c:pt>
                <c:pt idx="611">
                  <c:v>-1.2406533333333336</c:v>
                </c:pt>
                <c:pt idx="612">
                  <c:v>1.8941841666666668</c:v>
                </c:pt>
                <c:pt idx="613">
                  <c:v>2.104306666666667</c:v>
                </c:pt>
                <c:pt idx="614">
                  <c:v>1.9689166666666666</c:v>
                </c:pt>
                <c:pt idx="615">
                  <c:v>1.5</c:v>
                </c:pt>
                <c:pt idx="616">
                  <c:v>3.9653607777777768</c:v>
                </c:pt>
                <c:pt idx="617">
                  <c:v>2.681699999999998</c:v>
                </c:pt>
                <c:pt idx="618">
                  <c:v>1.6380375000000029</c:v>
                </c:pt>
                <c:pt idx="619">
                  <c:v>2.5878246666666631</c:v>
                </c:pt>
                <c:pt idx="620">
                  <c:v>-0.53770416666666654</c:v>
                </c:pt>
                <c:pt idx="621">
                  <c:v>-1.4216212500000021</c:v>
                </c:pt>
                <c:pt idx="622">
                  <c:v>6.9996867777777778</c:v>
                </c:pt>
                <c:pt idx="623">
                  <c:v>30.14554166666667</c:v>
                </c:pt>
                <c:pt idx="624">
                  <c:v>75.843144166666661</c:v>
                </c:pt>
                <c:pt idx="625">
                  <c:v>42.084986666666666</c:v>
                </c:pt>
                <c:pt idx="626">
                  <c:v>32</c:v>
                </c:pt>
                <c:pt idx="627">
                  <c:v>22.311863333333338</c:v>
                </c:pt>
                <c:pt idx="628">
                  <c:v>13.388228333333336</c:v>
                </c:pt>
                <c:pt idx="629">
                  <c:v>23.319375000000001</c:v>
                </c:pt>
                <c:pt idx="630">
                  <c:v>35.566282777777779</c:v>
                </c:pt>
                <c:pt idx="631">
                  <c:v>33.908541666666665</c:v>
                </c:pt>
                <c:pt idx="632">
                  <c:v>33.436556666666661</c:v>
                </c:pt>
                <c:pt idx="633">
                  <c:v>18.569900000000001</c:v>
                </c:pt>
                <c:pt idx="634">
                  <c:v>17.217500000000001</c:v>
                </c:pt>
                <c:pt idx="635">
                  <c:v>15.493972916666667</c:v>
                </c:pt>
                <c:pt idx="636">
                  <c:v>11.622</c:v>
                </c:pt>
                <c:pt idx="637">
                  <c:v>3.0490400000000002</c:v>
                </c:pt>
                <c:pt idx="638">
                  <c:v>-2.9149366666666667</c:v>
                </c:pt>
                <c:pt idx="639">
                  <c:v>-0.76138888888888856</c:v>
                </c:pt>
                <c:pt idx="640">
                  <c:v>-1.1115900000000005</c:v>
                </c:pt>
                <c:pt idx="641">
                  <c:v>-1.4623833333333323</c:v>
                </c:pt>
                <c:pt idx="642">
                  <c:v>-0.91095312500000036</c:v>
                </c:pt>
                <c:pt idx="643">
                  <c:v>16.492100000000001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D-4057-B674-50A82F31B8AB}"/>
            </c:ext>
          </c:extLst>
        </c:ser>
        <c:ser>
          <c:idx val="5"/>
          <c:order val="5"/>
          <c:tx>
            <c:strRef>
              <c:f>Info!$W$1</c:f>
              <c:strCache>
                <c:ptCount val="1"/>
                <c:pt idx="0">
                  <c:v>15c - Call to Assess Market Dynamics, Possible Sourcing Requirements, and Available Liquidity/Stock</c:v>
                </c:pt>
              </c:strCache>
            </c:strRef>
          </c:tx>
          <c:spPr>
            <a:ln w="34925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Info!$A$24:$A$667</c:f>
              <c:numCache>
                <c:formatCode>m/d/yy</c:formatCode>
                <c:ptCount val="644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44977</c:v>
                </c:pt>
                <c:pt idx="34">
                  <c:v>44978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45009</c:v>
                </c:pt>
                <c:pt idx="58">
                  <c:v>45012</c:v>
                </c:pt>
                <c:pt idx="59">
                  <c:v>45013</c:v>
                </c:pt>
                <c:pt idx="60">
                  <c:v>45014</c:v>
                </c:pt>
                <c:pt idx="61">
                  <c:v>45015</c:v>
                </c:pt>
                <c:pt idx="62">
                  <c:v>45016</c:v>
                </c:pt>
                <c:pt idx="63">
                  <c:v>45019</c:v>
                </c:pt>
                <c:pt idx="64">
                  <c:v>45020</c:v>
                </c:pt>
                <c:pt idx="65">
                  <c:v>45021</c:v>
                </c:pt>
                <c:pt idx="66">
                  <c:v>45022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45048</c:v>
                </c:pt>
                <c:pt idx="82">
                  <c:v>45049</c:v>
                </c:pt>
                <c:pt idx="83">
                  <c:v>45050</c:v>
                </c:pt>
                <c:pt idx="84">
                  <c:v>45051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45071</c:v>
                </c:pt>
                <c:pt idx="98">
                  <c:v>45072</c:v>
                </c:pt>
                <c:pt idx="99">
                  <c:v>45076</c:v>
                </c:pt>
                <c:pt idx="100">
                  <c:v>45077</c:v>
                </c:pt>
                <c:pt idx="101">
                  <c:v>45078</c:v>
                </c:pt>
                <c:pt idx="102">
                  <c:v>45079</c:v>
                </c:pt>
                <c:pt idx="103">
                  <c:v>45082</c:v>
                </c:pt>
                <c:pt idx="104">
                  <c:v>45083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45096</c:v>
                </c:pt>
                <c:pt idx="114">
                  <c:v>45097</c:v>
                </c:pt>
                <c:pt idx="115">
                  <c:v>45098</c:v>
                </c:pt>
                <c:pt idx="116">
                  <c:v>45099</c:v>
                </c:pt>
                <c:pt idx="117">
                  <c:v>45100</c:v>
                </c:pt>
                <c:pt idx="118">
                  <c:v>45103</c:v>
                </c:pt>
                <c:pt idx="119">
                  <c:v>45104</c:v>
                </c:pt>
                <c:pt idx="120">
                  <c:v>45105</c:v>
                </c:pt>
                <c:pt idx="121">
                  <c:v>45106</c:v>
                </c:pt>
                <c:pt idx="122">
                  <c:v>45107</c:v>
                </c:pt>
                <c:pt idx="123">
                  <c:v>45110</c:v>
                </c:pt>
                <c:pt idx="124">
                  <c:v>45111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45167</c:v>
                </c:pt>
                <c:pt idx="164">
                  <c:v>45168</c:v>
                </c:pt>
                <c:pt idx="165">
                  <c:v>45169</c:v>
                </c:pt>
                <c:pt idx="166">
                  <c:v>45170</c:v>
                </c:pt>
                <c:pt idx="167">
                  <c:v>45173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45253</c:v>
                </c:pt>
                <c:pt idx="226">
                  <c:v>45254</c:v>
                </c:pt>
                <c:pt idx="227">
                  <c:v>45257</c:v>
                </c:pt>
                <c:pt idx="228">
                  <c:v>45258</c:v>
                </c:pt>
                <c:pt idx="229">
                  <c:v>45259</c:v>
                </c:pt>
                <c:pt idx="230">
                  <c:v>45260</c:v>
                </c:pt>
                <c:pt idx="231">
                  <c:v>45261</c:v>
                </c:pt>
                <c:pt idx="232">
                  <c:v>45264</c:v>
                </c:pt>
                <c:pt idx="233">
                  <c:v>45265</c:v>
                </c:pt>
                <c:pt idx="234">
                  <c:v>45266</c:v>
                </c:pt>
                <c:pt idx="235">
                  <c:v>45267</c:v>
                </c:pt>
                <c:pt idx="236">
                  <c:v>45268</c:v>
                </c:pt>
                <c:pt idx="237">
                  <c:v>45271</c:v>
                </c:pt>
                <c:pt idx="238">
                  <c:v>45272</c:v>
                </c:pt>
                <c:pt idx="239">
                  <c:v>45273</c:v>
                </c:pt>
                <c:pt idx="240">
                  <c:v>45274</c:v>
                </c:pt>
                <c:pt idx="241">
                  <c:v>45275</c:v>
                </c:pt>
                <c:pt idx="242">
                  <c:v>45278</c:v>
                </c:pt>
                <c:pt idx="243">
                  <c:v>45279</c:v>
                </c:pt>
                <c:pt idx="244">
                  <c:v>45280</c:v>
                </c:pt>
                <c:pt idx="245">
                  <c:v>45281</c:v>
                </c:pt>
                <c:pt idx="246">
                  <c:v>45282</c:v>
                </c:pt>
                <c:pt idx="247">
                  <c:v>45286</c:v>
                </c:pt>
                <c:pt idx="248">
                  <c:v>45287</c:v>
                </c:pt>
                <c:pt idx="249">
                  <c:v>45288</c:v>
                </c:pt>
                <c:pt idx="250">
                  <c:v>45289</c:v>
                </c:pt>
                <c:pt idx="251">
                  <c:v>45293</c:v>
                </c:pt>
                <c:pt idx="252">
                  <c:v>45294</c:v>
                </c:pt>
                <c:pt idx="253">
                  <c:v>45295</c:v>
                </c:pt>
                <c:pt idx="254">
                  <c:v>45296</c:v>
                </c:pt>
                <c:pt idx="255">
                  <c:v>45299</c:v>
                </c:pt>
                <c:pt idx="256">
                  <c:v>45300</c:v>
                </c:pt>
                <c:pt idx="257">
                  <c:v>45301</c:v>
                </c:pt>
                <c:pt idx="258">
                  <c:v>45302</c:v>
                </c:pt>
                <c:pt idx="259">
                  <c:v>45303</c:v>
                </c:pt>
                <c:pt idx="260">
                  <c:v>45306</c:v>
                </c:pt>
                <c:pt idx="261">
                  <c:v>45307</c:v>
                </c:pt>
                <c:pt idx="262">
                  <c:v>45308</c:v>
                </c:pt>
                <c:pt idx="263">
                  <c:v>45309</c:v>
                </c:pt>
                <c:pt idx="264">
                  <c:v>45310</c:v>
                </c:pt>
                <c:pt idx="265">
                  <c:v>45313</c:v>
                </c:pt>
                <c:pt idx="266">
                  <c:v>45314</c:v>
                </c:pt>
                <c:pt idx="267">
                  <c:v>45315</c:v>
                </c:pt>
                <c:pt idx="268">
                  <c:v>45316</c:v>
                </c:pt>
                <c:pt idx="269">
                  <c:v>45317</c:v>
                </c:pt>
                <c:pt idx="270">
                  <c:v>45320</c:v>
                </c:pt>
                <c:pt idx="271">
                  <c:v>45321</c:v>
                </c:pt>
                <c:pt idx="272">
                  <c:v>45322</c:v>
                </c:pt>
                <c:pt idx="273">
                  <c:v>45323</c:v>
                </c:pt>
                <c:pt idx="274">
                  <c:v>45324</c:v>
                </c:pt>
                <c:pt idx="275">
                  <c:v>45327</c:v>
                </c:pt>
                <c:pt idx="276">
                  <c:v>45328</c:v>
                </c:pt>
                <c:pt idx="277">
                  <c:v>45329</c:v>
                </c:pt>
                <c:pt idx="278">
                  <c:v>45330</c:v>
                </c:pt>
                <c:pt idx="279">
                  <c:v>45331</c:v>
                </c:pt>
                <c:pt idx="280">
                  <c:v>45334</c:v>
                </c:pt>
                <c:pt idx="281">
                  <c:v>45335</c:v>
                </c:pt>
                <c:pt idx="282">
                  <c:v>45336</c:v>
                </c:pt>
                <c:pt idx="283">
                  <c:v>45337</c:v>
                </c:pt>
                <c:pt idx="284">
                  <c:v>45338</c:v>
                </c:pt>
                <c:pt idx="285">
                  <c:v>45341</c:v>
                </c:pt>
                <c:pt idx="286">
                  <c:v>45342</c:v>
                </c:pt>
                <c:pt idx="287">
                  <c:v>45343</c:v>
                </c:pt>
                <c:pt idx="288">
                  <c:v>45344</c:v>
                </c:pt>
                <c:pt idx="289">
                  <c:v>45345</c:v>
                </c:pt>
                <c:pt idx="290">
                  <c:v>45348</c:v>
                </c:pt>
                <c:pt idx="291">
                  <c:v>45349</c:v>
                </c:pt>
                <c:pt idx="292">
                  <c:v>45350</c:v>
                </c:pt>
                <c:pt idx="293">
                  <c:v>45351</c:v>
                </c:pt>
                <c:pt idx="294">
                  <c:v>45352</c:v>
                </c:pt>
                <c:pt idx="295">
                  <c:v>45355</c:v>
                </c:pt>
                <c:pt idx="296">
                  <c:v>45356</c:v>
                </c:pt>
                <c:pt idx="297">
                  <c:v>45357</c:v>
                </c:pt>
                <c:pt idx="298">
                  <c:v>45358</c:v>
                </c:pt>
                <c:pt idx="299">
                  <c:v>45359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45384</c:v>
                </c:pt>
                <c:pt idx="315">
                  <c:v>45385</c:v>
                </c:pt>
                <c:pt idx="316">
                  <c:v>45386</c:v>
                </c:pt>
                <c:pt idx="317">
                  <c:v>45387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45397</c:v>
                </c:pt>
                <c:pt idx="324">
                  <c:v>45398</c:v>
                </c:pt>
                <c:pt idx="325">
                  <c:v>45399</c:v>
                </c:pt>
                <c:pt idx="326">
                  <c:v>45400</c:v>
                </c:pt>
                <c:pt idx="327">
                  <c:v>45404</c:v>
                </c:pt>
                <c:pt idx="328">
                  <c:v>45405</c:v>
                </c:pt>
                <c:pt idx="329">
                  <c:v>45406</c:v>
                </c:pt>
                <c:pt idx="330">
                  <c:v>45407</c:v>
                </c:pt>
                <c:pt idx="331">
                  <c:v>45408</c:v>
                </c:pt>
                <c:pt idx="332">
                  <c:v>45411</c:v>
                </c:pt>
                <c:pt idx="333">
                  <c:v>45412</c:v>
                </c:pt>
                <c:pt idx="334">
                  <c:v>45413</c:v>
                </c:pt>
                <c:pt idx="335">
                  <c:v>45414</c:v>
                </c:pt>
                <c:pt idx="336">
                  <c:v>45415</c:v>
                </c:pt>
                <c:pt idx="337">
                  <c:v>45418</c:v>
                </c:pt>
                <c:pt idx="338">
                  <c:v>45419</c:v>
                </c:pt>
                <c:pt idx="339">
                  <c:v>45420</c:v>
                </c:pt>
                <c:pt idx="340">
                  <c:v>45421</c:v>
                </c:pt>
                <c:pt idx="341">
                  <c:v>45422</c:v>
                </c:pt>
                <c:pt idx="342">
                  <c:v>45425</c:v>
                </c:pt>
                <c:pt idx="343">
                  <c:v>45426</c:v>
                </c:pt>
                <c:pt idx="344">
                  <c:v>45427</c:v>
                </c:pt>
                <c:pt idx="345">
                  <c:v>45428</c:v>
                </c:pt>
                <c:pt idx="346">
                  <c:v>45429</c:v>
                </c:pt>
                <c:pt idx="347">
                  <c:v>45432</c:v>
                </c:pt>
                <c:pt idx="348">
                  <c:v>45433</c:v>
                </c:pt>
                <c:pt idx="349">
                  <c:v>45434</c:v>
                </c:pt>
                <c:pt idx="350">
                  <c:v>45435</c:v>
                </c:pt>
                <c:pt idx="351">
                  <c:v>45436</c:v>
                </c:pt>
                <c:pt idx="352">
                  <c:v>45439</c:v>
                </c:pt>
                <c:pt idx="353">
                  <c:v>45440</c:v>
                </c:pt>
                <c:pt idx="354">
                  <c:v>45441</c:v>
                </c:pt>
                <c:pt idx="355">
                  <c:v>45442</c:v>
                </c:pt>
                <c:pt idx="356">
                  <c:v>45443</c:v>
                </c:pt>
                <c:pt idx="357">
                  <c:v>45446</c:v>
                </c:pt>
                <c:pt idx="358">
                  <c:v>45447</c:v>
                </c:pt>
                <c:pt idx="359">
                  <c:v>45448</c:v>
                </c:pt>
                <c:pt idx="360">
                  <c:v>45449</c:v>
                </c:pt>
                <c:pt idx="361">
                  <c:v>45450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45460</c:v>
                </c:pt>
                <c:pt idx="368">
                  <c:v>45461</c:v>
                </c:pt>
                <c:pt idx="369">
                  <c:v>45462</c:v>
                </c:pt>
                <c:pt idx="370">
                  <c:v>45463</c:v>
                </c:pt>
                <c:pt idx="371">
                  <c:v>45464</c:v>
                </c:pt>
                <c:pt idx="372">
                  <c:v>45467</c:v>
                </c:pt>
                <c:pt idx="373">
                  <c:v>45468</c:v>
                </c:pt>
                <c:pt idx="374">
                  <c:v>45469</c:v>
                </c:pt>
                <c:pt idx="375">
                  <c:v>45470</c:v>
                </c:pt>
                <c:pt idx="376">
                  <c:v>45471</c:v>
                </c:pt>
                <c:pt idx="377">
                  <c:v>45474</c:v>
                </c:pt>
                <c:pt idx="378">
                  <c:v>45475</c:v>
                </c:pt>
                <c:pt idx="379">
                  <c:v>45476</c:v>
                </c:pt>
                <c:pt idx="380">
                  <c:v>45477</c:v>
                </c:pt>
                <c:pt idx="381">
                  <c:v>45478</c:v>
                </c:pt>
                <c:pt idx="382">
                  <c:v>45481</c:v>
                </c:pt>
                <c:pt idx="383">
                  <c:v>45482</c:v>
                </c:pt>
                <c:pt idx="384">
                  <c:v>45483</c:v>
                </c:pt>
                <c:pt idx="385">
                  <c:v>45484</c:v>
                </c:pt>
                <c:pt idx="386">
                  <c:v>45485</c:v>
                </c:pt>
                <c:pt idx="387">
                  <c:v>45488</c:v>
                </c:pt>
                <c:pt idx="388">
                  <c:v>45489</c:v>
                </c:pt>
                <c:pt idx="389">
                  <c:v>45490</c:v>
                </c:pt>
                <c:pt idx="390">
                  <c:v>45491</c:v>
                </c:pt>
                <c:pt idx="391">
                  <c:v>45492</c:v>
                </c:pt>
                <c:pt idx="392">
                  <c:v>45495</c:v>
                </c:pt>
                <c:pt idx="393">
                  <c:v>45496</c:v>
                </c:pt>
                <c:pt idx="394">
                  <c:v>45497</c:v>
                </c:pt>
                <c:pt idx="395">
                  <c:v>45498</c:v>
                </c:pt>
                <c:pt idx="396">
                  <c:v>45499</c:v>
                </c:pt>
                <c:pt idx="397">
                  <c:v>45502</c:v>
                </c:pt>
                <c:pt idx="398">
                  <c:v>45503</c:v>
                </c:pt>
                <c:pt idx="399">
                  <c:v>45504</c:v>
                </c:pt>
                <c:pt idx="400">
                  <c:v>45505</c:v>
                </c:pt>
                <c:pt idx="401">
                  <c:v>45506</c:v>
                </c:pt>
                <c:pt idx="402">
                  <c:v>45509</c:v>
                </c:pt>
                <c:pt idx="403">
                  <c:v>45510</c:v>
                </c:pt>
                <c:pt idx="404">
                  <c:v>45511</c:v>
                </c:pt>
                <c:pt idx="405">
                  <c:v>45512</c:v>
                </c:pt>
                <c:pt idx="406">
                  <c:v>45513</c:v>
                </c:pt>
                <c:pt idx="407">
                  <c:v>45516</c:v>
                </c:pt>
                <c:pt idx="408">
                  <c:v>45517</c:v>
                </c:pt>
                <c:pt idx="409">
                  <c:v>45518</c:v>
                </c:pt>
                <c:pt idx="410">
                  <c:v>45519</c:v>
                </c:pt>
                <c:pt idx="411">
                  <c:v>45520</c:v>
                </c:pt>
                <c:pt idx="412">
                  <c:v>45523</c:v>
                </c:pt>
                <c:pt idx="413">
                  <c:v>45524</c:v>
                </c:pt>
                <c:pt idx="414">
                  <c:v>45525</c:v>
                </c:pt>
                <c:pt idx="415">
                  <c:v>45526</c:v>
                </c:pt>
                <c:pt idx="416">
                  <c:v>45527</c:v>
                </c:pt>
                <c:pt idx="417">
                  <c:v>45530</c:v>
                </c:pt>
                <c:pt idx="418">
                  <c:v>45531</c:v>
                </c:pt>
                <c:pt idx="419">
                  <c:v>45532</c:v>
                </c:pt>
                <c:pt idx="420">
                  <c:v>45533</c:v>
                </c:pt>
                <c:pt idx="421">
                  <c:v>45534</c:v>
                </c:pt>
                <c:pt idx="422">
                  <c:v>45537</c:v>
                </c:pt>
                <c:pt idx="423">
                  <c:v>45538</c:v>
                </c:pt>
                <c:pt idx="424">
                  <c:v>45539</c:v>
                </c:pt>
                <c:pt idx="425">
                  <c:v>45540</c:v>
                </c:pt>
                <c:pt idx="426">
                  <c:v>45541</c:v>
                </c:pt>
                <c:pt idx="427">
                  <c:v>45544</c:v>
                </c:pt>
                <c:pt idx="428">
                  <c:v>45545</c:v>
                </c:pt>
                <c:pt idx="429">
                  <c:v>45546</c:v>
                </c:pt>
                <c:pt idx="430">
                  <c:v>45547</c:v>
                </c:pt>
                <c:pt idx="431">
                  <c:v>45548</c:v>
                </c:pt>
                <c:pt idx="432">
                  <c:v>45551</c:v>
                </c:pt>
                <c:pt idx="433">
                  <c:v>45552</c:v>
                </c:pt>
                <c:pt idx="434">
                  <c:v>45553</c:v>
                </c:pt>
                <c:pt idx="435">
                  <c:v>45554</c:v>
                </c:pt>
                <c:pt idx="436">
                  <c:v>45555</c:v>
                </c:pt>
                <c:pt idx="437">
                  <c:v>45558</c:v>
                </c:pt>
                <c:pt idx="438">
                  <c:v>45559</c:v>
                </c:pt>
                <c:pt idx="439">
                  <c:v>45560</c:v>
                </c:pt>
                <c:pt idx="440">
                  <c:v>45561</c:v>
                </c:pt>
                <c:pt idx="441">
                  <c:v>45562</c:v>
                </c:pt>
                <c:pt idx="442">
                  <c:v>45565</c:v>
                </c:pt>
                <c:pt idx="443">
                  <c:v>45566</c:v>
                </c:pt>
                <c:pt idx="444">
                  <c:v>45567</c:v>
                </c:pt>
                <c:pt idx="445">
                  <c:v>45568</c:v>
                </c:pt>
                <c:pt idx="446">
                  <c:v>45569</c:v>
                </c:pt>
                <c:pt idx="447">
                  <c:v>45572</c:v>
                </c:pt>
                <c:pt idx="448">
                  <c:v>45573</c:v>
                </c:pt>
                <c:pt idx="449">
                  <c:v>45574</c:v>
                </c:pt>
                <c:pt idx="450">
                  <c:v>45575</c:v>
                </c:pt>
                <c:pt idx="451">
                  <c:v>45576</c:v>
                </c:pt>
                <c:pt idx="452">
                  <c:v>45579</c:v>
                </c:pt>
                <c:pt idx="453">
                  <c:v>45580</c:v>
                </c:pt>
                <c:pt idx="454">
                  <c:v>45581</c:v>
                </c:pt>
                <c:pt idx="455">
                  <c:v>45582</c:v>
                </c:pt>
                <c:pt idx="456">
                  <c:v>45583</c:v>
                </c:pt>
                <c:pt idx="457">
                  <c:v>45586</c:v>
                </c:pt>
                <c:pt idx="458">
                  <c:v>45587</c:v>
                </c:pt>
                <c:pt idx="459">
                  <c:v>45588</c:v>
                </c:pt>
                <c:pt idx="460">
                  <c:v>45589</c:v>
                </c:pt>
                <c:pt idx="461">
                  <c:v>45590</c:v>
                </c:pt>
                <c:pt idx="462">
                  <c:v>45593</c:v>
                </c:pt>
                <c:pt idx="463">
                  <c:v>45594</c:v>
                </c:pt>
                <c:pt idx="464">
                  <c:v>45595</c:v>
                </c:pt>
                <c:pt idx="465">
                  <c:v>45596</c:v>
                </c:pt>
                <c:pt idx="466">
                  <c:v>45597</c:v>
                </c:pt>
                <c:pt idx="467">
                  <c:v>45600</c:v>
                </c:pt>
                <c:pt idx="468">
                  <c:v>45601</c:v>
                </c:pt>
                <c:pt idx="469">
                  <c:v>45602</c:v>
                </c:pt>
                <c:pt idx="470">
                  <c:v>45603</c:v>
                </c:pt>
                <c:pt idx="471">
                  <c:v>45604</c:v>
                </c:pt>
                <c:pt idx="472">
                  <c:v>45608</c:v>
                </c:pt>
                <c:pt idx="473">
                  <c:v>45609</c:v>
                </c:pt>
                <c:pt idx="474">
                  <c:v>45610</c:v>
                </c:pt>
                <c:pt idx="475">
                  <c:v>45611</c:v>
                </c:pt>
                <c:pt idx="476">
                  <c:v>45614</c:v>
                </c:pt>
                <c:pt idx="477">
                  <c:v>45615</c:v>
                </c:pt>
                <c:pt idx="478">
                  <c:v>45616</c:v>
                </c:pt>
                <c:pt idx="479">
                  <c:v>45617</c:v>
                </c:pt>
                <c:pt idx="480">
                  <c:v>45618</c:v>
                </c:pt>
                <c:pt idx="481">
                  <c:v>45621</c:v>
                </c:pt>
                <c:pt idx="482">
                  <c:v>45622</c:v>
                </c:pt>
                <c:pt idx="483">
                  <c:v>45623</c:v>
                </c:pt>
                <c:pt idx="484">
                  <c:v>45624</c:v>
                </c:pt>
                <c:pt idx="485">
                  <c:v>45625</c:v>
                </c:pt>
                <c:pt idx="486">
                  <c:v>45628</c:v>
                </c:pt>
                <c:pt idx="487">
                  <c:v>45629</c:v>
                </c:pt>
                <c:pt idx="488">
                  <c:v>45630</c:v>
                </c:pt>
                <c:pt idx="489">
                  <c:v>45631</c:v>
                </c:pt>
                <c:pt idx="490">
                  <c:v>45632</c:v>
                </c:pt>
                <c:pt idx="491">
                  <c:v>45635</c:v>
                </c:pt>
                <c:pt idx="492">
                  <c:v>45636</c:v>
                </c:pt>
                <c:pt idx="493">
                  <c:v>45637</c:v>
                </c:pt>
                <c:pt idx="494">
                  <c:v>45638</c:v>
                </c:pt>
                <c:pt idx="495">
                  <c:v>45639</c:v>
                </c:pt>
                <c:pt idx="496">
                  <c:v>45642</c:v>
                </c:pt>
                <c:pt idx="497">
                  <c:v>45643</c:v>
                </c:pt>
                <c:pt idx="498">
                  <c:v>45644</c:v>
                </c:pt>
                <c:pt idx="499">
                  <c:v>45645</c:v>
                </c:pt>
                <c:pt idx="500">
                  <c:v>45646</c:v>
                </c:pt>
                <c:pt idx="501">
                  <c:v>45649</c:v>
                </c:pt>
                <c:pt idx="502">
                  <c:v>45650</c:v>
                </c:pt>
                <c:pt idx="503">
                  <c:v>45653</c:v>
                </c:pt>
                <c:pt idx="504">
                  <c:v>45656</c:v>
                </c:pt>
                <c:pt idx="505">
                  <c:v>45657</c:v>
                </c:pt>
                <c:pt idx="506">
                  <c:v>45659</c:v>
                </c:pt>
                <c:pt idx="507">
                  <c:v>45660</c:v>
                </c:pt>
                <c:pt idx="508">
                  <c:v>45663</c:v>
                </c:pt>
                <c:pt idx="509">
                  <c:v>45664</c:v>
                </c:pt>
                <c:pt idx="510">
                  <c:v>45665</c:v>
                </c:pt>
                <c:pt idx="511">
                  <c:v>45666</c:v>
                </c:pt>
                <c:pt idx="512">
                  <c:v>45667</c:v>
                </c:pt>
                <c:pt idx="513">
                  <c:v>45670</c:v>
                </c:pt>
                <c:pt idx="514">
                  <c:v>45671</c:v>
                </c:pt>
                <c:pt idx="515">
                  <c:v>45672</c:v>
                </c:pt>
                <c:pt idx="516">
                  <c:v>45673</c:v>
                </c:pt>
                <c:pt idx="517">
                  <c:v>45674</c:v>
                </c:pt>
                <c:pt idx="518">
                  <c:v>45677</c:v>
                </c:pt>
                <c:pt idx="519">
                  <c:v>45678</c:v>
                </c:pt>
                <c:pt idx="520">
                  <c:v>45679</c:v>
                </c:pt>
                <c:pt idx="521">
                  <c:v>45680</c:v>
                </c:pt>
                <c:pt idx="522">
                  <c:v>45681</c:v>
                </c:pt>
                <c:pt idx="523">
                  <c:v>45684</c:v>
                </c:pt>
                <c:pt idx="524">
                  <c:v>45685</c:v>
                </c:pt>
                <c:pt idx="525">
                  <c:v>45686</c:v>
                </c:pt>
                <c:pt idx="526">
                  <c:v>45687</c:v>
                </c:pt>
                <c:pt idx="527">
                  <c:v>45688</c:v>
                </c:pt>
                <c:pt idx="528">
                  <c:v>45691</c:v>
                </c:pt>
                <c:pt idx="529">
                  <c:v>45692</c:v>
                </c:pt>
                <c:pt idx="530">
                  <c:v>45693</c:v>
                </c:pt>
                <c:pt idx="531">
                  <c:v>45694</c:v>
                </c:pt>
                <c:pt idx="532">
                  <c:v>45695</c:v>
                </c:pt>
                <c:pt idx="533">
                  <c:v>45698</c:v>
                </c:pt>
                <c:pt idx="534">
                  <c:v>45699</c:v>
                </c:pt>
                <c:pt idx="535">
                  <c:v>45700</c:v>
                </c:pt>
                <c:pt idx="536">
                  <c:v>45701</c:v>
                </c:pt>
                <c:pt idx="537">
                  <c:v>45702</c:v>
                </c:pt>
                <c:pt idx="538">
                  <c:v>45705</c:v>
                </c:pt>
                <c:pt idx="539">
                  <c:v>45706</c:v>
                </c:pt>
                <c:pt idx="540">
                  <c:v>45707</c:v>
                </c:pt>
                <c:pt idx="541">
                  <c:v>45708</c:v>
                </c:pt>
                <c:pt idx="542">
                  <c:v>45709</c:v>
                </c:pt>
                <c:pt idx="543">
                  <c:v>45712</c:v>
                </c:pt>
                <c:pt idx="544">
                  <c:v>45713</c:v>
                </c:pt>
                <c:pt idx="545">
                  <c:v>45714</c:v>
                </c:pt>
                <c:pt idx="546">
                  <c:v>45715</c:v>
                </c:pt>
                <c:pt idx="547">
                  <c:v>45716</c:v>
                </c:pt>
                <c:pt idx="548">
                  <c:v>45719</c:v>
                </c:pt>
                <c:pt idx="549">
                  <c:v>45720</c:v>
                </c:pt>
                <c:pt idx="550">
                  <c:v>45721</c:v>
                </c:pt>
                <c:pt idx="551">
                  <c:v>45722</c:v>
                </c:pt>
                <c:pt idx="552">
                  <c:v>45723</c:v>
                </c:pt>
                <c:pt idx="553">
                  <c:v>45726</c:v>
                </c:pt>
                <c:pt idx="554">
                  <c:v>45727</c:v>
                </c:pt>
                <c:pt idx="555">
                  <c:v>45728</c:v>
                </c:pt>
                <c:pt idx="556">
                  <c:v>45729</c:v>
                </c:pt>
                <c:pt idx="557">
                  <c:v>45730</c:v>
                </c:pt>
                <c:pt idx="558">
                  <c:v>45733</c:v>
                </c:pt>
                <c:pt idx="559">
                  <c:v>45734</c:v>
                </c:pt>
                <c:pt idx="560">
                  <c:v>45735</c:v>
                </c:pt>
                <c:pt idx="561">
                  <c:v>45736</c:v>
                </c:pt>
                <c:pt idx="562">
                  <c:v>45737</c:v>
                </c:pt>
                <c:pt idx="563">
                  <c:v>45740</c:v>
                </c:pt>
                <c:pt idx="564">
                  <c:v>45741</c:v>
                </c:pt>
                <c:pt idx="565">
                  <c:v>45742</c:v>
                </c:pt>
                <c:pt idx="566">
                  <c:v>45743</c:v>
                </c:pt>
                <c:pt idx="567">
                  <c:v>45744</c:v>
                </c:pt>
                <c:pt idx="568">
                  <c:v>45747</c:v>
                </c:pt>
                <c:pt idx="569">
                  <c:v>45748</c:v>
                </c:pt>
                <c:pt idx="570">
                  <c:v>45749</c:v>
                </c:pt>
                <c:pt idx="571">
                  <c:v>45750</c:v>
                </c:pt>
                <c:pt idx="572">
                  <c:v>45751</c:v>
                </c:pt>
                <c:pt idx="573">
                  <c:v>45754</c:v>
                </c:pt>
                <c:pt idx="574">
                  <c:v>45755</c:v>
                </c:pt>
                <c:pt idx="575">
                  <c:v>45756</c:v>
                </c:pt>
                <c:pt idx="576">
                  <c:v>45757</c:v>
                </c:pt>
                <c:pt idx="577">
                  <c:v>45761</c:v>
                </c:pt>
                <c:pt idx="578">
                  <c:v>45762</c:v>
                </c:pt>
                <c:pt idx="579">
                  <c:v>45763</c:v>
                </c:pt>
                <c:pt idx="580">
                  <c:v>45764</c:v>
                </c:pt>
                <c:pt idx="581">
                  <c:v>45768</c:v>
                </c:pt>
                <c:pt idx="582">
                  <c:v>45771</c:v>
                </c:pt>
                <c:pt idx="583">
                  <c:v>45772</c:v>
                </c:pt>
                <c:pt idx="584">
                  <c:v>45775</c:v>
                </c:pt>
                <c:pt idx="585">
                  <c:v>45776</c:v>
                </c:pt>
                <c:pt idx="586">
                  <c:v>45784</c:v>
                </c:pt>
                <c:pt idx="587">
                  <c:v>45785</c:v>
                </c:pt>
                <c:pt idx="588">
                  <c:v>45789</c:v>
                </c:pt>
                <c:pt idx="589">
                  <c:v>45790</c:v>
                </c:pt>
                <c:pt idx="590">
                  <c:v>45796</c:v>
                </c:pt>
                <c:pt idx="591">
                  <c:v>45797</c:v>
                </c:pt>
                <c:pt idx="592">
                  <c:v>45798</c:v>
                </c:pt>
                <c:pt idx="593">
                  <c:v>45799</c:v>
                </c:pt>
                <c:pt idx="594">
                  <c:v>45800</c:v>
                </c:pt>
                <c:pt idx="595">
                  <c:v>45804</c:v>
                </c:pt>
                <c:pt idx="596">
                  <c:v>45805</c:v>
                </c:pt>
                <c:pt idx="597">
                  <c:v>45806</c:v>
                </c:pt>
                <c:pt idx="598">
                  <c:v>45807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45821</c:v>
                </c:pt>
                <c:pt idx="608">
                  <c:v>45824</c:v>
                </c:pt>
                <c:pt idx="609">
                  <c:v>45825</c:v>
                </c:pt>
                <c:pt idx="610">
                  <c:v>45826</c:v>
                </c:pt>
                <c:pt idx="611">
                  <c:v>45828</c:v>
                </c:pt>
                <c:pt idx="612">
                  <c:v>45831</c:v>
                </c:pt>
                <c:pt idx="613">
                  <c:v>45832</c:v>
                </c:pt>
                <c:pt idx="614">
                  <c:v>45833</c:v>
                </c:pt>
                <c:pt idx="615">
                  <c:v>45835</c:v>
                </c:pt>
                <c:pt idx="616">
                  <c:v>45838</c:v>
                </c:pt>
                <c:pt idx="617">
                  <c:v>45839</c:v>
                </c:pt>
                <c:pt idx="618">
                  <c:v>45840</c:v>
                </c:pt>
                <c:pt idx="619">
                  <c:v>45841</c:v>
                </c:pt>
                <c:pt idx="620">
                  <c:v>45845</c:v>
                </c:pt>
                <c:pt idx="621">
                  <c:v>45846</c:v>
                </c:pt>
                <c:pt idx="622">
                  <c:v>45847</c:v>
                </c:pt>
                <c:pt idx="623">
                  <c:v>45848</c:v>
                </c:pt>
                <c:pt idx="624">
                  <c:v>45849</c:v>
                </c:pt>
                <c:pt idx="625">
                  <c:v>45852</c:v>
                </c:pt>
                <c:pt idx="626">
                  <c:v>45853</c:v>
                </c:pt>
                <c:pt idx="627">
                  <c:v>45854</c:v>
                </c:pt>
                <c:pt idx="628">
                  <c:v>45855</c:v>
                </c:pt>
                <c:pt idx="629">
                  <c:v>45856</c:v>
                </c:pt>
                <c:pt idx="630">
                  <c:v>45859</c:v>
                </c:pt>
                <c:pt idx="631">
                  <c:v>45860</c:v>
                </c:pt>
                <c:pt idx="632">
                  <c:v>45861</c:v>
                </c:pt>
                <c:pt idx="633">
                  <c:v>45862</c:v>
                </c:pt>
                <c:pt idx="634">
                  <c:v>45863</c:v>
                </c:pt>
                <c:pt idx="635">
                  <c:v>45866</c:v>
                </c:pt>
                <c:pt idx="636">
                  <c:v>45867</c:v>
                </c:pt>
                <c:pt idx="637">
                  <c:v>45868</c:v>
                </c:pt>
                <c:pt idx="638">
                  <c:v>45869</c:v>
                </c:pt>
                <c:pt idx="639">
                  <c:v>45870</c:v>
                </c:pt>
                <c:pt idx="640">
                  <c:v>45873</c:v>
                </c:pt>
                <c:pt idx="641">
                  <c:v>45874</c:v>
                </c:pt>
                <c:pt idx="642">
                  <c:v>45875</c:v>
                </c:pt>
                <c:pt idx="643">
                  <c:v>45876</c:v>
                </c:pt>
              </c:numCache>
            </c:numRef>
          </c:cat>
          <c:val>
            <c:numRef>
              <c:f>Info!$W$24:$W$667</c:f>
              <c:numCache>
                <c:formatCode>General</c:formatCode>
                <c:ptCount val="644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15</c:v>
                </c:pt>
                <c:pt idx="412">
                  <c:v>15</c:v>
                </c:pt>
                <c:pt idx="413">
                  <c:v>15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15</c:v>
                </c:pt>
                <c:pt idx="420">
                  <c:v>15</c:v>
                </c:pt>
                <c:pt idx="421">
                  <c:v>15</c:v>
                </c:pt>
                <c:pt idx="422">
                  <c:v>15</c:v>
                </c:pt>
                <c:pt idx="423">
                  <c:v>15</c:v>
                </c:pt>
                <c:pt idx="424">
                  <c:v>15</c:v>
                </c:pt>
                <c:pt idx="425">
                  <c:v>15</c:v>
                </c:pt>
                <c:pt idx="426">
                  <c:v>15</c:v>
                </c:pt>
                <c:pt idx="427">
                  <c:v>15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15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2D-4057-B674-50A82F31B8AB}"/>
            </c:ext>
          </c:extLst>
        </c:ser>
        <c:ser>
          <c:idx val="6"/>
          <c:order val="6"/>
          <c:tx>
            <c:strRef>
              <c:f>Info!$X$1</c:f>
              <c:strCache>
                <c:ptCount val="1"/>
                <c:pt idx="0">
                  <c:v>20c for 5 Consecutive Business Days - 75% Cover, 50% Utilisation from 1st Active Contract</c:v>
                </c:pt>
              </c:strCache>
            </c:strRef>
          </c:tx>
          <c:spPr>
            <a:ln w="34925" cap="rnd">
              <a:solidFill>
                <a:srgbClr val="FFC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Info!$A$24:$A$667</c:f>
              <c:numCache>
                <c:formatCode>m/d/yy</c:formatCode>
                <c:ptCount val="644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44977</c:v>
                </c:pt>
                <c:pt idx="34">
                  <c:v>44978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45009</c:v>
                </c:pt>
                <c:pt idx="58">
                  <c:v>45012</c:v>
                </c:pt>
                <c:pt idx="59">
                  <c:v>45013</c:v>
                </c:pt>
                <c:pt idx="60">
                  <c:v>45014</c:v>
                </c:pt>
                <c:pt idx="61">
                  <c:v>45015</c:v>
                </c:pt>
                <c:pt idx="62">
                  <c:v>45016</c:v>
                </c:pt>
                <c:pt idx="63">
                  <c:v>45019</c:v>
                </c:pt>
                <c:pt idx="64">
                  <c:v>45020</c:v>
                </c:pt>
                <c:pt idx="65">
                  <c:v>45021</c:v>
                </c:pt>
                <c:pt idx="66">
                  <c:v>45022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45048</c:v>
                </c:pt>
                <c:pt idx="82">
                  <c:v>45049</c:v>
                </c:pt>
                <c:pt idx="83">
                  <c:v>45050</c:v>
                </c:pt>
                <c:pt idx="84">
                  <c:v>45051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45071</c:v>
                </c:pt>
                <c:pt idx="98">
                  <c:v>45072</c:v>
                </c:pt>
                <c:pt idx="99">
                  <c:v>45076</c:v>
                </c:pt>
                <c:pt idx="100">
                  <c:v>45077</c:v>
                </c:pt>
                <c:pt idx="101">
                  <c:v>45078</c:v>
                </c:pt>
                <c:pt idx="102">
                  <c:v>45079</c:v>
                </c:pt>
                <c:pt idx="103">
                  <c:v>45082</c:v>
                </c:pt>
                <c:pt idx="104">
                  <c:v>45083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45096</c:v>
                </c:pt>
                <c:pt idx="114">
                  <c:v>45097</c:v>
                </c:pt>
                <c:pt idx="115">
                  <c:v>45098</c:v>
                </c:pt>
                <c:pt idx="116">
                  <c:v>45099</c:v>
                </c:pt>
                <c:pt idx="117">
                  <c:v>45100</c:v>
                </c:pt>
                <c:pt idx="118">
                  <c:v>45103</c:v>
                </c:pt>
                <c:pt idx="119">
                  <c:v>45104</c:v>
                </c:pt>
                <c:pt idx="120">
                  <c:v>45105</c:v>
                </c:pt>
                <c:pt idx="121">
                  <c:v>45106</c:v>
                </c:pt>
                <c:pt idx="122">
                  <c:v>45107</c:v>
                </c:pt>
                <c:pt idx="123">
                  <c:v>45110</c:v>
                </c:pt>
                <c:pt idx="124">
                  <c:v>45111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45167</c:v>
                </c:pt>
                <c:pt idx="164">
                  <c:v>45168</c:v>
                </c:pt>
                <c:pt idx="165">
                  <c:v>45169</c:v>
                </c:pt>
                <c:pt idx="166">
                  <c:v>45170</c:v>
                </c:pt>
                <c:pt idx="167">
                  <c:v>45173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45253</c:v>
                </c:pt>
                <c:pt idx="226">
                  <c:v>45254</c:v>
                </c:pt>
                <c:pt idx="227">
                  <c:v>45257</c:v>
                </c:pt>
                <c:pt idx="228">
                  <c:v>45258</c:v>
                </c:pt>
                <c:pt idx="229">
                  <c:v>45259</c:v>
                </c:pt>
                <c:pt idx="230">
                  <c:v>45260</c:v>
                </c:pt>
                <c:pt idx="231">
                  <c:v>45261</c:v>
                </c:pt>
                <c:pt idx="232">
                  <c:v>45264</c:v>
                </c:pt>
                <c:pt idx="233">
                  <c:v>45265</c:v>
                </c:pt>
                <c:pt idx="234">
                  <c:v>45266</c:v>
                </c:pt>
                <c:pt idx="235">
                  <c:v>45267</c:v>
                </c:pt>
                <c:pt idx="236">
                  <c:v>45268</c:v>
                </c:pt>
                <c:pt idx="237">
                  <c:v>45271</c:v>
                </c:pt>
                <c:pt idx="238">
                  <c:v>45272</c:v>
                </c:pt>
                <c:pt idx="239">
                  <c:v>45273</c:v>
                </c:pt>
                <c:pt idx="240">
                  <c:v>45274</c:v>
                </c:pt>
                <c:pt idx="241">
                  <c:v>45275</c:v>
                </c:pt>
                <c:pt idx="242">
                  <c:v>45278</c:v>
                </c:pt>
                <c:pt idx="243">
                  <c:v>45279</c:v>
                </c:pt>
                <c:pt idx="244">
                  <c:v>45280</c:v>
                </c:pt>
                <c:pt idx="245">
                  <c:v>45281</c:v>
                </c:pt>
                <c:pt idx="246">
                  <c:v>45282</c:v>
                </c:pt>
                <c:pt idx="247">
                  <c:v>45286</c:v>
                </c:pt>
                <c:pt idx="248">
                  <c:v>45287</c:v>
                </c:pt>
                <c:pt idx="249">
                  <c:v>45288</c:v>
                </c:pt>
                <c:pt idx="250">
                  <c:v>45289</c:v>
                </c:pt>
                <c:pt idx="251">
                  <c:v>45293</c:v>
                </c:pt>
                <c:pt idx="252">
                  <c:v>45294</c:v>
                </c:pt>
                <c:pt idx="253">
                  <c:v>45295</c:v>
                </c:pt>
                <c:pt idx="254">
                  <c:v>45296</c:v>
                </c:pt>
                <c:pt idx="255">
                  <c:v>45299</c:v>
                </c:pt>
                <c:pt idx="256">
                  <c:v>45300</c:v>
                </c:pt>
                <c:pt idx="257">
                  <c:v>45301</c:v>
                </c:pt>
                <c:pt idx="258">
                  <c:v>45302</c:v>
                </c:pt>
                <c:pt idx="259">
                  <c:v>45303</c:v>
                </c:pt>
                <c:pt idx="260">
                  <c:v>45306</c:v>
                </c:pt>
                <c:pt idx="261">
                  <c:v>45307</c:v>
                </c:pt>
                <c:pt idx="262">
                  <c:v>45308</c:v>
                </c:pt>
                <c:pt idx="263">
                  <c:v>45309</c:v>
                </c:pt>
                <c:pt idx="264">
                  <c:v>45310</c:v>
                </c:pt>
                <c:pt idx="265">
                  <c:v>45313</c:v>
                </c:pt>
                <c:pt idx="266">
                  <c:v>45314</c:v>
                </c:pt>
                <c:pt idx="267">
                  <c:v>45315</c:v>
                </c:pt>
                <c:pt idx="268">
                  <c:v>45316</c:v>
                </c:pt>
                <c:pt idx="269">
                  <c:v>45317</c:v>
                </c:pt>
                <c:pt idx="270">
                  <c:v>45320</c:v>
                </c:pt>
                <c:pt idx="271">
                  <c:v>45321</c:v>
                </c:pt>
                <c:pt idx="272">
                  <c:v>45322</c:v>
                </c:pt>
                <c:pt idx="273">
                  <c:v>45323</c:v>
                </c:pt>
                <c:pt idx="274">
                  <c:v>45324</c:v>
                </c:pt>
                <c:pt idx="275">
                  <c:v>45327</c:v>
                </c:pt>
                <c:pt idx="276">
                  <c:v>45328</c:v>
                </c:pt>
                <c:pt idx="277">
                  <c:v>45329</c:v>
                </c:pt>
                <c:pt idx="278">
                  <c:v>45330</c:v>
                </c:pt>
                <c:pt idx="279">
                  <c:v>45331</c:v>
                </c:pt>
                <c:pt idx="280">
                  <c:v>45334</c:v>
                </c:pt>
                <c:pt idx="281">
                  <c:v>45335</c:v>
                </c:pt>
                <c:pt idx="282">
                  <c:v>45336</c:v>
                </c:pt>
                <c:pt idx="283">
                  <c:v>45337</c:v>
                </c:pt>
                <c:pt idx="284">
                  <c:v>45338</c:v>
                </c:pt>
                <c:pt idx="285">
                  <c:v>45341</c:v>
                </c:pt>
                <c:pt idx="286">
                  <c:v>45342</c:v>
                </c:pt>
                <c:pt idx="287">
                  <c:v>45343</c:v>
                </c:pt>
                <c:pt idx="288">
                  <c:v>45344</c:v>
                </c:pt>
                <c:pt idx="289">
                  <c:v>45345</c:v>
                </c:pt>
                <c:pt idx="290">
                  <c:v>45348</c:v>
                </c:pt>
                <c:pt idx="291">
                  <c:v>45349</c:v>
                </c:pt>
                <c:pt idx="292">
                  <c:v>45350</c:v>
                </c:pt>
                <c:pt idx="293">
                  <c:v>45351</c:v>
                </c:pt>
                <c:pt idx="294">
                  <c:v>45352</c:v>
                </c:pt>
                <c:pt idx="295">
                  <c:v>45355</c:v>
                </c:pt>
                <c:pt idx="296">
                  <c:v>45356</c:v>
                </c:pt>
                <c:pt idx="297">
                  <c:v>45357</c:v>
                </c:pt>
                <c:pt idx="298">
                  <c:v>45358</c:v>
                </c:pt>
                <c:pt idx="299">
                  <c:v>45359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45384</c:v>
                </c:pt>
                <c:pt idx="315">
                  <c:v>45385</c:v>
                </c:pt>
                <c:pt idx="316">
                  <c:v>45386</c:v>
                </c:pt>
                <c:pt idx="317">
                  <c:v>45387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45397</c:v>
                </c:pt>
                <c:pt idx="324">
                  <c:v>45398</c:v>
                </c:pt>
                <c:pt idx="325">
                  <c:v>45399</c:v>
                </c:pt>
                <c:pt idx="326">
                  <c:v>45400</c:v>
                </c:pt>
                <c:pt idx="327">
                  <c:v>45404</c:v>
                </c:pt>
                <c:pt idx="328">
                  <c:v>45405</c:v>
                </c:pt>
                <c:pt idx="329">
                  <c:v>45406</c:v>
                </c:pt>
                <c:pt idx="330">
                  <c:v>45407</c:v>
                </c:pt>
                <c:pt idx="331">
                  <c:v>45408</c:v>
                </c:pt>
                <c:pt idx="332">
                  <c:v>45411</c:v>
                </c:pt>
                <c:pt idx="333">
                  <c:v>45412</c:v>
                </c:pt>
                <c:pt idx="334">
                  <c:v>45413</c:v>
                </c:pt>
                <c:pt idx="335">
                  <c:v>45414</c:v>
                </c:pt>
                <c:pt idx="336">
                  <c:v>45415</c:v>
                </c:pt>
                <c:pt idx="337">
                  <c:v>45418</c:v>
                </c:pt>
                <c:pt idx="338">
                  <c:v>45419</c:v>
                </c:pt>
                <c:pt idx="339">
                  <c:v>45420</c:v>
                </c:pt>
                <c:pt idx="340">
                  <c:v>45421</c:v>
                </c:pt>
                <c:pt idx="341">
                  <c:v>45422</c:v>
                </c:pt>
                <c:pt idx="342">
                  <c:v>45425</c:v>
                </c:pt>
                <c:pt idx="343">
                  <c:v>45426</c:v>
                </c:pt>
                <c:pt idx="344">
                  <c:v>45427</c:v>
                </c:pt>
                <c:pt idx="345">
                  <c:v>45428</c:v>
                </c:pt>
                <c:pt idx="346">
                  <c:v>45429</c:v>
                </c:pt>
                <c:pt idx="347">
                  <c:v>45432</c:v>
                </c:pt>
                <c:pt idx="348">
                  <c:v>45433</c:v>
                </c:pt>
                <c:pt idx="349">
                  <c:v>45434</c:v>
                </c:pt>
                <c:pt idx="350">
                  <c:v>45435</c:v>
                </c:pt>
                <c:pt idx="351">
                  <c:v>45436</c:v>
                </c:pt>
                <c:pt idx="352">
                  <c:v>45439</c:v>
                </c:pt>
                <c:pt idx="353">
                  <c:v>45440</c:v>
                </c:pt>
                <c:pt idx="354">
                  <c:v>45441</c:v>
                </c:pt>
                <c:pt idx="355">
                  <c:v>45442</c:v>
                </c:pt>
                <c:pt idx="356">
                  <c:v>45443</c:v>
                </c:pt>
                <c:pt idx="357">
                  <c:v>45446</c:v>
                </c:pt>
                <c:pt idx="358">
                  <c:v>45447</c:v>
                </c:pt>
                <c:pt idx="359">
                  <c:v>45448</c:v>
                </c:pt>
                <c:pt idx="360">
                  <c:v>45449</c:v>
                </c:pt>
                <c:pt idx="361">
                  <c:v>45450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45460</c:v>
                </c:pt>
                <c:pt idx="368">
                  <c:v>45461</c:v>
                </c:pt>
                <c:pt idx="369">
                  <c:v>45462</c:v>
                </c:pt>
                <c:pt idx="370">
                  <c:v>45463</c:v>
                </c:pt>
                <c:pt idx="371">
                  <c:v>45464</c:v>
                </c:pt>
                <c:pt idx="372">
                  <c:v>45467</c:v>
                </c:pt>
                <c:pt idx="373">
                  <c:v>45468</c:v>
                </c:pt>
                <c:pt idx="374">
                  <c:v>45469</c:v>
                </c:pt>
                <c:pt idx="375">
                  <c:v>45470</c:v>
                </c:pt>
                <c:pt idx="376">
                  <c:v>45471</c:v>
                </c:pt>
                <c:pt idx="377">
                  <c:v>45474</c:v>
                </c:pt>
                <c:pt idx="378">
                  <c:v>45475</c:v>
                </c:pt>
                <c:pt idx="379">
                  <c:v>45476</c:v>
                </c:pt>
                <c:pt idx="380">
                  <c:v>45477</c:v>
                </c:pt>
                <c:pt idx="381">
                  <c:v>45478</c:v>
                </c:pt>
                <c:pt idx="382">
                  <c:v>45481</c:v>
                </c:pt>
                <c:pt idx="383">
                  <c:v>45482</c:v>
                </c:pt>
                <c:pt idx="384">
                  <c:v>45483</c:v>
                </c:pt>
                <c:pt idx="385">
                  <c:v>45484</c:v>
                </c:pt>
                <c:pt idx="386">
                  <c:v>45485</c:v>
                </c:pt>
                <c:pt idx="387">
                  <c:v>45488</c:v>
                </c:pt>
                <c:pt idx="388">
                  <c:v>45489</c:v>
                </c:pt>
                <c:pt idx="389">
                  <c:v>45490</c:v>
                </c:pt>
                <c:pt idx="390">
                  <c:v>45491</c:v>
                </c:pt>
                <c:pt idx="391">
                  <c:v>45492</c:v>
                </c:pt>
                <c:pt idx="392">
                  <c:v>45495</c:v>
                </c:pt>
                <c:pt idx="393">
                  <c:v>45496</c:v>
                </c:pt>
                <c:pt idx="394">
                  <c:v>45497</c:v>
                </c:pt>
                <c:pt idx="395">
                  <c:v>45498</c:v>
                </c:pt>
                <c:pt idx="396">
                  <c:v>45499</c:v>
                </c:pt>
                <c:pt idx="397">
                  <c:v>45502</c:v>
                </c:pt>
                <c:pt idx="398">
                  <c:v>45503</c:v>
                </c:pt>
                <c:pt idx="399">
                  <c:v>45504</c:v>
                </c:pt>
                <c:pt idx="400">
                  <c:v>45505</c:v>
                </c:pt>
                <c:pt idx="401">
                  <c:v>45506</c:v>
                </c:pt>
                <c:pt idx="402">
                  <c:v>45509</c:v>
                </c:pt>
                <c:pt idx="403">
                  <c:v>45510</c:v>
                </c:pt>
                <c:pt idx="404">
                  <c:v>45511</c:v>
                </c:pt>
                <c:pt idx="405">
                  <c:v>45512</c:v>
                </c:pt>
                <c:pt idx="406">
                  <c:v>45513</c:v>
                </c:pt>
                <c:pt idx="407">
                  <c:v>45516</c:v>
                </c:pt>
                <c:pt idx="408">
                  <c:v>45517</c:v>
                </c:pt>
                <c:pt idx="409">
                  <c:v>45518</c:v>
                </c:pt>
                <c:pt idx="410">
                  <c:v>45519</c:v>
                </c:pt>
                <c:pt idx="411">
                  <c:v>45520</c:v>
                </c:pt>
                <c:pt idx="412">
                  <c:v>45523</c:v>
                </c:pt>
                <c:pt idx="413">
                  <c:v>45524</c:v>
                </c:pt>
                <c:pt idx="414">
                  <c:v>45525</c:v>
                </c:pt>
                <c:pt idx="415">
                  <c:v>45526</c:v>
                </c:pt>
                <c:pt idx="416">
                  <c:v>45527</c:v>
                </c:pt>
                <c:pt idx="417">
                  <c:v>45530</c:v>
                </c:pt>
                <c:pt idx="418">
                  <c:v>45531</c:v>
                </c:pt>
                <c:pt idx="419">
                  <c:v>45532</c:v>
                </c:pt>
                <c:pt idx="420">
                  <c:v>45533</c:v>
                </c:pt>
                <c:pt idx="421">
                  <c:v>45534</c:v>
                </c:pt>
                <c:pt idx="422">
                  <c:v>45537</c:v>
                </c:pt>
                <c:pt idx="423">
                  <c:v>45538</c:v>
                </c:pt>
                <c:pt idx="424">
                  <c:v>45539</c:v>
                </c:pt>
                <c:pt idx="425">
                  <c:v>45540</c:v>
                </c:pt>
                <c:pt idx="426">
                  <c:v>45541</c:v>
                </c:pt>
                <c:pt idx="427">
                  <c:v>45544</c:v>
                </c:pt>
                <c:pt idx="428">
                  <c:v>45545</c:v>
                </c:pt>
                <c:pt idx="429">
                  <c:v>45546</c:v>
                </c:pt>
                <c:pt idx="430">
                  <c:v>45547</c:v>
                </c:pt>
                <c:pt idx="431">
                  <c:v>45548</c:v>
                </c:pt>
                <c:pt idx="432">
                  <c:v>45551</c:v>
                </c:pt>
                <c:pt idx="433">
                  <c:v>45552</c:v>
                </c:pt>
                <c:pt idx="434">
                  <c:v>45553</c:v>
                </c:pt>
                <c:pt idx="435">
                  <c:v>45554</c:v>
                </c:pt>
                <c:pt idx="436">
                  <c:v>45555</c:v>
                </c:pt>
                <c:pt idx="437">
                  <c:v>45558</c:v>
                </c:pt>
                <c:pt idx="438">
                  <c:v>45559</c:v>
                </c:pt>
                <c:pt idx="439">
                  <c:v>45560</c:v>
                </c:pt>
                <c:pt idx="440">
                  <c:v>45561</c:v>
                </c:pt>
                <c:pt idx="441">
                  <c:v>45562</c:v>
                </c:pt>
                <c:pt idx="442">
                  <c:v>45565</c:v>
                </c:pt>
                <c:pt idx="443">
                  <c:v>45566</c:v>
                </c:pt>
                <c:pt idx="444">
                  <c:v>45567</c:v>
                </c:pt>
                <c:pt idx="445">
                  <c:v>45568</c:v>
                </c:pt>
                <c:pt idx="446">
                  <c:v>45569</c:v>
                </c:pt>
                <c:pt idx="447">
                  <c:v>45572</c:v>
                </c:pt>
                <c:pt idx="448">
                  <c:v>45573</c:v>
                </c:pt>
                <c:pt idx="449">
                  <c:v>45574</c:v>
                </c:pt>
                <c:pt idx="450">
                  <c:v>45575</c:v>
                </c:pt>
                <c:pt idx="451">
                  <c:v>45576</c:v>
                </c:pt>
                <c:pt idx="452">
                  <c:v>45579</c:v>
                </c:pt>
                <c:pt idx="453">
                  <c:v>45580</c:v>
                </c:pt>
                <c:pt idx="454">
                  <c:v>45581</c:v>
                </c:pt>
                <c:pt idx="455">
                  <c:v>45582</c:v>
                </c:pt>
                <c:pt idx="456">
                  <c:v>45583</c:v>
                </c:pt>
                <c:pt idx="457">
                  <c:v>45586</c:v>
                </c:pt>
                <c:pt idx="458">
                  <c:v>45587</c:v>
                </c:pt>
                <c:pt idx="459">
                  <c:v>45588</c:v>
                </c:pt>
                <c:pt idx="460">
                  <c:v>45589</c:v>
                </c:pt>
                <c:pt idx="461">
                  <c:v>45590</c:v>
                </c:pt>
                <c:pt idx="462">
                  <c:v>45593</c:v>
                </c:pt>
                <c:pt idx="463">
                  <c:v>45594</c:v>
                </c:pt>
                <c:pt idx="464">
                  <c:v>45595</c:v>
                </c:pt>
                <c:pt idx="465">
                  <c:v>45596</c:v>
                </c:pt>
                <c:pt idx="466">
                  <c:v>45597</c:v>
                </c:pt>
                <c:pt idx="467">
                  <c:v>45600</c:v>
                </c:pt>
                <c:pt idx="468">
                  <c:v>45601</c:v>
                </c:pt>
                <c:pt idx="469">
                  <c:v>45602</c:v>
                </c:pt>
                <c:pt idx="470">
                  <c:v>45603</c:v>
                </c:pt>
                <c:pt idx="471">
                  <c:v>45604</c:v>
                </c:pt>
                <c:pt idx="472">
                  <c:v>45608</c:v>
                </c:pt>
                <c:pt idx="473">
                  <c:v>45609</c:v>
                </c:pt>
                <c:pt idx="474">
                  <c:v>45610</c:v>
                </c:pt>
                <c:pt idx="475">
                  <c:v>45611</c:v>
                </c:pt>
                <c:pt idx="476">
                  <c:v>45614</c:v>
                </c:pt>
                <c:pt idx="477">
                  <c:v>45615</c:v>
                </c:pt>
                <c:pt idx="478">
                  <c:v>45616</c:v>
                </c:pt>
                <c:pt idx="479">
                  <c:v>45617</c:v>
                </c:pt>
                <c:pt idx="480">
                  <c:v>45618</c:v>
                </c:pt>
                <c:pt idx="481">
                  <c:v>45621</c:v>
                </c:pt>
                <c:pt idx="482">
                  <c:v>45622</c:v>
                </c:pt>
                <c:pt idx="483">
                  <c:v>45623</c:v>
                </c:pt>
                <c:pt idx="484">
                  <c:v>45624</c:v>
                </c:pt>
                <c:pt idx="485">
                  <c:v>45625</c:v>
                </c:pt>
                <c:pt idx="486">
                  <c:v>45628</c:v>
                </c:pt>
                <c:pt idx="487">
                  <c:v>45629</c:v>
                </c:pt>
                <c:pt idx="488">
                  <c:v>45630</c:v>
                </c:pt>
                <c:pt idx="489">
                  <c:v>45631</c:v>
                </c:pt>
                <c:pt idx="490">
                  <c:v>45632</c:v>
                </c:pt>
                <c:pt idx="491">
                  <c:v>45635</c:v>
                </c:pt>
                <c:pt idx="492">
                  <c:v>45636</c:v>
                </c:pt>
                <c:pt idx="493">
                  <c:v>45637</c:v>
                </c:pt>
                <c:pt idx="494">
                  <c:v>45638</c:v>
                </c:pt>
                <c:pt idx="495">
                  <c:v>45639</c:v>
                </c:pt>
                <c:pt idx="496">
                  <c:v>45642</c:v>
                </c:pt>
                <c:pt idx="497">
                  <c:v>45643</c:v>
                </c:pt>
                <c:pt idx="498">
                  <c:v>45644</c:v>
                </c:pt>
                <c:pt idx="499">
                  <c:v>45645</c:v>
                </c:pt>
                <c:pt idx="500">
                  <c:v>45646</c:v>
                </c:pt>
                <c:pt idx="501">
                  <c:v>45649</c:v>
                </c:pt>
                <c:pt idx="502">
                  <c:v>45650</c:v>
                </c:pt>
                <c:pt idx="503">
                  <c:v>45653</c:v>
                </c:pt>
                <c:pt idx="504">
                  <c:v>45656</c:v>
                </c:pt>
                <c:pt idx="505">
                  <c:v>45657</c:v>
                </c:pt>
                <c:pt idx="506">
                  <c:v>45659</c:v>
                </c:pt>
                <c:pt idx="507">
                  <c:v>45660</c:v>
                </c:pt>
                <c:pt idx="508">
                  <c:v>45663</c:v>
                </c:pt>
                <c:pt idx="509">
                  <c:v>45664</c:v>
                </c:pt>
                <c:pt idx="510">
                  <c:v>45665</c:v>
                </c:pt>
                <c:pt idx="511">
                  <c:v>45666</c:v>
                </c:pt>
                <c:pt idx="512">
                  <c:v>45667</c:v>
                </c:pt>
                <c:pt idx="513">
                  <c:v>45670</c:v>
                </c:pt>
                <c:pt idx="514">
                  <c:v>45671</c:v>
                </c:pt>
                <c:pt idx="515">
                  <c:v>45672</c:v>
                </c:pt>
                <c:pt idx="516">
                  <c:v>45673</c:v>
                </c:pt>
                <c:pt idx="517">
                  <c:v>45674</c:v>
                </c:pt>
                <c:pt idx="518">
                  <c:v>45677</c:v>
                </c:pt>
                <c:pt idx="519">
                  <c:v>45678</c:v>
                </c:pt>
                <c:pt idx="520">
                  <c:v>45679</c:v>
                </c:pt>
                <c:pt idx="521">
                  <c:v>45680</c:v>
                </c:pt>
                <c:pt idx="522">
                  <c:v>45681</c:v>
                </c:pt>
                <c:pt idx="523">
                  <c:v>45684</c:v>
                </c:pt>
                <c:pt idx="524">
                  <c:v>45685</c:v>
                </c:pt>
                <c:pt idx="525">
                  <c:v>45686</c:v>
                </c:pt>
                <c:pt idx="526">
                  <c:v>45687</c:v>
                </c:pt>
                <c:pt idx="527">
                  <c:v>45688</c:v>
                </c:pt>
                <c:pt idx="528">
                  <c:v>45691</c:v>
                </c:pt>
                <c:pt idx="529">
                  <c:v>45692</c:v>
                </c:pt>
                <c:pt idx="530">
                  <c:v>45693</c:v>
                </c:pt>
                <c:pt idx="531">
                  <c:v>45694</c:v>
                </c:pt>
                <c:pt idx="532">
                  <c:v>45695</c:v>
                </c:pt>
                <c:pt idx="533">
                  <c:v>45698</c:v>
                </c:pt>
                <c:pt idx="534">
                  <c:v>45699</c:v>
                </c:pt>
                <c:pt idx="535">
                  <c:v>45700</c:v>
                </c:pt>
                <c:pt idx="536">
                  <c:v>45701</c:v>
                </c:pt>
                <c:pt idx="537">
                  <c:v>45702</c:v>
                </c:pt>
                <c:pt idx="538">
                  <c:v>45705</c:v>
                </c:pt>
                <c:pt idx="539">
                  <c:v>45706</c:v>
                </c:pt>
                <c:pt idx="540">
                  <c:v>45707</c:v>
                </c:pt>
                <c:pt idx="541">
                  <c:v>45708</c:v>
                </c:pt>
                <c:pt idx="542">
                  <c:v>45709</c:v>
                </c:pt>
                <c:pt idx="543">
                  <c:v>45712</c:v>
                </c:pt>
                <c:pt idx="544">
                  <c:v>45713</c:v>
                </c:pt>
                <c:pt idx="545">
                  <c:v>45714</c:v>
                </c:pt>
                <c:pt idx="546">
                  <c:v>45715</c:v>
                </c:pt>
                <c:pt idx="547">
                  <c:v>45716</c:v>
                </c:pt>
                <c:pt idx="548">
                  <c:v>45719</c:v>
                </c:pt>
                <c:pt idx="549">
                  <c:v>45720</c:v>
                </c:pt>
                <c:pt idx="550">
                  <c:v>45721</c:v>
                </c:pt>
                <c:pt idx="551">
                  <c:v>45722</c:v>
                </c:pt>
                <c:pt idx="552">
                  <c:v>45723</c:v>
                </c:pt>
                <c:pt idx="553">
                  <c:v>45726</c:v>
                </c:pt>
                <c:pt idx="554">
                  <c:v>45727</c:v>
                </c:pt>
                <c:pt idx="555">
                  <c:v>45728</c:v>
                </c:pt>
                <c:pt idx="556">
                  <c:v>45729</c:v>
                </c:pt>
                <c:pt idx="557">
                  <c:v>45730</c:v>
                </c:pt>
                <c:pt idx="558">
                  <c:v>45733</c:v>
                </c:pt>
                <c:pt idx="559">
                  <c:v>45734</c:v>
                </c:pt>
                <c:pt idx="560">
                  <c:v>45735</c:v>
                </c:pt>
                <c:pt idx="561">
                  <c:v>45736</c:v>
                </c:pt>
                <c:pt idx="562">
                  <c:v>45737</c:v>
                </c:pt>
                <c:pt idx="563">
                  <c:v>45740</c:v>
                </c:pt>
                <c:pt idx="564">
                  <c:v>45741</c:v>
                </c:pt>
                <c:pt idx="565">
                  <c:v>45742</c:v>
                </c:pt>
                <c:pt idx="566">
                  <c:v>45743</c:v>
                </c:pt>
                <c:pt idx="567">
                  <c:v>45744</c:v>
                </c:pt>
                <c:pt idx="568">
                  <c:v>45747</c:v>
                </c:pt>
                <c:pt idx="569">
                  <c:v>45748</c:v>
                </c:pt>
                <c:pt idx="570">
                  <c:v>45749</c:v>
                </c:pt>
                <c:pt idx="571">
                  <c:v>45750</c:v>
                </c:pt>
                <c:pt idx="572">
                  <c:v>45751</c:v>
                </c:pt>
                <c:pt idx="573">
                  <c:v>45754</c:v>
                </c:pt>
                <c:pt idx="574">
                  <c:v>45755</c:v>
                </c:pt>
                <c:pt idx="575">
                  <c:v>45756</c:v>
                </c:pt>
                <c:pt idx="576">
                  <c:v>45757</c:v>
                </c:pt>
                <c:pt idx="577">
                  <c:v>45761</c:v>
                </c:pt>
                <c:pt idx="578">
                  <c:v>45762</c:v>
                </c:pt>
                <c:pt idx="579">
                  <c:v>45763</c:v>
                </c:pt>
                <c:pt idx="580">
                  <c:v>45764</c:v>
                </c:pt>
                <c:pt idx="581">
                  <c:v>45768</c:v>
                </c:pt>
                <c:pt idx="582">
                  <c:v>45771</c:v>
                </c:pt>
                <c:pt idx="583">
                  <c:v>45772</c:v>
                </c:pt>
                <c:pt idx="584">
                  <c:v>45775</c:v>
                </c:pt>
                <c:pt idx="585">
                  <c:v>45776</c:v>
                </c:pt>
                <c:pt idx="586">
                  <c:v>45784</c:v>
                </c:pt>
                <c:pt idx="587">
                  <c:v>45785</c:v>
                </c:pt>
                <c:pt idx="588">
                  <c:v>45789</c:v>
                </c:pt>
                <c:pt idx="589">
                  <c:v>45790</c:v>
                </c:pt>
                <c:pt idx="590">
                  <c:v>45796</c:v>
                </c:pt>
                <c:pt idx="591">
                  <c:v>45797</c:v>
                </c:pt>
                <c:pt idx="592">
                  <c:v>45798</c:v>
                </c:pt>
                <c:pt idx="593">
                  <c:v>45799</c:v>
                </c:pt>
                <c:pt idx="594">
                  <c:v>45800</c:v>
                </c:pt>
                <c:pt idx="595">
                  <c:v>45804</c:v>
                </c:pt>
                <c:pt idx="596">
                  <c:v>45805</c:v>
                </c:pt>
                <c:pt idx="597">
                  <c:v>45806</c:v>
                </c:pt>
                <c:pt idx="598">
                  <c:v>45807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45821</c:v>
                </c:pt>
                <c:pt idx="608">
                  <c:v>45824</c:v>
                </c:pt>
                <c:pt idx="609">
                  <c:v>45825</c:v>
                </c:pt>
                <c:pt idx="610">
                  <c:v>45826</c:v>
                </c:pt>
                <c:pt idx="611">
                  <c:v>45828</c:v>
                </c:pt>
                <c:pt idx="612">
                  <c:v>45831</c:v>
                </c:pt>
                <c:pt idx="613">
                  <c:v>45832</c:v>
                </c:pt>
                <c:pt idx="614">
                  <c:v>45833</c:v>
                </c:pt>
                <c:pt idx="615">
                  <c:v>45835</c:v>
                </c:pt>
                <c:pt idx="616">
                  <c:v>45838</c:v>
                </c:pt>
                <c:pt idx="617">
                  <c:v>45839</c:v>
                </c:pt>
                <c:pt idx="618">
                  <c:v>45840</c:v>
                </c:pt>
                <c:pt idx="619">
                  <c:v>45841</c:v>
                </c:pt>
                <c:pt idx="620">
                  <c:v>45845</c:v>
                </c:pt>
                <c:pt idx="621">
                  <c:v>45846</c:v>
                </c:pt>
                <c:pt idx="622">
                  <c:v>45847</c:v>
                </c:pt>
                <c:pt idx="623">
                  <c:v>45848</c:v>
                </c:pt>
                <c:pt idx="624">
                  <c:v>45849</c:v>
                </c:pt>
                <c:pt idx="625">
                  <c:v>45852</c:v>
                </c:pt>
                <c:pt idx="626">
                  <c:v>45853</c:v>
                </c:pt>
                <c:pt idx="627">
                  <c:v>45854</c:v>
                </c:pt>
                <c:pt idx="628">
                  <c:v>45855</c:v>
                </c:pt>
                <c:pt idx="629">
                  <c:v>45856</c:v>
                </c:pt>
                <c:pt idx="630">
                  <c:v>45859</c:v>
                </c:pt>
                <c:pt idx="631">
                  <c:v>45860</c:v>
                </c:pt>
                <c:pt idx="632">
                  <c:v>45861</c:v>
                </c:pt>
                <c:pt idx="633">
                  <c:v>45862</c:v>
                </c:pt>
                <c:pt idx="634">
                  <c:v>45863</c:v>
                </c:pt>
                <c:pt idx="635">
                  <c:v>45866</c:v>
                </c:pt>
                <c:pt idx="636">
                  <c:v>45867</c:v>
                </c:pt>
                <c:pt idx="637">
                  <c:v>45868</c:v>
                </c:pt>
                <c:pt idx="638">
                  <c:v>45869</c:v>
                </c:pt>
                <c:pt idx="639">
                  <c:v>45870</c:v>
                </c:pt>
                <c:pt idx="640">
                  <c:v>45873</c:v>
                </c:pt>
                <c:pt idx="641">
                  <c:v>45874</c:v>
                </c:pt>
                <c:pt idx="642">
                  <c:v>45875</c:v>
                </c:pt>
                <c:pt idx="643">
                  <c:v>45876</c:v>
                </c:pt>
              </c:numCache>
            </c:numRef>
          </c:cat>
          <c:val>
            <c:numRef>
              <c:f>Info!$X$24:$X$667</c:f>
              <c:numCache>
                <c:formatCode>General</c:formatCode>
                <c:ptCount val="64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2D-4057-B674-50A82F31B8AB}"/>
            </c:ext>
          </c:extLst>
        </c:ser>
        <c:ser>
          <c:idx val="7"/>
          <c:order val="7"/>
          <c:tx>
            <c:strRef>
              <c:f>Info!$Y$1</c:f>
              <c:strCache>
                <c:ptCount val="1"/>
                <c:pt idx="0">
                  <c:v>25c for 5 Consecutive Business Days - 100% Cover, 50% Utilisation from 1st and 2nd Active Contract</c:v>
                </c:pt>
              </c:strCache>
            </c:strRef>
          </c:tx>
          <c:spPr>
            <a:ln w="34925" cap="rnd">
              <a:solidFill>
                <a:srgbClr val="FF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Info!$A$24:$A$667</c:f>
              <c:numCache>
                <c:formatCode>m/d/yy</c:formatCode>
                <c:ptCount val="644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44977</c:v>
                </c:pt>
                <c:pt idx="34">
                  <c:v>44978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45009</c:v>
                </c:pt>
                <c:pt idx="58">
                  <c:v>45012</c:v>
                </c:pt>
                <c:pt idx="59">
                  <c:v>45013</c:v>
                </c:pt>
                <c:pt idx="60">
                  <c:v>45014</c:v>
                </c:pt>
                <c:pt idx="61">
                  <c:v>45015</c:v>
                </c:pt>
                <c:pt idx="62">
                  <c:v>45016</c:v>
                </c:pt>
                <c:pt idx="63">
                  <c:v>45019</c:v>
                </c:pt>
                <c:pt idx="64">
                  <c:v>45020</c:v>
                </c:pt>
                <c:pt idx="65">
                  <c:v>45021</c:v>
                </c:pt>
                <c:pt idx="66">
                  <c:v>45022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45048</c:v>
                </c:pt>
                <c:pt idx="82">
                  <c:v>45049</c:v>
                </c:pt>
                <c:pt idx="83">
                  <c:v>45050</c:v>
                </c:pt>
                <c:pt idx="84">
                  <c:v>45051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45071</c:v>
                </c:pt>
                <c:pt idx="98">
                  <c:v>45072</c:v>
                </c:pt>
                <c:pt idx="99">
                  <c:v>45076</c:v>
                </c:pt>
                <c:pt idx="100">
                  <c:v>45077</c:v>
                </c:pt>
                <c:pt idx="101">
                  <c:v>45078</c:v>
                </c:pt>
                <c:pt idx="102">
                  <c:v>45079</c:v>
                </c:pt>
                <c:pt idx="103">
                  <c:v>45082</c:v>
                </c:pt>
                <c:pt idx="104">
                  <c:v>45083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45096</c:v>
                </c:pt>
                <c:pt idx="114">
                  <c:v>45097</c:v>
                </c:pt>
                <c:pt idx="115">
                  <c:v>45098</c:v>
                </c:pt>
                <c:pt idx="116">
                  <c:v>45099</c:v>
                </c:pt>
                <c:pt idx="117">
                  <c:v>45100</c:v>
                </c:pt>
                <c:pt idx="118">
                  <c:v>45103</c:v>
                </c:pt>
                <c:pt idx="119">
                  <c:v>45104</c:v>
                </c:pt>
                <c:pt idx="120">
                  <c:v>45105</c:v>
                </c:pt>
                <c:pt idx="121">
                  <c:v>45106</c:v>
                </c:pt>
                <c:pt idx="122">
                  <c:v>45107</c:v>
                </c:pt>
                <c:pt idx="123">
                  <c:v>45110</c:v>
                </c:pt>
                <c:pt idx="124">
                  <c:v>45111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45167</c:v>
                </c:pt>
                <c:pt idx="164">
                  <c:v>45168</c:v>
                </c:pt>
                <c:pt idx="165">
                  <c:v>45169</c:v>
                </c:pt>
                <c:pt idx="166">
                  <c:v>45170</c:v>
                </c:pt>
                <c:pt idx="167">
                  <c:v>45173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45253</c:v>
                </c:pt>
                <c:pt idx="226">
                  <c:v>45254</c:v>
                </c:pt>
                <c:pt idx="227">
                  <c:v>45257</c:v>
                </c:pt>
                <c:pt idx="228">
                  <c:v>45258</c:v>
                </c:pt>
                <c:pt idx="229">
                  <c:v>45259</c:v>
                </c:pt>
                <c:pt idx="230">
                  <c:v>45260</c:v>
                </c:pt>
                <c:pt idx="231">
                  <c:v>45261</c:v>
                </c:pt>
                <c:pt idx="232">
                  <c:v>45264</c:v>
                </c:pt>
                <c:pt idx="233">
                  <c:v>45265</c:v>
                </c:pt>
                <c:pt idx="234">
                  <c:v>45266</c:v>
                </c:pt>
                <c:pt idx="235">
                  <c:v>45267</c:v>
                </c:pt>
                <c:pt idx="236">
                  <c:v>45268</c:v>
                </c:pt>
                <c:pt idx="237">
                  <c:v>45271</c:v>
                </c:pt>
                <c:pt idx="238">
                  <c:v>45272</c:v>
                </c:pt>
                <c:pt idx="239">
                  <c:v>45273</c:v>
                </c:pt>
                <c:pt idx="240">
                  <c:v>45274</c:v>
                </c:pt>
                <c:pt idx="241">
                  <c:v>45275</c:v>
                </c:pt>
                <c:pt idx="242">
                  <c:v>45278</c:v>
                </c:pt>
                <c:pt idx="243">
                  <c:v>45279</c:v>
                </c:pt>
                <c:pt idx="244">
                  <c:v>45280</c:v>
                </c:pt>
                <c:pt idx="245">
                  <c:v>45281</c:v>
                </c:pt>
                <c:pt idx="246">
                  <c:v>45282</c:v>
                </c:pt>
                <c:pt idx="247">
                  <c:v>45286</c:v>
                </c:pt>
                <c:pt idx="248">
                  <c:v>45287</c:v>
                </c:pt>
                <c:pt idx="249">
                  <c:v>45288</c:v>
                </c:pt>
                <c:pt idx="250">
                  <c:v>45289</c:v>
                </c:pt>
                <c:pt idx="251">
                  <c:v>45293</c:v>
                </c:pt>
                <c:pt idx="252">
                  <c:v>45294</c:v>
                </c:pt>
                <c:pt idx="253">
                  <c:v>45295</c:v>
                </c:pt>
                <c:pt idx="254">
                  <c:v>45296</c:v>
                </c:pt>
                <c:pt idx="255">
                  <c:v>45299</c:v>
                </c:pt>
                <c:pt idx="256">
                  <c:v>45300</c:v>
                </c:pt>
                <c:pt idx="257">
                  <c:v>45301</c:v>
                </c:pt>
                <c:pt idx="258">
                  <c:v>45302</c:v>
                </c:pt>
                <c:pt idx="259">
                  <c:v>45303</c:v>
                </c:pt>
                <c:pt idx="260">
                  <c:v>45306</c:v>
                </c:pt>
                <c:pt idx="261">
                  <c:v>45307</c:v>
                </c:pt>
                <c:pt idx="262">
                  <c:v>45308</c:v>
                </c:pt>
                <c:pt idx="263">
                  <c:v>45309</c:v>
                </c:pt>
                <c:pt idx="264">
                  <c:v>45310</c:v>
                </c:pt>
                <c:pt idx="265">
                  <c:v>45313</c:v>
                </c:pt>
                <c:pt idx="266">
                  <c:v>45314</c:v>
                </c:pt>
                <c:pt idx="267">
                  <c:v>45315</c:v>
                </c:pt>
                <c:pt idx="268">
                  <c:v>45316</c:v>
                </c:pt>
                <c:pt idx="269">
                  <c:v>45317</c:v>
                </c:pt>
                <c:pt idx="270">
                  <c:v>45320</c:v>
                </c:pt>
                <c:pt idx="271">
                  <c:v>45321</c:v>
                </c:pt>
                <c:pt idx="272">
                  <c:v>45322</c:v>
                </c:pt>
                <c:pt idx="273">
                  <c:v>45323</c:v>
                </c:pt>
                <c:pt idx="274">
                  <c:v>45324</c:v>
                </c:pt>
                <c:pt idx="275">
                  <c:v>45327</c:v>
                </c:pt>
                <c:pt idx="276">
                  <c:v>45328</c:v>
                </c:pt>
                <c:pt idx="277">
                  <c:v>45329</c:v>
                </c:pt>
                <c:pt idx="278">
                  <c:v>45330</c:v>
                </c:pt>
                <c:pt idx="279">
                  <c:v>45331</c:v>
                </c:pt>
                <c:pt idx="280">
                  <c:v>45334</c:v>
                </c:pt>
                <c:pt idx="281">
                  <c:v>45335</c:v>
                </c:pt>
                <c:pt idx="282">
                  <c:v>45336</c:v>
                </c:pt>
                <c:pt idx="283">
                  <c:v>45337</c:v>
                </c:pt>
                <c:pt idx="284">
                  <c:v>45338</c:v>
                </c:pt>
                <c:pt idx="285">
                  <c:v>45341</c:v>
                </c:pt>
                <c:pt idx="286">
                  <c:v>45342</c:v>
                </c:pt>
                <c:pt idx="287">
                  <c:v>45343</c:v>
                </c:pt>
                <c:pt idx="288">
                  <c:v>45344</c:v>
                </c:pt>
                <c:pt idx="289">
                  <c:v>45345</c:v>
                </c:pt>
                <c:pt idx="290">
                  <c:v>45348</c:v>
                </c:pt>
                <c:pt idx="291">
                  <c:v>45349</c:v>
                </c:pt>
                <c:pt idx="292">
                  <c:v>45350</c:v>
                </c:pt>
                <c:pt idx="293">
                  <c:v>45351</c:v>
                </c:pt>
                <c:pt idx="294">
                  <c:v>45352</c:v>
                </c:pt>
                <c:pt idx="295">
                  <c:v>45355</c:v>
                </c:pt>
                <c:pt idx="296">
                  <c:v>45356</c:v>
                </c:pt>
                <c:pt idx="297">
                  <c:v>45357</c:v>
                </c:pt>
                <c:pt idx="298">
                  <c:v>45358</c:v>
                </c:pt>
                <c:pt idx="299">
                  <c:v>45359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45384</c:v>
                </c:pt>
                <c:pt idx="315">
                  <c:v>45385</c:v>
                </c:pt>
                <c:pt idx="316">
                  <c:v>45386</c:v>
                </c:pt>
                <c:pt idx="317">
                  <c:v>45387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45397</c:v>
                </c:pt>
                <c:pt idx="324">
                  <c:v>45398</c:v>
                </c:pt>
                <c:pt idx="325">
                  <c:v>45399</c:v>
                </c:pt>
                <c:pt idx="326">
                  <c:v>45400</c:v>
                </c:pt>
                <c:pt idx="327">
                  <c:v>45404</c:v>
                </c:pt>
                <c:pt idx="328">
                  <c:v>45405</c:v>
                </c:pt>
                <c:pt idx="329">
                  <c:v>45406</c:v>
                </c:pt>
                <c:pt idx="330">
                  <c:v>45407</c:v>
                </c:pt>
                <c:pt idx="331">
                  <c:v>45408</c:v>
                </c:pt>
                <c:pt idx="332">
                  <c:v>45411</c:v>
                </c:pt>
                <c:pt idx="333">
                  <c:v>45412</c:v>
                </c:pt>
                <c:pt idx="334">
                  <c:v>45413</c:v>
                </c:pt>
                <c:pt idx="335">
                  <c:v>45414</c:v>
                </c:pt>
                <c:pt idx="336">
                  <c:v>45415</c:v>
                </c:pt>
                <c:pt idx="337">
                  <c:v>45418</c:v>
                </c:pt>
                <c:pt idx="338">
                  <c:v>45419</c:v>
                </c:pt>
                <c:pt idx="339">
                  <c:v>45420</c:v>
                </c:pt>
                <c:pt idx="340">
                  <c:v>45421</c:v>
                </c:pt>
                <c:pt idx="341">
                  <c:v>45422</c:v>
                </c:pt>
                <c:pt idx="342">
                  <c:v>45425</c:v>
                </c:pt>
                <c:pt idx="343">
                  <c:v>45426</c:v>
                </c:pt>
                <c:pt idx="344">
                  <c:v>45427</c:v>
                </c:pt>
                <c:pt idx="345">
                  <c:v>45428</c:v>
                </c:pt>
                <c:pt idx="346">
                  <c:v>45429</c:v>
                </c:pt>
                <c:pt idx="347">
                  <c:v>45432</c:v>
                </c:pt>
                <c:pt idx="348">
                  <c:v>45433</c:v>
                </c:pt>
                <c:pt idx="349">
                  <c:v>45434</c:v>
                </c:pt>
                <c:pt idx="350">
                  <c:v>45435</c:v>
                </c:pt>
                <c:pt idx="351">
                  <c:v>45436</c:v>
                </c:pt>
                <c:pt idx="352">
                  <c:v>45439</c:v>
                </c:pt>
                <c:pt idx="353">
                  <c:v>45440</c:v>
                </c:pt>
                <c:pt idx="354">
                  <c:v>45441</c:v>
                </c:pt>
                <c:pt idx="355">
                  <c:v>45442</c:v>
                </c:pt>
                <c:pt idx="356">
                  <c:v>45443</c:v>
                </c:pt>
                <c:pt idx="357">
                  <c:v>45446</c:v>
                </c:pt>
                <c:pt idx="358">
                  <c:v>45447</c:v>
                </c:pt>
                <c:pt idx="359">
                  <c:v>45448</c:v>
                </c:pt>
                <c:pt idx="360">
                  <c:v>45449</c:v>
                </c:pt>
                <c:pt idx="361">
                  <c:v>45450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45460</c:v>
                </c:pt>
                <c:pt idx="368">
                  <c:v>45461</c:v>
                </c:pt>
                <c:pt idx="369">
                  <c:v>45462</c:v>
                </c:pt>
                <c:pt idx="370">
                  <c:v>45463</c:v>
                </c:pt>
                <c:pt idx="371">
                  <c:v>45464</c:v>
                </c:pt>
                <c:pt idx="372">
                  <c:v>45467</c:v>
                </c:pt>
                <c:pt idx="373">
                  <c:v>45468</c:v>
                </c:pt>
                <c:pt idx="374">
                  <c:v>45469</c:v>
                </c:pt>
                <c:pt idx="375">
                  <c:v>45470</c:v>
                </c:pt>
                <c:pt idx="376">
                  <c:v>45471</c:v>
                </c:pt>
                <c:pt idx="377">
                  <c:v>45474</c:v>
                </c:pt>
                <c:pt idx="378">
                  <c:v>45475</c:v>
                </c:pt>
                <c:pt idx="379">
                  <c:v>45476</c:v>
                </c:pt>
                <c:pt idx="380">
                  <c:v>45477</c:v>
                </c:pt>
                <c:pt idx="381">
                  <c:v>45478</c:v>
                </c:pt>
                <c:pt idx="382">
                  <c:v>45481</c:v>
                </c:pt>
                <c:pt idx="383">
                  <c:v>45482</c:v>
                </c:pt>
                <c:pt idx="384">
                  <c:v>45483</c:v>
                </c:pt>
                <c:pt idx="385">
                  <c:v>45484</c:v>
                </c:pt>
                <c:pt idx="386">
                  <c:v>45485</c:v>
                </c:pt>
                <c:pt idx="387">
                  <c:v>45488</c:v>
                </c:pt>
                <c:pt idx="388">
                  <c:v>45489</c:v>
                </c:pt>
                <c:pt idx="389">
                  <c:v>45490</c:v>
                </c:pt>
                <c:pt idx="390">
                  <c:v>45491</c:v>
                </c:pt>
                <c:pt idx="391">
                  <c:v>45492</c:v>
                </c:pt>
                <c:pt idx="392">
                  <c:v>45495</c:v>
                </c:pt>
                <c:pt idx="393">
                  <c:v>45496</c:v>
                </c:pt>
                <c:pt idx="394">
                  <c:v>45497</c:v>
                </c:pt>
                <c:pt idx="395">
                  <c:v>45498</c:v>
                </c:pt>
                <c:pt idx="396">
                  <c:v>45499</c:v>
                </c:pt>
                <c:pt idx="397">
                  <c:v>45502</c:v>
                </c:pt>
                <c:pt idx="398">
                  <c:v>45503</c:v>
                </c:pt>
                <c:pt idx="399">
                  <c:v>45504</c:v>
                </c:pt>
                <c:pt idx="400">
                  <c:v>45505</c:v>
                </c:pt>
                <c:pt idx="401">
                  <c:v>45506</c:v>
                </c:pt>
                <c:pt idx="402">
                  <c:v>45509</c:v>
                </c:pt>
                <c:pt idx="403">
                  <c:v>45510</c:v>
                </c:pt>
                <c:pt idx="404">
                  <c:v>45511</c:v>
                </c:pt>
                <c:pt idx="405">
                  <c:v>45512</c:v>
                </c:pt>
                <c:pt idx="406">
                  <c:v>45513</c:v>
                </c:pt>
                <c:pt idx="407">
                  <c:v>45516</c:v>
                </c:pt>
                <c:pt idx="408">
                  <c:v>45517</c:v>
                </c:pt>
                <c:pt idx="409">
                  <c:v>45518</c:v>
                </c:pt>
                <c:pt idx="410">
                  <c:v>45519</c:v>
                </c:pt>
                <c:pt idx="411">
                  <c:v>45520</c:v>
                </c:pt>
                <c:pt idx="412">
                  <c:v>45523</c:v>
                </c:pt>
                <c:pt idx="413">
                  <c:v>45524</c:v>
                </c:pt>
                <c:pt idx="414">
                  <c:v>45525</c:v>
                </c:pt>
                <c:pt idx="415">
                  <c:v>45526</c:v>
                </c:pt>
                <c:pt idx="416">
                  <c:v>45527</c:v>
                </c:pt>
                <c:pt idx="417">
                  <c:v>45530</c:v>
                </c:pt>
                <c:pt idx="418">
                  <c:v>45531</c:v>
                </c:pt>
                <c:pt idx="419">
                  <c:v>45532</c:v>
                </c:pt>
                <c:pt idx="420">
                  <c:v>45533</c:v>
                </c:pt>
                <c:pt idx="421">
                  <c:v>45534</c:v>
                </c:pt>
                <c:pt idx="422">
                  <c:v>45537</c:v>
                </c:pt>
                <c:pt idx="423">
                  <c:v>45538</c:v>
                </c:pt>
                <c:pt idx="424">
                  <c:v>45539</c:v>
                </c:pt>
                <c:pt idx="425">
                  <c:v>45540</c:v>
                </c:pt>
                <c:pt idx="426">
                  <c:v>45541</c:v>
                </c:pt>
                <c:pt idx="427">
                  <c:v>45544</c:v>
                </c:pt>
                <c:pt idx="428">
                  <c:v>45545</c:v>
                </c:pt>
                <c:pt idx="429">
                  <c:v>45546</c:v>
                </c:pt>
                <c:pt idx="430">
                  <c:v>45547</c:v>
                </c:pt>
                <c:pt idx="431">
                  <c:v>45548</c:v>
                </c:pt>
                <c:pt idx="432">
                  <c:v>45551</c:v>
                </c:pt>
                <c:pt idx="433">
                  <c:v>45552</c:v>
                </c:pt>
                <c:pt idx="434">
                  <c:v>45553</c:v>
                </c:pt>
                <c:pt idx="435">
                  <c:v>45554</c:v>
                </c:pt>
                <c:pt idx="436">
                  <c:v>45555</c:v>
                </c:pt>
                <c:pt idx="437">
                  <c:v>45558</c:v>
                </c:pt>
                <c:pt idx="438">
                  <c:v>45559</c:v>
                </c:pt>
                <c:pt idx="439">
                  <c:v>45560</c:v>
                </c:pt>
                <c:pt idx="440">
                  <c:v>45561</c:v>
                </c:pt>
                <c:pt idx="441">
                  <c:v>45562</c:v>
                </c:pt>
                <c:pt idx="442">
                  <c:v>45565</c:v>
                </c:pt>
                <c:pt idx="443">
                  <c:v>45566</c:v>
                </c:pt>
                <c:pt idx="444">
                  <c:v>45567</c:v>
                </c:pt>
                <c:pt idx="445">
                  <c:v>45568</c:v>
                </c:pt>
                <c:pt idx="446">
                  <c:v>45569</c:v>
                </c:pt>
                <c:pt idx="447">
                  <c:v>45572</c:v>
                </c:pt>
                <c:pt idx="448">
                  <c:v>45573</c:v>
                </c:pt>
                <c:pt idx="449">
                  <c:v>45574</c:v>
                </c:pt>
                <c:pt idx="450">
                  <c:v>45575</c:v>
                </c:pt>
                <c:pt idx="451">
                  <c:v>45576</c:v>
                </c:pt>
                <c:pt idx="452">
                  <c:v>45579</c:v>
                </c:pt>
                <c:pt idx="453">
                  <c:v>45580</c:v>
                </c:pt>
                <c:pt idx="454">
                  <c:v>45581</c:v>
                </c:pt>
                <c:pt idx="455">
                  <c:v>45582</c:v>
                </c:pt>
                <c:pt idx="456">
                  <c:v>45583</c:v>
                </c:pt>
                <c:pt idx="457">
                  <c:v>45586</c:v>
                </c:pt>
                <c:pt idx="458">
                  <c:v>45587</c:v>
                </c:pt>
                <c:pt idx="459">
                  <c:v>45588</c:v>
                </c:pt>
                <c:pt idx="460">
                  <c:v>45589</c:v>
                </c:pt>
                <c:pt idx="461">
                  <c:v>45590</c:v>
                </c:pt>
                <c:pt idx="462">
                  <c:v>45593</c:v>
                </c:pt>
                <c:pt idx="463">
                  <c:v>45594</c:v>
                </c:pt>
                <c:pt idx="464">
                  <c:v>45595</c:v>
                </c:pt>
                <c:pt idx="465">
                  <c:v>45596</c:v>
                </c:pt>
                <c:pt idx="466">
                  <c:v>45597</c:v>
                </c:pt>
                <c:pt idx="467">
                  <c:v>45600</c:v>
                </c:pt>
                <c:pt idx="468">
                  <c:v>45601</c:v>
                </c:pt>
                <c:pt idx="469">
                  <c:v>45602</c:v>
                </c:pt>
                <c:pt idx="470">
                  <c:v>45603</c:v>
                </c:pt>
                <c:pt idx="471">
                  <c:v>45604</c:v>
                </c:pt>
                <c:pt idx="472">
                  <c:v>45608</c:v>
                </c:pt>
                <c:pt idx="473">
                  <c:v>45609</c:v>
                </c:pt>
                <c:pt idx="474">
                  <c:v>45610</c:v>
                </c:pt>
                <c:pt idx="475">
                  <c:v>45611</c:v>
                </c:pt>
                <c:pt idx="476">
                  <c:v>45614</c:v>
                </c:pt>
                <c:pt idx="477">
                  <c:v>45615</c:v>
                </c:pt>
                <c:pt idx="478">
                  <c:v>45616</c:v>
                </c:pt>
                <c:pt idx="479">
                  <c:v>45617</c:v>
                </c:pt>
                <c:pt idx="480">
                  <c:v>45618</c:v>
                </c:pt>
                <c:pt idx="481">
                  <c:v>45621</c:v>
                </c:pt>
                <c:pt idx="482">
                  <c:v>45622</c:v>
                </c:pt>
                <c:pt idx="483">
                  <c:v>45623</c:v>
                </c:pt>
                <c:pt idx="484">
                  <c:v>45624</c:v>
                </c:pt>
                <c:pt idx="485">
                  <c:v>45625</c:v>
                </c:pt>
                <c:pt idx="486">
                  <c:v>45628</c:v>
                </c:pt>
                <c:pt idx="487">
                  <c:v>45629</c:v>
                </c:pt>
                <c:pt idx="488">
                  <c:v>45630</c:v>
                </c:pt>
                <c:pt idx="489">
                  <c:v>45631</c:v>
                </c:pt>
                <c:pt idx="490">
                  <c:v>45632</c:v>
                </c:pt>
                <c:pt idx="491">
                  <c:v>45635</c:v>
                </c:pt>
                <c:pt idx="492">
                  <c:v>45636</c:v>
                </c:pt>
                <c:pt idx="493">
                  <c:v>45637</c:v>
                </c:pt>
                <c:pt idx="494">
                  <c:v>45638</c:v>
                </c:pt>
                <c:pt idx="495">
                  <c:v>45639</c:v>
                </c:pt>
                <c:pt idx="496">
                  <c:v>45642</c:v>
                </c:pt>
                <c:pt idx="497">
                  <c:v>45643</c:v>
                </c:pt>
                <c:pt idx="498">
                  <c:v>45644</c:v>
                </c:pt>
                <c:pt idx="499">
                  <c:v>45645</c:v>
                </c:pt>
                <c:pt idx="500">
                  <c:v>45646</c:v>
                </c:pt>
                <c:pt idx="501">
                  <c:v>45649</c:v>
                </c:pt>
                <c:pt idx="502">
                  <c:v>45650</c:v>
                </c:pt>
                <c:pt idx="503">
                  <c:v>45653</c:v>
                </c:pt>
                <c:pt idx="504">
                  <c:v>45656</c:v>
                </c:pt>
                <c:pt idx="505">
                  <c:v>45657</c:v>
                </c:pt>
                <c:pt idx="506">
                  <c:v>45659</c:v>
                </c:pt>
                <c:pt idx="507">
                  <c:v>45660</c:v>
                </c:pt>
                <c:pt idx="508">
                  <c:v>45663</c:v>
                </c:pt>
                <c:pt idx="509">
                  <c:v>45664</c:v>
                </c:pt>
                <c:pt idx="510">
                  <c:v>45665</c:v>
                </c:pt>
                <c:pt idx="511">
                  <c:v>45666</c:v>
                </c:pt>
                <c:pt idx="512">
                  <c:v>45667</c:v>
                </c:pt>
                <c:pt idx="513">
                  <c:v>45670</c:v>
                </c:pt>
                <c:pt idx="514">
                  <c:v>45671</c:v>
                </c:pt>
                <c:pt idx="515">
                  <c:v>45672</c:v>
                </c:pt>
                <c:pt idx="516">
                  <c:v>45673</c:v>
                </c:pt>
                <c:pt idx="517">
                  <c:v>45674</c:v>
                </c:pt>
                <c:pt idx="518">
                  <c:v>45677</c:v>
                </c:pt>
                <c:pt idx="519">
                  <c:v>45678</c:v>
                </c:pt>
                <c:pt idx="520">
                  <c:v>45679</c:v>
                </c:pt>
                <c:pt idx="521">
                  <c:v>45680</c:v>
                </c:pt>
                <c:pt idx="522">
                  <c:v>45681</c:v>
                </c:pt>
                <c:pt idx="523">
                  <c:v>45684</c:v>
                </c:pt>
                <c:pt idx="524">
                  <c:v>45685</c:v>
                </c:pt>
                <c:pt idx="525">
                  <c:v>45686</c:v>
                </c:pt>
                <c:pt idx="526">
                  <c:v>45687</c:v>
                </c:pt>
                <c:pt idx="527">
                  <c:v>45688</c:v>
                </c:pt>
                <c:pt idx="528">
                  <c:v>45691</c:v>
                </c:pt>
                <c:pt idx="529">
                  <c:v>45692</c:v>
                </c:pt>
                <c:pt idx="530">
                  <c:v>45693</c:v>
                </c:pt>
                <c:pt idx="531">
                  <c:v>45694</c:v>
                </c:pt>
                <c:pt idx="532">
                  <c:v>45695</c:v>
                </c:pt>
                <c:pt idx="533">
                  <c:v>45698</c:v>
                </c:pt>
                <c:pt idx="534">
                  <c:v>45699</c:v>
                </c:pt>
                <c:pt idx="535">
                  <c:v>45700</c:v>
                </c:pt>
                <c:pt idx="536">
                  <c:v>45701</c:v>
                </c:pt>
                <c:pt idx="537">
                  <c:v>45702</c:v>
                </c:pt>
                <c:pt idx="538">
                  <c:v>45705</c:v>
                </c:pt>
                <c:pt idx="539">
                  <c:v>45706</c:v>
                </c:pt>
                <c:pt idx="540">
                  <c:v>45707</c:v>
                </c:pt>
                <c:pt idx="541">
                  <c:v>45708</c:v>
                </c:pt>
                <c:pt idx="542">
                  <c:v>45709</c:v>
                </c:pt>
                <c:pt idx="543">
                  <c:v>45712</c:v>
                </c:pt>
                <c:pt idx="544">
                  <c:v>45713</c:v>
                </c:pt>
                <c:pt idx="545">
                  <c:v>45714</c:v>
                </c:pt>
                <c:pt idx="546">
                  <c:v>45715</c:v>
                </c:pt>
                <c:pt idx="547">
                  <c:v>45716</c:v>
                </c:pt>
                <c:pt idx="548">
                  <c:v>45719</c:v>
                </c:pt>
                <c:pt idx="549">
                  <c:v>45720</c:v>
                </c:pt>
                <c:pt idx="550">
                  <c:v>45721</c:v>
                </c:pt>
                <c:pt idx="551">
                  <c:v>45722</c:v>
                </c:pt>
                <c:pt idx="552">
                  <c:v>45723</c:v>
                </c:pt>
                <c:pt idx="553">
                  <c:v>45726</c:v>
                </c:pt>
                <c:pt idx="554">
                  <c:v>45727</c:v>
                </c:pt>
                <c:pt idx="555">
                  <c:v>45728</c:v>
                </c:pt>
                <c:pt idx="556">
                  <c:v>45729</c:v>
                </c:pt>
                <c:pt idx="557">
                  <c:v>45730</c:v>
                </c:pt>
                <c:pt idx="558">
                  <c:v>45733</c:v>
                </c:pt>
                <c:pt idx="559">
                  <c:v>45734</c:v>
                </c:pt>
                <c:pt idx="560">
                  <c:v>45735</c:v>
                </c:pt>
                <c:pt idx="561">
                  <c:v>45736</c:v>
                </c:pt>
                <c:pt idx="562">
                  <c:v>45737</c:v>
                </c:pt>
                <c:pt idx="563">
                  <c:v>45740</c:v>
                </c:pt>
                <c:pt idx="564">
                  <c:v>45741</c:v>
                </c:pt>
                <c:pt idx="565">
                  <c:v>45742</c:v>
                </c:pt>
                <c:pt idx="566">
                  <c:v>45743</c:v>
                </c:pt>
                <c:pt idx="567">
                  <c:v>45744</c:v>
                </c:pt>
                <c:pt idx="568">
                  <c:v>45747</c:v>
                </c:pt>
                <c:pt idx="569">
                  <c:v>45748</c:v>
                </c:pt>
                <c:pt idx="570">
                  <c:v>45749</c:v>
                </c:pt>
                <c:pt idx="571">
                  <c:v>45750</c:v>
                </c:pt>
                <c:pt idx="572">
                  <c:v>45751</c:v>
                </c:pt>
                <c:pt idx="573">
                  <c:v>45754</c:v>
                </c:pt>
                <c:pt idx="574">
                  <c:v>45755</c:v>
                </c:pt>
                <c:pt idx="575">
                  <c:v>45756</c:v>
                </c:pt>
                <c:pt idx="576">
                  <c:v>45757</c:v>
                </c:pt>
                <c:pt idx="577">
                  <c:v>45761</c:v>
                </c:pt>
                <c:pt idx="578">
                  <c:v>45762</c:v>
                </c:pt>
                <c:pt idx="579">
                  <c:v>45763</c:v>
                </c:pt>
                <c:pt idx="580">
                  <c:v>45764</c:v>
                </c:pt>
                <c:pt idx="581">
                  <c:v>45768</c:v>
                </c:pt>
                <c:pt idx="582">
                  <c:v>45771</c:v>
                </c:pt>
                <c:pt idx="583">
                  <c:v>45772</c:v>
                </c:pt>
                <c:pt idx="584">
                  <c:v>45775</c:v>
                </c:pt>
                <c:pt idx="585">
                  <c:v>45776</c:v>
                </c:pt>
                <c:pt idx="586">
                  <c:v>45784</c:v>
                </c:pt>
                <c:pt idx="587">
                  <c:v>45785</c:v>
                </c:pt>
                <c:pt idx="588">
                  <c:v>45789</c:v>
                </c:pt>
                <c:pt idx="589">
                  <c:v>45790</c:v>
                </c:pt>
                <c:pt idx="590">
                  <c:v>45796</c:v>
                </c:pt>
                <c:pt idx="591">
                  <c:v>45797</c:v>
                </c:pt>
                <c:pt idx="592">
                  <c:v>45798</c:v>
                </c:pt>
                <c:pt idx="593">
                  <c:v>45799</c:v>
                </c:pt>
                <c:pt idx="594">
                  <c:v>45800</c:v>
                </c:pt>
                <c:pt idx="595">
                  <c:v>45804</c:v>
                </c:pt>
                <c:pt idx="596">
                  <c:v>45805</c:v>
                </c:pt>
                <c:pt idx="597">
                  <c:v>45806</c:v>
                </c:pt>
                <c:pt idx="598">
                  <c:v>45807</c:v>
                </c:pt>
                <c:pt idx="599">
                  <c:v>45810</c:v>
                </c:pt>
                <c:pt idx="600">
                  <c:v>45811</c:v>
                </c:pt>
                <c:pt idx="601">
                  <c:v>45812</c:v>
                </c:pt>
                <c:pt idx="602">
                  <c:v>45813</c:v>
                </c:pt>
                <c:pt idx="603">
                  <c:v>45814</c:v>
                </c:pt>
                <c:pt idx="604">
                  <c:v>45817</c:v>
                </c:pt>
                <c:pt idx="605">
                  <c:v>45818</c:v>
                </c:pt>
                <c:pt idx="606">
                  <c:v>45819</c:v>
                </c:pt>
                <c:pt idx="607">
                  <c:v>45821</c:v>
                </c:pt>
                <c:pt idx="608">
                  <c:v>45824</c:v>
                </c:pt>
                <c:pt idx="609">
                  <c:v>45825</c:v>
                </c:pt>
                <c:pt idx="610">
                  <c:v>45826</c:v>
                </c:pt>
                <c:pt idx="611">
                  <c:v>45828</c:v>
                </c:pt>
                <c:pt idx="612">
                  <c:v>45831</c:v>
                </c:pt>
                <c:pt idx="613">
                  <c:v>45832</c:v>
                </c:pt>
                <c:pt idx="614">
                  <c:v>45833</c:v>
                </c:pt>
                <c:pt idx="615">
                  <c:v>45835</c:v>
                </c:pt>
                <c:pt idx="616">
                  <c:v>45838</c:v>
                </c:pt>
                <c:pt idx="617">
                  <c:v>45839</c:v>
                </c:pt>
                <c:pt idx="618">
                  <c:v>45840</c:v>
                </c:pt>
                <c:pt idx="619">
                  <c:v>45841</c:v>
                </c:pt>
                <c:pt idx="620">
                  <c:v>45845</c:v>
                </c:pt>
                <c:pt idx="621">
                  <c:v>45846</c:v>
                </c:pt>
                <c:pt idx="622">
                  <c:v>45847</c:v>
                </c:pt>
                <c:pt idx="623">
                  <c:v>45848</c:v>
                </c:pt>
                <c:pt idx="624">
                  <c:v>45849</c:v>
                </c:pt>
                <c:pt idx="625">
                  <c:v>45852</c:v>
                </c:pt>
                <c:pt idx="626">
                  <c:v>45853</c:v>
                </c:pt>
                <c:pt idx="627">
                  <c:v>45854</c:v>
                </c:pt>
                <c:pt idx="628">
                  <c:v>45855</c:v>
                </c:pt>
                <c:pt idx="629">
                  <c:v>45856</c:v>
                </c:pt>
                <c:pt idx="630">
                  <c:v>45859</c:v>
                </c:pt>
                <c:pt idx="631">
                  <c:v>45860</c:v>
                </c:pt>
                <c:pt idx="632">
                  <c:v>45861</c:v>
                </c:pt>
                <c:pt idx="633">
                  <c:v>45862</c:v>
                </c:pt>
                <c:pt idx="634">
                  <c:v>45863</c:v>
                </c:pt>
                <c:pt idx="635">
                  <c:v>45866</c:v>
                </c:pt>
                <c:pt idx="636">
                  <c:v>45867</c:v>
                </c:pt>
                <c:pt idx="637">
                  <c:v>45868</c:v>
                </c:pt>
                <c:pt idx="638">
                  <c:v>45869</c:v>
                </c:pt>
                <c:pt idx="639">
                  <c:v>45870</c:v>
                </c:pt>
                <c:pt idx="640">
                  <c:v>45873</c:v>
                </c:pt>
                <c:pt idx="641">
                  <c:v>45874</c:v>
                </c:pt>
                <c:pt idx="642">
                  <c:v>45875</c:v>
                </c:pt>
                <c:pt idx="643">
                  <c:v>45876</c:v>
                </c:pt>
              </c:numCache>
            </c:numRef>
          </c:cat>
          <c:val>
            <c:numRef>
              <c:f>Info!$Y$24:$Y$667</c:f>
              <c:numCache>
                <c:formatCode>General</c:formatCode>
                <c:ptCount val="64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25</c:v>
                </c:pt>
                <c:pt idx="397">
                  <c:v>25</c:v>
                </c:pt>
                <c:pt idx="398">
                  <c:v>25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25</c:v>
                </c:pt>
                <c:pt idx="403">
                  <c:v>25</c:v>
                </c:pt>
                <c:pt idx="404">
                  <c:v>25</c:v>
                </c:pt>
                <c:pt idx="405">
                  <c:v>25</c:v>
                </c:pt>
                <c:pt idx="406">
                  <c:v>25</c:v>
                </c:pt>
                <c:pt idx="407">
                  <c:v>25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25</c:v>
                </c:pt>
                <c:pt idx="412">
                  <c:v>25</c:v>
                </c:pt>
                <c:pt idx="413">
                  <c:v>25</c:v>
                </c:pt>
                <c:pt idx="414">
                  <c:v>25</c:v>
                </c:pt>
                <c:pt idx="415">
                  <c:v>25</c:v>
                </c:pt>
                <c:pt idx="416">
                  <c:v>25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25</c:v>
                </c:pt>
                <c:pt idx="441">
                  <c:v>25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25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25</c:v>
                </c:pt>
                <c:pt idx="458">
                  <c:v>25</c:v>
                </c:pt>
                <c:pt idx="459">
                  <c:v>25</c:v>
                </c:pt>
                <c:pt idx="460">
                  <c:v>25</c:v>
                </c:pt>
                <c:pt idx="461">
                  <c:v>25</c:v>
                </c:pt>
                <c:pt idx="462">
                  <c:v>25</c:v>
                </c:pt>
                <c:pt idx="463">
                  <c:v>25</c:v>
                </c:pt>
                <c:pt idx="464">
                  <c:v>25</c:v>
                </c:pt>
                <c:pt idx="465">
                  <c:v>25</c:v>
                </c:pt>
                <c:pt idx="466">
                  <c:v>25</c:v>
                </c:pt>
                <c:pt idx="467">
                  <c:v>25</c:v>
                </c:pt>
                <c:pt idx="468">
                  <c:v>25</c:v>
                </c:pt>
                <c:pt idx="469">
                  <c:v>25</c:v>
                </c:pt>
                <c:pt idx="470">
                  <c:v>25</c:v>
                </c:pt>
                <c:pt idx="471">
                  <c:v>25</c:v>
                </c:pt>
                <c:pt idx="472">
                  <c:v>25</c:v>
                </c:pt>
                <c:pt idx="473">
                  <c:v>25</c:v>
                </c:pt>
                <c:pt idx="474">
                  <c:v>25</c:v>
                </c:pt>
                <c:pt idx="475">
                  <c:v>25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25</c:v>
                </c:pt>
                <c:pt idx="511">
                  <c:v>25</c:v>
                </c:pt>
                <c:pt idx="512">
                  <c:v>25</c:v>
                </c:pt>
                <c:pt idx="513">
                  <c:v>25</c:v>
                </c:pt>
                <c:pt idx="514">
                  <c:v>25</c:v>
                </c:pt>
                <c:pt idx="515">
                  <c:v>25</c:v>
                </c:pt>
                <c:pt idx="516">
                  <c:v>25</c:v>
                </c:pt>
                <c:pt idx="517">
                  <c:v>25</c:v>
                </c:pt>
                <c:pt idx="518">
                  <c:v>25</c:v>
                </c:pt>
                <c:pt idx="519">
                  <c:v>25</c:v>
                </c:pt>
                <c:pt idx="520">
                  <c:v>25</c:v>
                </c:pt>
                <c:pt idx="521">
                  <c:v>25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25</c:v>
                </c:pt>
                <c:pt idx="528">
                  <c:v>25</c:v>
                </c:pt>
                <c:pt idx="529">
                  <c:v>25</c:v>
                </c:pt>
                <c:pt idx="530">
                  <c:v>25</c:v>
                </c:pt>
                <c:pt idx="531">
                  <c:v>25</c:v>
                </c:pt>
                <c:pt idx="532">
                  <c:v>25</c:v>
                </c:pt>
                <c:pt idx="533">
                  <c:v>25</c:v>
                </c:pt>
                <c:pt idx="534">
                  <c:v>25</c:v>
                </c:pt>
                <c:pt idx="535">
                  <c:v>25</c:v>
                </c:pt>
                <c:pt idx="536">
                  <c:v>25</c:v>
                </c:pt>
                <c:pt idx="537">
                  <c:v>25</c:v>
                </c:pt>
                <c:pt idx="538">
                  <c:v>25</c:v>
                </c:pt>
                <c:pt idx="539">
                  <c:v>25</c:v>
                </c:pt>
                <c:pt idx="540">
                  <c:v>25</c:v>
                </c:pt>
                <c:pt idx="541">
                  <c:v>25</c:v>
                </c:pt>
                <c:pt idx="542">
                  <c:v>25</c:v>
                </c:pt>
                <c:pt idx="543">
                  <c:v>25</c:v>
                </c:pt>
                <c:pt idx="544">
                  <c:v>25</c:v>
                </c:pt>
                <c:pt idx="545">
                  <c:v>25</c:v>
                </c:pt>
                <c:pt idx="546">
                  <c:v>25</c:v>
                </c:pt>
                <c:pt idx="547">
                  <c:v>25</c:v>
                </c:pt>
                <c:pt idx="548">
                  <c:v>25</c:v>
                </c:pt>
                <c:pt idx="549">
                  <c:v>25</c:v>
                </c:pt>
                <c:pt idx="550">
                  <c:v>25</c:v>
                </c:pt>
                <c:pt idx="551">
                  <c:v>25</c:v>
                </c:pt>
                <c:pt idx="552">
                  <c:v>25</c:v>
                </c:pt>
                <c:pt idx="553">
                  <c:v>25</c:v>
                </c:pt>
                <c:pt idx="554">
                  <c:v>25</c:v>
                </c:pt>
                <c:pt idx="555">
                  <c:v>25</c:v>
                </c:pt>
                <c:pt idx="556">
                  <c:v>25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25</c:v>
                </c:pt>
                <c:pt idx="561">
                  <c:v>25</c:v>
                </c:pt>
                <c:pt idx="562">
                  <c:v>25</c:v>
                </c:pt>
                <c:pt idx="563">
                  <c:v>25</c:v>
                </c:pt>
                <c:pt idx="564">
                  <c:v>25</c:v>
                </c:pt>
                <c:pt idx="565">
                  <c:v>25</c:v>
                </c:pt>
                <c:pt idx="566">
                  <c:v>25</c:v>
                </c:pt>
                <c:pt idx="567">
                  <c:v>25</c:v>
                </c:pt>
                <c:pt idx="568">
                  <c:v>25</c:v>
                </c:pt>
                <c:pt idx="569">
                  <c:v>25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25</c:v>
                </c:pt>
                <c:pt idx="574">
                  <c:v>25</c:v>
                </c:pt>
                <c:pt idx="575">
                  <c:v>25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25</c:v>
                </c:pt>
                <c:pt idx="606">
                  <c:v>25</c:v>
                </c:pt>
                <c:pt idx="607">
                  <c:v>25</c:v>
                </c:pt>
                <c:pt idx="608">
                  <c:v>25</c:v>
                </c:pt>
                <c:pt idx="609">
                  <c:v>25</c:v>
                </c:pt>
                <c:pt idx="610">
                  <c:v>25</c:v>
                </c:pt>
                <c:pt idx="611">
                  <c:v>25</c:v>
                </c:pt>
                <c:pt idx="612">
                  <c:v>25</c:v>
                </c:pt>
                <c:pt idx="613">
                  <c:v>25</c:v>
                </c:pt>
                <c:pt idx="614">
                  <c:v>25</c:v>
                </c:pt>
                <c:pt idx="615">
                  <c:v>25</c:v>
                </c:pt>
                <c:pt idx="616">
                  <c:v>25</c:v>
                </c:pt>
                <c:pt idx="617">
                  <c:v>25</c:v>
                </c:pt>
                <c:pt idx="618">
                  <c:v>25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25</c:v>
                </c:pt>
                <c:pt idx="623">
                  <c:v>25</c:v>
                </c:pt>
                <c:pt idx="624">
                  <c:v>25</c:v>
                </c:pt>
                <c:pt idx="625">
                  <c:v>25</c:v>
                </c:pt>
                <c:pt idx="626">
                  <c:v>25</c:v>
                </c:pt>
                <c:pt idx="627">
                  <c:v>25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25</c:v>
                </c:pt>
                <c:pt idx="642">
                  <c:v>25</c:v>
                </c:pt>
                <c:pt idx="64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2D-4057-B674-50A82F31B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852912"/>
        <c:axId val="27984625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Swap Implied EFP</c:v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Info!$A$24:$A$667</c15:sqref>
                        </c15:formulaRef>
                      </c:ext>
                    </c:extLst>
                    <c:numCache>
                      <c:formatCode>m/d/yy</c:formatCode>
                      <c:ptCount val="644"/>
                      <c:pt idx="0">
                        <c:v>44929</c:v>
                      </c:pt>
                      <c:pt idx="1">
                        <c:v>44930</c:v>
                      </c:pt>
                      <c:pt idx="2">
                        <c:v>44931</c:v>
                      </c:pt>
                      <c:pt idx="3">
                        <c:v>44932</c:v>
                      </c:pt>
                      <c:pt idx="4">
                        <c:v>44935</c:v>
                      </c:pt>
                      <c:pt idx="5">
                        <c:v>44936</c:v>
                      </c:pt>
                      <c:pt idx="6">
                        <c:v>44937</c:v>
                      </c:pt>
                      <c:pt idx="7">
                        <c:v>44938</c:v>
                      </c:pt>
                      <c:pt idx="8">
                        <c:v>44939</c:v>
                      </c:pt>
                      <c:pt idx="9">
                        <c:v>44942</c:v>
                      </c:pt>
                      <c:pt idx="10">
                        <c:v>44943</c:v>
                      </c:pt>
                      <c:pt idx="11">
                        <c:v>44944</c:v>
                      </c:pt>
                      <c:pt idx="12">
                        <c:v>44945</c:v>
                      </c:pt>
                      <c:pt idx="13">
                        <c:v>44946</c:v>
                      </c:pt>
                      <c:pt idx="14">
                        <c:v>44949</c:v>
                      </c:pt>
                      <c:pt idx="15">
                        <c:v>44950</c:v>
                      </c:pt>
                      <c:pt idx="16">
                        <c:v>44951</c:v>
                      </c:pt>
                      <c:pt idx="17">
                        <c:v>44952</c:v>
                      </c:pt>
                      <c:pt idx="18">
                        <c:v>44953</c:v>
                      </c:pt>
                      <c:pt idx="19">
                        <c:v>44956</c:v>
                      </c:pt>
                      <c:pt idx="20">
                        <c:v>44958</c:v>
                      </c:pt>
                      <c:pt idx="21">
                        <c:v>44959</c:v>
                      </c:pt>
                      <c:pt idx="22">
                        <c:v>44960</c:v>
                      </c:pt>
                      <c:pt idx="23">
                        <c:v>44963</c:v>
                      </c:pt>
                      <c:pt idx="24">
                        <c:v>44964</c:v>
                      </c:pt>
                      <c:pt idx="25">
                        <c:v>44965</c:v>
                      </c:pt>
                      <c:pt idx="26">
                        <c:v>44966</c:v>
                      </c:pt>
                      <c:pt idx="27">
                        <c:v>44967</c:v>
                      </c:pt>
                      <c:pt idx="28">
                        <c:v>44970</c:v>
                      </c:pt>
                      <c:pt idx="29">
                        <c:v>44971</c:v>
                      </c:pt>
                      <c:pt idx="30">
                        <c:v>44972</c:v>
                      </c:pt>
                      <c:pt idx="31">
                        <c:v>44973</c:v>
                      </c:pt>
                      <c:pt idx="32">
                        <c:v>44974</c:v>
                      </c:pt>
                      <c:pt idx="33">
                        <c:v>44977</c:v>
                      </c:pt>
                      <c:pt idx="34">
                        <c:v>44978</c:v>
                      </c:pt>
                      <c:pt idx="35">
                        <c:v>44979</c:v>
                      </c:pt>
                      <c:pt idx="36">
                        <c:v>44980</c:v>
                      </c:pt>
                      <c:pt idx="37">
                        <c:v>44981</c:v>
                      </c:pt>
                      <c:pt idx="38">
                        <c:v>44984</c:v>
                      </c:pt>
                      <c:pt idx="39">
                        <c:v>44985</c:v>
                      </c:pt>
                      <c:pt idx="40">
                        <c:v>44986</c:v>
                      </c:pt>
                      <c:pt idx="41">
                        <c:v>44987</c:v>
                      </c:pt>
                      <c:pt idx="42">
                        <c:v>44988</c:v>
                      </c:pt>
                      <c:pt idx="43">
                        <c:v>44991</c:v>
                      </c:pt>
                      <c:pt idx="44">
                        <c:v>44992</c:v>
                      </c:pt>
                      <c:pt idx="45">
                        <c:v>44993</c:v>
                      </c:pt>
                      <c:pt idx="46">
                        <c:v>44994</c:v>
                      </c:pt>
                      <c:pt idx="47">
                        <c:v>44995</c:v>
                      </c:pt>
                      <c:pt idx="48">
                        <c:v>44998</c:v>
                      </c:pt>
                      <c:pt idx="49">
                        <c:v>44999</c:v>
                      </c:pt>
                      <c:pt idx="50">
                        <c:v>45000</c:v>
                      </c:pt>
                      <c:pt idx="51">
                        <c:v>45001</c:v>
                      </c:pt>
                      <c:pt idx="52">
                        <c:v>45002</c:v>
                      </c:pt>
                      <c:pt idx="53">
                        <c:v>45005</c:v>
                      </c:pt>
                      <c:pt idx="54">
                        <c:v>45006</c:v>
                      </c:pt>
                      <c:pt idx="55">
                        <c:v>45007</c:v>
                      </c:pt>
                      <c:pt idx="56">
                        <c:v>45008</c:v>
                      </c:pt>
                      <c:pt idx="57">
                        <c:v>45009</c:v>
                      </c:pt>
                      <c:pt idx="58">
                        <c:v>45012</c:v>
                      </c:pt>
                      <c:pt idx="59">
                        <c:v>45013</c:v>
                      </c:pt>
                      <c:pt idx="60">
                        <c:v>45014</c:v>
                      </c:pt>
                      <c:pt idx="61">
                        <c:v>45015</c:v>
                      </c:pt>
                      <c:pt idx="62">
                        <c:v>45016</c:v>
                      </c:pt>
                      <c:pt idx="63">
                        <c:v>45019</c:v>
                      </c:pt>
                      <c:pt idx="64">
                        <c:v>45020</c:v>
                      </c:pt>
                      <c:pt idx="65">
                        <c:v>45021</c:v>
                      </c:pt>
                      <c:pt idx="66">
                        <c:v>45022</c:v>
                      </c:pt>
                      <c:pt idx="67">
                        <c:v>45027</c:v>
                      </c:pt>
                      <c:pt idx="68">
                        <c:v>45028</c:v>
                      </c:pt>
                      <c:pt idx="69">
                        <c:v>45029</c:v>
                      </c:pt>
                      <c:pt idx="70">
                        <c:v>45030</c:v>
                      </c:pt>
                      <c:pt idx="71">
                        <c:v>45033</c:v>
                      </c:pt>
                      <c:pt idx="72">
                        <c:v>45034</c:v>
                      </c:pt>
                      <c:pt idx="73">
                        <c:v>45035</c:v>
                      </c:pt>
                      <c:pt idx="74">
                        <c:v>45036</c:v>
                      </c:pt>
                      <c:pt idx="75">
                        <c:v>45037</c:v>
                      </c:pt>
                      <c:pt idx="76">
                        <c:v>45040</c:v>
                      </c:pt>
                      <c:pt idx="77">
                        <c:v>45041</c:v>
                      </c:pt>
                      <c:pt idx="78">
                        <c:v>45042</c:v>
                      </c:pt>
                      <c:pt idx="79">
                        <c:v>45043</c:v>
                      </c:pt>
                      <c:pt idx="80">
                        <c:v>45044</c:v>
                      </c:pt>
                      <c:pt idx="81">
                        <c:v>45048</c:v>
                      </c:pt>
                      <c:pt idx="82">
                        <c:v>45049</c:v>
                      </c:pt>
                      <c:pt idx="83">
                        <c:v>45050</c:v>
                      </c:pt>
                      <c:pt idx="84">
                        <c:v>45051</c:v>
                      </c:pt>
                      <c:pt idx="85">
                        <c:v>45055</c:v>
                      </c:pt>
                      <c:pt idx="86">
                        <c:v>45056</c:v>
                      </c:pt>
                      <c:pt idx="87">
                        <c:v>45057</c:v>
                      </c:pt>
                      <c:pt idx="88">
                        <c:v>45058</c:v>
                      </c:pt>
                      <c:pt idx="89">
                        <c:v>45061</c:v>
                      </c:pt>
                      <c:pt idx="90">
                        <c:v>45062</c:v>
                      </c:pt>
                      <c:pt idx="91">
                        <c:v>45063</c:v>
                      </c:pt>
                      <c:pt idx="92">
                        <c:v>45064</c:v>
                      </c:pt>
                      <c:pt idx="93">
                        <c:v>45065</c:v>
                      </c:pt>
                      <c:pt idx="94">
                        <c:v>45068</c:v>
                      </c:pt>
                      <c:pt idx="95">
                        <c:v>45069</c:v>
                      </c:pt>
                      <c:pt idx="96">
                        <c:v>45070</c:v>
                      </c:pt>
                      <c:pt idx="97">
                        <c:v>45071</c:v>
                      </c:pt>
                      <c:pt idx="98">
                        <c:v>45072</c:v>
                      </c:pt>
                      <c:pt idx="99">
                        <c:v>45076</c:v>
                      </c:pt>
                      <c:pt idx="100">
                        <c:v>45077</c:v>
                      </c:pt>
                      <c:pt idx="101">
                        <c:v>45078</c:v>
                      </c:pt>
                      <c:pt idx="102">
                        <c:v>45079</c:v>
                      </c:pt>
                      <c:pt idx="103">
                        <c:v>45082</c:v>
                      </c:pt>
                      <c:pt idx="104">
                        <c:v>45083</c:v>
                      </c:pt>
                      <c:pt idx="105">
                        <c:v>45084</c:v>
                      </c:pt>
                      <c:pt idx="106">
                        <c:v>45085</c:v>
                      </c:pt>
                      <c:pt idx="107">
                        <c:v>45086</c:v>
                      </c:pt>
                      <c:pt idx="108">
                        <c:v>45089</c:v>
                      </c:pt>
                      <c:pt idx="109">
                        <c:v>45090</c:v>
                      </c:pt>
                      <c:pt idx="110">
                        <c:v>45091</c:v>
                      </c:pt>
                      <c:pt idx="111">
                        <c:v>45092</c:v>
                      </c:pt>
                      <c:pt idx="112">
                        <c:v>45093</c:v>
                      </c:pt>
                      <c:pt idx="113">
                        <c:v>45096</c:v>
                      </c:pt>
                      <c:pt idx="114">
                        <c:v>45097</c:v>
                      </c:pt>
                      <c:pt idx="115">
                        <c:v>45098</c:v>
                      </c:pt>
                      <c:pt idx="116">
                        <c:v>45099</c:v>
                      </c:pt>
                      <c:pt idx="117">
                        <c:v>45100</c:v>
                      </c:pt>
                      <c:pt idx="118">
                        <c:v>45103</c:v>
                      </c:pt>
                      <c:pt idx="119">
                        <c:v>45104</c:v>
                      </c:pt>
                      <c:pt idx="120">
                        <c:v>45105</c:v>
                      </c:pt>
                      <c:pt idx="121">
                        <c:v>45106</c:v>
                      </c:pt>
                      <c:pt idx="122">
                        <c:v>45107</c:v>
                      </c:pt>
                      <c:pt idx="123">
                        <c:v>45110</c:v>
                      </c:pt>
                      <c:pt idx="124">
                        <c:v>45111</c:v>
                      </c:pt>
                      <c:pt idx="125">
                        <c:v>45112</c:v>
                      </c:pt>
                      <c:pt idx="126">
                        <c:v>45113</c:v>
                      </c:pt>
                      <c:pt idx="127">
                        <c:v>45114</c:v>
                      </c:pt>
                      <c:pt idx="128">
                        <c:v>45117</c:v>
                      </c:pt>
                      <c:pt idx="129">
                        <c:v>45118</c:v>
                      </c:pt>
                      <c:pt idx="130">
                        <c:v>45119</c:v>
                      </c:pt>
                      <c:pt idx="131">
                        <c:v>45120</c:v>
                      </c:pt>
                      <c:pt idx="132">
                        <c:v>45121</c:v>
                      </c:pt>
                      <c:pt idx="133">
                        <c:v>45124</c:v>
                      </c:pt>
                      <c:pt idx="134">
                        <c:v>45125</c:v>
                      </c:pt>
                      <c:pt idx="135">
                        <c:v>45126</c:v>
                      </c:pt>
                      <c:pt idx="136">
                        <c:v>45127</c:v>
                      </c:pt>
                      <c:pt idx="137">
                        <c:v>45128</c:v>
                      </c:pt>
                      <c:pt idx="138">
                        <c:v>45131</c:v>
                      </c:pt>
                      <c:pt idx="139">
                        <c:v>45132</c:v>
                      </c:pt>
                      <c:pt idx="140">
                        <c:v>45133</c:v>
                      </c:pt>
                      <c:pt idx="141">
                        <c:v>45134</c:v>
                      </c:pt>
                      <c:pt idx="142">
                        <c:v>45135</c:v>
                      </c:pt>
                      <c:pt idx="143">
                        <c:v>45138</c:v>
                      </c:pt>
                      <c:pt idx="144">
                        <c:v>45139</c:v>
                      </c:pt>
                      <c:pt idx="145">
                        <c:v>45140</c:v>
                      </c:pt>
                      <c:pt idx="146">
                        <c:v>45141</c:v>
                      </c:pt>
                      <c:pt idx="147">
                        <c:v>45142</c:v>
                      </c:pt>
                      <c:pt idx="148">
                        <c:v>45145</c:v>
                      </c:pt>
                      <c:pt idx="149">
                        <c:v>45146</c:v>
                      </c:pt>
                      <c:pt idx="150">
                        <c:v>45147</c:v>
                      </c:pt>
                      <c:pt idx="151">
                        <c:v>45148</c:v>
                      </c:pt>
                      <c:pt idx="152">
                        <c:v>45149</c:v>
                      </c:pt>
                      <c:pt idx="153">
                        <c:v>45152</c:v>
                      </c:pt>
                      <c:pt idx="154">
                        <c:v>45153</c:v>
                      </c:pt>
                      <c:pt idx="155">
                        <c:v>45154</c:v>
                      </c:pt>
                      <c:pt idx="156">
                        <c:v>45155</c:v>
                      </c:pt>
                      <c:pt idx="157">
                        <c:v>45156</c:v>
                      </c:pt>
                      <c:pt idx="158">
                        <c:v>45159</c:v>
                      </c:pt>
                      <c:pt idx="159">
                        <c:v>45160</c:v>
                      </c:pt>
                      <c:pt idx="160">
                        <c:v>45161</c:v>
                      </c:pt>
                      <c:pt idx="161">
                        <c:v>45162</c:v>
                      </c:pt>
                      <c:pt idx="162">
                        <c:v>45163</c:v>
                      </c:pt>
                      <c:pt idx="163">
                        <c:v>45167</c:v>
                      </c:pt>
                      <c:pt idx="164">
                        <c:v>45168</c:v>
                      </c:pt>
                      <c:pt idx="165">
                        <c:v>45169</c:v>
                      </c:pt>
                      <c:pt idx="166">
                        <c:v>45170</c:v>
                      </c:pt>
                      <c:pt idx="167">
                        <c:v>45173</c:v>
                      </c:pt>
                      <c:pt idx="168">
                        <c:v>45174</c:v>
                      </c:pt>
                      <c:pt idx="169">
                        <c:v>45175</c:v>
                      </c:pt>
                      <c:pt idx="170">
                        <c:v>45176</c:v>
                      </c:pt>
                      <c:pt idx="171">
                        <c:v>45177</c:v>
                      </c:pt>
                      <c:pt idx="172">
                        <c:v>45180</c:v>
                      </c:pt>
                      <c:pt idx="173">
                        <c:v>45181</c:v>
                      </c:pt>
                      <c:pt idx="174">
                        <c:v>45182</c:v>
                      </c:pt>
                      <c:pt idx="175">
                        <c:v>45183</c:v>
                      </c:pt>
                      <c:pt idx="176">
                        <c:v>45184</c:v>
                      </c:pt>
                      <c:pt idx="177">
                        <c:v>45187</c:v>
                      </c:pt>
                      <c:pt idx="178">
                        <c:v>45188</c:v>
                      </c:pt>
                      <c:pt idx="179">
                        <c:v>45189</c:v>
                      </c:pt>
                      <c:pt idx="180">
                        <c:v>45190</c:v>
                      </c:pt>
                      <c:pt idx="181">
                        <c:v>45191</c:v>
                      </c:pt>
                      <c:pt idx="182">
                        <c:v>45194</c:v>
                      </c:pt>
                      <c:pt idx="183">
                        <c:v>45195</c:v>
                      </c:pt>
                      <c:pt idx="184">
                        <c:v>45196</c:v>
                      </c:pt>
                      <c:pt idx="185">
                        <c:v>45197</c:v>
                      </c:pt>
                      <c:pt idx="186">
                        <c:v>45198</c:v>
                      </c:pt>
                      <c:pt idx="187">
                        <c:v>45201</c:v>
                      </c:pt>
                      <c:pt idx="188">
                        <c:v>45202</c:v>
                      </c:pt>
                      <c:pt idx="189">
                        <c:v>45203</c:v>
                      </c:pt>
                      <c:pt idx="190">
                        <c:v>45204</c:v>
                      </c:pt>
                      <c:pt idx="191">
                        <c:v>45205</c:v>
                      </c:pt>
                      <c:pt idx="192">
                        <c:v>45208</c:v>
                      </c:pt>
                      <c:pt idx="193">
                        <c:v>45209</c:v>
                      </c:pt>
                      <c:pt idx="194">
                        <c:v>45210</c:v>
                      </c:pt>
                      <c:pt idx="195">
                        <c:v>45211</c:v>
                      </c:pt>
                      <c:pt idx="196">
                        <c:v>45212</c:v>
                      </c:pt>
                      <c:pt idx="197">
                        <c:v>45215</c:v>
                      </c:pt>
                      <c:pt idx="198">
                        <c:v>45216</c:v>
                      </c:pt>
                      <c:pt idx="199">
                        <c:v>45217</c:v>
                      </c:pt>
                      <c:pt idx="200">
                        <c:v>45218</c:v>
                      </c:pt>
                      <c:pt idx="201">
                        <c:v>45219</c:v>
                      </c:pt>
                      <c:pt idx="202">
                        <c:v>45222</c:v>
                      </c:pt>
                      <c:pt idx="203">
                        <c:v>45223</c:v>
                      </c:pt>
                      <c:pt idx="204">
                        <c:v>45224</c:v>
                      </c:pt>
                      <c:pt idx="205">
                        <c:v>45225</c:v>
                      </c:pt>
                      <c:pt idx="206">
                        <c:v>45226</c:v>
                      </c:pt>
                      <c:pt idx="207">
                        <c:v>45229</c:v>
                      </c:pt>
                      <c:pt idx="208">
                        <c:v>45230</c:v>
                      </c:pt>
                      <c:pt idx="209">
                        <c:v>45231</c:v>
                      </c:pt>
                      <c:pt idx="210">
                        <c:v>45232</c:v>
                      </c:pt>
                      <c:pt idx="211">
                        <c:v>45233</c:v>
                      </c:pt>
                      <c:pt idx="212">
                        <c:v>45236</c:v>
                      </c:pt>
                      <c:pt idx="213">
                        <c:v>45237</c:v>
                      </c:pt>
                      <c:pt idx="214">
                        <c:v>45238</c:v>
                      </c:pt>
                      <c:pt idx="215">
                        <c:v>45239</c:v>
                      </c:pt>
                      <c:pt idx="216">
                        <c:v>45240</c:v>
                      </c:pt>
                      <c:pt idx="217">
                        <c:v>45243</c:v>
                      </c:pt>
                      <c:pt idx="218">
                        <c:v>45244</c:v>
                      </c:pt>
                      <c:pt idx="219">
                        <c:v>45245</c:v>
                      </c:pt>
                      <c:pt idx="220">
                        <c:v>45246</c:v>
                      </c:pt>
                      <c:pt idx="221">
                        <c:v>45247</c:v>
                      </c:pt>
                      <c:pt idx="222">
                        <c:v>45250</c:v>
                      </c:pt>
                      <c:pt idx="223">
                        <c:v>45251</c:v>
                      </c:pt>
                      <c:pt idx="224">
                        <c:v>45252</c:v>
                      </c:pt>
                      <c:pt idx="225">
                        <c:v>45253</c:v>
                      </c:pt>
                      <c:pt idx="226">
                        <c:v>45254</c:v>
                      </c:pt>
                      <c:pt idx="227">
                        <c:v>45257</c:v>
                      </c:pt>
                      <c:pt idx="228">
                        <c:v>45258</c:v>
                      </c:pt>
                      <c:pt idx="229">
                        <c:v>45259</c:v>
                      </c:pt>
                      <c:pt idx="230">
                        <c:v>45260</c:v>
                      </c:pt>
                      <c:pt idx="231">
                        <c:v>45261</c:v>
                      </c:pt>
                      <c:pt idx="232">
                        <c:v>45264</c:v>
                      </c:pt>
                      <c:pt idx="233">
                        <c:v>45265</c:v>
                      </c:pt>
                      <c:pt idx="234">
                        <c:v>45266</c:v>
                      </c:pt>
                      <c:pt idx="235">
                        <c:v>45267</c:v>
                      </c:pt>
                      <c:pt idx="236">
                        <c:v>45268</c:v>
                      </c:pt>
                      <c:pt idx="237">
                        <c:v>45271</c:v>
                      </c:pt>
                      <c:pt idx="238">
                        <c:v>45272</c:v>
                      </c:pt>
                      <c:pt idx="239">
                        <c:v>45273</c:v>
                      </c:pt>
                      <c:pt idx="240">
                        <c:v>45274</c:v>
                      </c:pt>
                      <c:pt idx="241">
                        <c:v>45275</c:v>
                      </c:pt>
                      <c:pt idx="242">
                        <c:v>45278</c:v>
                      </c:pt>
                      <c:pt idx="243">
                        <c:v>45279</c:v>
                      </c:pt>
                      <c:pt idx="244">
                        <c:v>45280</c:v>
                      </c:pt>
                      <c:pt idx="245">
                        <c:v>45281</c:v>
                      </c:pt>
                      <c:pt idx="246">
                        <c:v>45282</c:v>
                      </c:pt>
                      <c:pt idx="247">
                        <c:v>45286</c:v>
                      </c:pt>
                      <c:pt idx="248">
                        <c:v>45287</c:v>
                      </c:pt>
                      <c:pt idx="249">
                        <c:v>45288</c:v>
                      </c:pt>
                      <c:pt idx="250">
                        <c:v>45289</c:v>
                      </c:pt>
                      <c:pt idx="251">
                        <c:v>45293</c:v>
                      </c:pt>
                      <c:pt idx="252">
                        <c:v>45294</c:v>
                      </c:pt>
                      <c:pt idx="253">
                        <c:v>45295</c:v>
                      </c:pt>
                      <c:pt idx="254">
                        <c:v>45296</c:v>
                      </c:pt>
                      <c:pt idx="255">
                        <c:v>45299</c:v>
                      </c:pt>
                      <c:pt idx="256">
                        <c:v>45300</c:v>
                      </c:pt>
                      <c:pt idx="257">
                        <c:v>45301</c:v>
                      </c:pt>
                      <c:pt idx="258">
                        <c:v>45302</c:v>
                      </c:pt>
                      <c:pt idx="259">
                        <c:v>45303</c:v>
                      </c:pt>
                      <c:pt idx="260">
                        <c:v>45306</c:v>
                      </c:pt>
                      <c:pt idx="261">
                        <c:v>45307</c:v>
                      </c:pt>
                      <c:pt idx="262">
                        <c:v>45308</c:v>
                      </c:pt>
                      <c:pt idx="263">
                        <c:v>45309</c:v>
                      </c:pt>
                      <c:pt idx="264">
                        <c:v>45310</c:v>
                      </c:pt>
                      <c:pt idx="265">
                        <c:v>45313</c:v>
                      </c:pt>
                      <c:pt idx="266">
                        <c:v>45314</c:v>
                      </c:pt>
                      <c:pt idx="267">
                        <c:v>45315</c:v>
                      </c:pt>
                      <c:pt idx="268">
                        <c:v>45316</c:v>
                      </c:pt>
                      <c:pt idx="269">
                        <c:v>45317</c:v>
                      </c:pt>
                      <c:pt idx="270">
                        <c:v>45320</c:v>
                      </c:pt>
                      <c:pt idx="271">
                        <c:v>45321</c:v>
                      </c:pt>
                      <c:pt idx="272">
                        <c:v>45322</c:v>
                      </c:pt>
                      <c:pt idx="273">
                        <c:v>45323</c:v>
                      </c:pt>
                      <c:pt idx="274">
                        <c:v>45324</c:v>
                      </c:pt>
                      <c:pt idx="275">
                        <c:v>45327</c:v>
                      </c:pt>
                      <c:pt idx="276">
                        <c:v>45328</c:v>
                      </c:pt>
                      <c:pt idx="277">
                        <c:v>45329</c:v>
                      </c:pt>
                      <c:pt idx="278">
                        <c:v>45330</c:v>
                      </c:pt>
                      <c:pt idx="279">
                        <c:v>45331</c:v>
                      </c:pt>
                      <c:pt idx="280">
                        <c:v>45334</c:v>
                      </c:pt>
                      <c:pt idx="281">
                        <c:v>45335</c:v>
                      </c:pt>
                      <c:pt idx="282">
                        <c:v>45336</c:v>
                      </c:pt>
                      <c:pt idx="283">
                        <c:v>45337</c:v>
                      </c:pt>
                      <c:pt idx="284">
                        <c:v>45338</c:v>
                      </c:pt>
                      <c:pt idx="285">
                        <c:v>45341</c:v>
                      </c:pt>
                      <c:pt idx="286">
                        <c:v>45342</c:v>
                      </c:pt>
                      <c:pt idx="287">
                        <c:v>45343</c:v>
                      </c:pt>
                      <c:pt idx="288">
                        <c:v>45344</c:v>
                      </c:pt>
                      <c:pt idx="289">
                        <c:v>45345</c:v>
                      </c:pt>
                      <c:pt idx="290">
                        <c:v>45348</c:v>
                      </c:pt>
                      <c:pt idx="291">
                        <c:v>45349</c:v>
                      </c:pt>
                      <c:pt idx="292">
                        <c:v>45350</c:v>
                      </c:pt>
                      <c:pt idx="293">
                        <c:v>45351</c:v>
                      </c:pt>
                      <c:pt idx="294">
                        <c:v>45352</c:v>
                      </c:pt>
                      <c:pt idx="295">
                        <c:v>45355</c:v>
                      </c:pt>
                      <c:pt idx="296">
                        <c:v>45356</c:v>
                      </c:pt>
                      <c:pt idx="297">
                        <c:v>45357</c:v>
                      </c:pt>
                      <c:pt idx="298">
                        <c:v>45358</c:v>
                      </c:pt>
                      <c:pt idx="299">
                        <c:v>45359</c:v>
                      </c:pt>
                      <c:pt idx="300">
                        <c:v>45362</c:v>
                      </c:pt>
                      <c:pt idx="301">
                        <c:v>45363</c:v>
                      </c:pt>
                      <c:pt idx="302">
                        <c:v>45364</c:v>
                      </c:pt>
                      <c:pt idx="303">
                        <c:v>45365</c:v>
                      </c:pt>
                      <c:pt idx="304">
                        <c:v>45366</c:v>
                      </c:pt>
                      <c:pt idx="305">
                        <c:v>45369</c:v>
                      </c:pt>
                      <c:pt idx="306">
                        <c:v>45370</c:v>
                      </c:pt>
                      <c:pt idx="307">
                        <c:v>45371</c:v>
                      </c:pt>
                      <c:pt idx="308">
                        <c:v>45372</c:v>
                      </c:pt>
                      <c:pt idx="309">
                        <c:v>45373</c:v>
                      </c:pt>
                      <c:pt idx="310">
                        <c:v>45376</c:v>
                      </c:pt>
                      <c:pt idx="311">
                        <c:v>45377</c:v>
                      </c:pt>
                      <c:pt idx="312">
                        <c:v>45378</c:v>
                      </c:pt>
                      <c:pt idx="313">
                        <c:v>45379</c:v>
                      </c:pt>
                      <c:pt idx="314">
                        <c:v>45384</c:v>
                      </c:pt>
                      <c:pt idx="315">
                        <c:v>45385</c:v>
                      </c:pt>
                      <c:pt idx="316">
                        <c:v>45386</c:v>
                      </c:pt>
                      <c:pt idx="317">
                        <c:v>45387</c:v>
                      </c:pt>
                      <c:pt idx="318">
                        <c:v>45390</c:v>
                      </c:pt>
                      <c:pt idx="319">
                        <c:v>45391</c:v>
                      </c:pt>
                      <c:pt idx="320">
                        <c:v>45392</c:v>
                      </c:pt>
                      <c:pt idx="321">
                        <c:v>45393</c:v>
                      </c:pt>
                      <c:pt idx="322">
                        <c:v>45394</c:v>
                      </c:pt>
                      <c:pt idx="323">
                        <c:v>45397</c:v>
                      </c:pt>
                      <c:pt idx="324">
                        <c:v>45398</c:v>
                      </c:pt>
                      <c:pt idx="325">
                        <c:v>45399</c:v>
                      </c:pt>
                      <c:pt idx="326">
                        <c:v>45400</c:v>
                      </c:pt>
                      <c:pt idx="327">
                        <c:v>45404</c:v>
                      </c:pt>
                      <c:pt idx="328">
                        <c:v>45405</c:v>
                      </c:pt>
                      <c:pt idx="329">
                        <c:v>45406</c:v>
                      </c:pt>
                      <c:pt idx="330">
                        <c:v>45407</c:v>
                      </c:pt>
                      <c:pt idx="331">
                        <c:v>45408</c:v>
                      </c:pt>
                      <c:pt idx="332">
                        <c:v>45411</c:v>
                      </c:pt>
                      <c:pt idx="333">
                        <c:v>45412</c:v>
                      </c:pt>
                      <c:pt idx="334">
                        <c:v>45413</c:v>
                      </c:pt>
                      <c:pt idx="335">
                        <c:v>45414</c:v>
                      </c:pt>
                      <c:pt idx="336">
                        <c:v>45415</c:v>
                      </c:pt>
                      <c:pt idx="337">
                        <c:v>45418</c:v>
                      </c:pt>
                      <c:pt idx="338">
                        <c:v>45419</c:v>
                      </c:pt>
                      <c:pt idx="339">
                        <c:v>45420</c:v>
                      </c:pt>
                      <c:pt idx="340">
                        <c:v>45421</c:v>
                      </c:pt>
                      <c:pt idx="341">
                        <c:v>45422</c:v>
                      </c:pt>
                      <c:pt idx="342">
                        <c:v>45425</c:v>
                      </c:pt>
                      <c:pt idx="343">
                        <c:v>45426</c:v>
                      </c:pt>
                      <c:pt idx="344">
                        <c:v>45427</c:v>
                      </c:pt>
                      <c:pt idx="345">
                        <c:v>45428</c:v>
                      </c:pt>
                      <c:pt idx="346">
                        <c:v>45429</c:v>
                      </c:pt>
                      <c:pt idx="347">
                        <c:v>45432</c:v>
                      </c:pt>
                      <c:pt idx="348">
                        <c:v>45433</c:v>
                      </c:pt>
                      <c:pt idx="349">
                        <c:v>45434</c:v>
                      </c:pt>
                      <c:pt idx="350">
                        <c:v>45435</c:v>
                      </c:pt>
                      <c:pt idx="351">
                        <c:v>45436</c:v>
                      </c:pt>
                      <c:pt idx="352">
                        <c:v>45439</c:v>
                      </c:pt>
                      <c:pt idx="353">
                        <c:v>45440</c:v>
                      </c:pt>
                      <c:pt idx="354">
                        <c:v>45441</c:v>
                      </c:pt>
                      <c:pt idx="355">
                        <c:v>45442</c:v>
                      </c:pt>
                      <c:pt idx="356">
                        <c:v>45443</c:v>
                      </c:pt>
                      <c:pt idx="357">
                        <c:v>45446</c:v>
                      </c:pt>
                      <c:pt idx="358">
                        <c:v>45447</c:v>
                      </c:pt>
                      <c:pt idx="359">
                        <c:v>45448</c:v>
                      </c:pt>
                      <c:pt idx="360">
                        <c:v>45449</c:v>
                      </c:pt>
                      <c:pt idx="361">
                        <c:v>45450</c:v>
                      </c:pt>
                      <c:pt idx="362">
                        <c:v>45453</c:v>
                      </c:pt>
                      <c:pt idx="363">
                        <c:v>45454</c:v>
                      </c:pt>
                      <c:pt idx="364">
                        <c:v>45455</c:v>
                      </c:pt>
                      <c:pt idx="365">
                        <c:v>45456</c:v>
                      </c:pt>
                      <c:pt idx="366">
                        <c:v>45457</c:v>
                      </c:pt>
                      <c:pt idx="367">
                        <c:v>45460</c:v>
                      </c:pt>
                      <c:pt idx="368">
                        <c:v>45461</c:v>
                      </c:pt>
                      <c:pt idx="369">
                        <c:v>45462</c:v>
                      </c:pt>
                      <c:pt idx="370">
                        <c:v>45463</c:v>
                      </c:pt>
                      <c:pt idx="371">
                        <c:v>45464</c:v>
                      </c:pt>
                      <c:pt idx="372">
                        <c:v>45467</c:v>
                      </c:pt>
                      <c:pt idx="373">
                        <c:v>45468</c:v>
                      </c:pt>
                      <c:pt idx="374">
                        <c:v>45469</c:v>
                      </c:pt>
                      <c:pt idx="375">
                        <c:v>45470</c:v>
                      </c:pt>
                      <c:pt idx="376">
                        <c:v>45471</c:v>
                      </c:pt>
                      <c:pt idx="377">
                        <c:v>45474</c:v>
                      </c:pt>
                      <c:pt idx="378">
                        <c:v>45475</c:v>
                      </c:pt>
                      <c:pt idx="379">
                        <c:v>45476</c:v>
                      </c:pt>
                      <c:pt idx="380">
                        <c:v>45477</c:v>
                      </c:pt>
                      <c:pt idx="381">
                        <c:v>45478</c:v>
                      </c:pt>
                      <c:pt idx="382">
                        <c:v>45481</c:v>
                      </c:pt>
                      <c:pt idx="383">
                        <c:v>45482</c:v>
                      </c:pt>
                      <c:pt idx="384">
                        <c:v>45483</c:v>
                      </c:pt>
                      <c:pt idx="385">
                        <c:v>45484</c:v>
                      </c:pt>
                      <c:pt idx="386">
                        <c:v>45485</c:v>
                      </c:pt>
                      <c:pt idx="387">
                        <c:v>45488</c:v>
                      </c:pt>
                      <c:pt idx="388">
                        <c:v>45489</c:v>
                      </c:pt>
                      <c:pt idx="389">
                        <c:v>45490</c:v>
                      </c:pt>
                      <c:pt idx="390">
                        <c:v>45491</c:v>
                      </c:pt>
                      <c:pt idx="391">
                        <c:v>45492</c:v>
                      </c:pt>
                      <c:pt idx="392">
                        <c:v>45495</c:v>
                      </c:pt>
                      <c:pt idx="393">
                        <c:v>45496</c:v>
                      </c:pt>
                      <c:pt idx="394">
                        <c:v>45497</c:v>
                      </c:pt>
                      <c:pt idx="395">
                        <c:v>45498</c:v>
                      </c:pt>
                      <c:pt idx="396">
                        <c:v>45499</c:v>
                      </c:pt>
                      <c:pt idx="397">
                        <c:v>45502</c:v>
                      </c:pt>
                      <c:pt idx="398">
                        <c:v>45503</c:v>
                      </c:pt>
                      <c:pt idx="399">
                        <c:v>45504</c:v>
                      </c:pt>
                      <c:pt idx="400">
                        <c:v>45505</c:v>
                      </c:pt>
                      <c:pt idx="401">
                        <c:v>45506</c:v>
                      </c:pt>
                      <c:pt idx="402">
                        <c:v>45509</c:v>
                      </c:pt>
                      <c:pt idx="403">
                        <c:v>45510</c:v>
                      </c:pt>
                      <c:pt idx="404">
                        <c:v>45511</c:v>
                      </c:pt>
                      <c:pt idx="405">
                        <c:v>45512</c:v>
                      </c:pt>
                      <c:pt idx="406">
                        <c:v>45513</c:v>
                      </c:pt>
                      <c:pt idx="407">
                        <c:v>45516</c:v>
                      </c:pt>
                      <c:pt idx="408">
                        <c:v>45517</c:v>
                      </c:pt>
                      <c:pt idx="409">
                        <c:v>45518</c:v>
                      </c:pt>
                      <c:pt idx="410">
                        <c:v>45519</c:v>
                      </c:pt>
                      <c:pt idx="411">
                        <c:v>45520</c:v>
                      </c:pt>
                      <c:pt idx="412">
                        <c:v>45523</c:v>
                      </c:pt>
                      <c:pt idx="413">
                        <c:v>45524</c:v>
                      </c:pt>
                      <c:pt idx="414">
                        <c:v>45525</c:v>
                      </c:pt>
                      <c:pt idx="415">
                        <c:v>45526</c:v>
                      </c:pt>
                      <c:pt idx="416">
                        <c:v>45527</c:v>
                      </c:pt>
                      <c:pt idx="417">
                        <c:v>45530</c:v>
                      </c:pt>
                      <c:pt idx="418">
                        <c:v>45531</c:v>
                      </c:pt>
                      <c:pt idx="419">
                        <c:v>45532</c:v>
                      </c:pt>
                      <c:pt idx="420">
                        <c:v>45533</c:v>
                      </c:pt>
                      <c:pt idx="421">
                        <c:v>45534</c:v>
                      </c:pt>
                      <c:pt idx="422">
                        <c:v>45537</c:v>
                      </c:pt>
                      <c:pt idx="423">
                        <c:v>45538</c:v>
                      </c:pt>
                      <c:pt idx="424">
                        <c:v>45539</c:v>
                      </c:pt>
                      <c:pt idx="425">
                        <c:v>45540</c:v>
                      </c:pt>
                      <c:pt idx="426">
                        <c:v>45541</c:v>
                      </c:pt>
                      <c:pt idx="427">
                        <c:v>45544</c:v>
                      </c:pt>
                      <c:pt idx="428">
                        <c:v>45545</c:v>
                      </c:pt>
                      <c:pt idx="429">
                        <c:v>45546</c:v>
                      </c:pt>
                      <c:pt idx="430">
                        <c:v>45547</c:v>
                      </c:pt>
                      <c:pt idx="431">
                        <c:v>45548</c:v>
                      </c:pt>
                      <c:pt idx="432">
                        <c:v>45551</c:v>
                      </c:pt>
                      <c:pt idx="433">
                        <c:v>45552</c:v>
                      </c:pt>
                      <c:pt idx="434">
                        <c:v>45553</c:v>
                      </c:pt>
                      <c:pt idx="435">
                        <c:v>45554</c:v>
                      </c:pt>
                      <c:pt idx="436">
                        <c:v>45555</c:v>
                      </c:pt>
                      <c:pt idx="437">
                        <c:v>45558</c:v>
                      </c:pt>
                      <c:pt idx="438">
                        <c:v>45559</c:v>
                      </c:pt>
                      <c:pt idx="439">
                        <c:v>45560</c:v>
                      </c:pt>
                      <c:pt idx="440">
                        <c:v>45561</c:v>
                      </c:pt>
                      <c:pt idx="441">
                        <c:v>45562</c:v>
                      </c:pt>
                      <c:pt idx="442">
                        <c:v>45565</c:v>
                      </c:pt>
                      <c:pt idx="443">
                        <c:v>45566</c:v>
                      </c:pt>
                      <c:pt idx="444">
                        <c:v>45567</c:v>
                      </c:pt>
                      <c:pt idx="445">
                        <c:v>45568</c:v>
                      </c:pt>
                      <c:pt idx="446">
                        <c:v>45569</c:v>
                      </c:pt>
                      <c:pt idx="447">
                        <c:v>45572</c:v>
                      </c:pt>
                      <c:pt idx="448">
                        <c:v>45573</c:v>
                      </c:pt>
                      <c:pt idx="449">
                        <c:v>45574</c:v>
                      </c:pt>
                      <c:pt idx="450">
                        <c:v>45575</c:v>
                      </c:pt>
                      <c:pt idx="451">
                        <c:v>45576</c:v>
                      </c:pt>
                      <c:pt idx="452">
                        <c:v>45579</c:v>
                      </c:pt>
                      <c:pt idx="453">
                        <c:v>45580</c:v>
                      </c:pt>
                      <c:pt idx="454">
                        <c:v>45581</c:v>
                      </c:pt>
                      <c:pt idx="455">
                        <c:v>45582</c:v>
                      </c:pt>
                      <c:pt idx="456">
                        <c:v>45583</c:v>
                      </c:pt>
                      <c:pt idx="457">
                        <c:v>45586</c:v>
                      </c:pt>
                      <c:pt idx="458">
                        <c:v>45587</c:v>
                      </c:pt>
                      <c:pt idx="459">
                        <c:v>45588</c:v>
                      </c:pt>
                      <c:pt idx="460">
                        <c:v>45589</c:v>
                      </c:pt>
                      <c:pt idx="461">
                        <c:v>45590</c:v>
                      </c:pt>
                      <c:pt idx="462">
                        <c:v>45593</c:v>
                      </c:pt>
                      <c:pt idx="463">
                        <c:v>45594</c:v>
                      </c:pt>
                      <c:pt idx="464">
                        <c:v>45595</c:v>
                      </c:pt>
                      <c:pt idx="465">
                        <c:v>45596</c:v>
                      </c:pt>
                      <c:pt idx="466">
                        <c:v>45597</c:v>
                      </c:pt>
                      <c:pt idx="467">
                        <c:v>45600</c:v>
                      </c:pt>
                      <c:pt idx="468">
                        <c:v>45601</c:v>
                      </c:pt>
                      <c:pt idx="469">
                        <c:v>45602</c:v>
                      </c:pt>
                      <c:pt idx="470">
                        <c:v>45603</c:v>
                      </c:pt>
                      <c:pt idx="471">
                        <c:v>45604</c:v>
                      </c:pt>
                      <c:pt idx="472">
                        <c:v>45608</c:v>
                      </c:pt>
                      <c:pt idx="473">
                        <c:v>45609</c:v>
                      </c:pt>
                      <c:pt idx="474">
                        <c:v>45610</c:v>
                      </c:pt>
                      <c:pt idx="475">
                        <c:v>45611</c:v>
                      </c:pt>
                      <c:pt idx="476">
                        <c:v>45614</c:v>
                      </c:pt>
                      <c:pt idx="477">
                        <c:v>45615</c:v>
                      </c:pt>
                      <c:pt idx="478">
                        <c:v>45616</c:v>
                      </c:pt>
                      <c:pt idx="479">
                        <c:v>45617</c:v>
                      </c:pt>
                      <c:pt idx="480">
                        <c:v>45618</c:v>
                      </c:pt>
                      <c:pt idx="481">
                        <c:v>45621</c:v>
                      </c:pt>
                      <c:pt idx="482">
                        <c:v>45622</c:v>
                      </c:pt>
                      <c:pt idx="483">
                        <c:v>45623</c:v>
                      </c:pt>
                      <c:pt idx="484">
                        <c:v>45624</c:v>
                      </c:pt>
                      <c:pt idx="485">
                        <c:v>45625</c:v>
                      </c:pt>
                      <c:pt idx="486">
                        <c:v>45628</c:v>
                      </c:pt>
                      <c:pt idx="487">
                        <c:v>45629</c:v>
                      </c:pt>
                      <c:pt idx="488">
                        <c:v>45630</c:v>
                      </c:pt>
                      <c:pt idx="489">
                        <c:v>45631</c:v>
                      </c:pt>
                      <c:pt idx="490">
                        <c:v>45632</c:v>
                      </c:pt>
                      <c:pt idx="491">
                        <c:v>45635</c:v>
                      </c:pt>
                      <c:pt idx="492">
                        <c:v>45636</c:v>
                      </c:pt>
                      <c:pt idx="493">
                        <c:v>45637</c:v>
                      </c:pt>
                      <c:pt idx="494">
                        <c:v>45638</c:v>
                      </c:pt>
                      <c:pt idx="495">
                        <c:v>45639</c:v>
                      </c:pt>
                      <c:pt idx="496">
                        <c:v>45642</c:v>
                      </c:pt>
                      <c:pt idx="497">
                        <c:v>45643</c:v>
                      </c:pt>
                      <c:pt idx="498">
                        <c:v>45644</c:v>
                      </c:pt>
                      <c:pt idx="499">
                        <c:v>45645</c:v>
                      </c:pt>
                      <c:pt idx="500">
                        <c:v>45646</c:v>
                      </c:pt>
                      <c:pt idx="501">
                        <c:v>45649</c:v>
                      </c:pt>
                      <c:pt idx="502">
                        <c:v>45650</c:v>
                      </c:pt>
                      <c:pt idx="503">
                        <c:v>45653</c:v>
                      </c:pt>
                      <c:pt idx="504">
                        <c:v>45656</c:v>
                      </c:pt>
                      <c:pt idx="505">
                        <c:v>45657</c:v>
                      </c:pt>
                      <c:pt idx="506">
                        <c:v>45659</c:v>
                      </c:pt>
                      <c:pt idx="507">
                        <c:v>45660</c:v>
                      </c:pt>
                      <c:pt idx="508">
                        <c:v>45663</c:v>
                      </c:pt>
                      <c:pt idx="509">
                        <c:v>45664</c:v>
                      </c:pt>
                      <c:pt idx="510">
                        <c:v>45665</c:v>
                      </c:pt>
                      <c:pt idx="511">
                        <c:v>45666</c:v>
                      </c:pt>
                      <c:pt idx="512">
                        <c:v>45667</c:v>
                      </c:pt>
                      <c:pt idx="513">
                        <c:v>45670</c:v>
                      </c:pt>
                      <c:pt idx="514">
                        <c:v>45671</c:v>
                      </c:pt>
                      <c:pt idx="515">
                        <c:v>45672</c:v>
                      </c:pt>
                      <c:pt idx="516">
                        <c:v>45673</c:v>
                      </c:pt>
                      <c:pt idx="517">
                        <c:v>45674</c:v>
                      </c:pt>
                      <c:pt idx="518">
                        <c:v>45677</c:v>
                      </c:pt>
                      <c:pt idx="519">
                        <c:v>45678</c:v>
                      </c:pt>
                      <c:pt idx="520">
                        <c:v>45679</c:v>
                      </c:pt>
                      <c:pt idx="521">
                        <c:v>45680</c:v>
                      </c:pt>
                      <c:pt idx="522">
                        <c:v>45681</c:v>
                      </c:pt>
                      <c:pt idx="523">
                        <c:v>45684</c:v>
                      </c:pt>
                      <c:pt idx="524">
                        <c:v>45685</c:v>
                      </c:pt>
                      <c:pt idx="525">
                        <c:v>45686</c:v>
                      </c:pt>
                      <c:pt idx="526">
                        <c:v>45687</c:v>
                      </c:pt>
                      <c:pt idx="527">
                        <c:v>45688</c:v>
                      </c:pt>
                      <c:pt idx="528">
                        <c:v>45691</c:v>
                      </c:pt>
                      <c:pt idx="529">
                        <c:v>45692</c:v>
                      </c:pt>
                      <c:pt idx="530">
                        <c:v>45693</c:v>
                      </c:pt>
                      <c:pt idx="531">
                        <c:v>45694</c:v>
                      </c:pt>
                      <c:pt idx="532">
                        <c:v>45695</c:v>
                      </c:pt>
                      <c:pt idx="533">
                        <c:v>45698</c:v>
                      </c:pt>
                      <c:pt idx="534">
                        <c:v>45699</c:v>
                      </c:pt>
                      <c:pt idx="535">
                        <c:v>45700</c:v>
                      </c:pt>
                      <c:pt idx="536">
                        <c:v>45701</c:v>
                      </c:pt>
                      <c:pt idx="537">
                        <c:v>45702</c:v>
                      </c:pt>
                      <c:pt idx="538">
                        <c:v>45705</c:v>
                      </c:pt>
                      <c:pt idx="539">
                        <c:v>45706</c:v>
                      </c:pt>
                      <c:pt idx="540">
                        <c:v>45707</c:v>
                      </c:pt>
                      <c:pt idx="541">
                        <c:v>45708</c:v>
                      </c:pt>
                      <c:pt idx="542">
                        <c:v>45709</c:v>
                      </c:pt>
                      <c:pt idx="543">
                        <c:v>45712</c:v>
                      </c:pt>
                      <c:pt idx="544">
                        <c:v>45713</c:v>
                      </c:pt>
                      <c:pt idx="545">
                        <c:v>45714</c:v>
                      </c:pt>
                      <c:pt idx="546">
                        <c:v>45715</c:v>
                      </c:pt>
                      <c:pt idx="547">
                        <c:v>45716</c:v>
                      </c:pt>
                      <c:pt idx="548">
                        <c:v>45719</c:v>
                      </c:pt>
                      <c:pt idx="549">
                        <c:v>45720</c:v>
                      </c:pt>
                      <c:pt idx="550">
                        <c:v>45721</c:v>
                      </c:pt>
                      <c:pt idx="551">
                        <c:v>45722</c:v>
                      </c:pt>
                      <c:pt idx="552">
                        <c:v>45723</c:v>
                      </c:pt>
                      <c:pt idx="553">
                        <c:v>45726</c:v>
                      </c:pt>
                      <c:pt idx="554">
                        <c:v>45727</c:v>
                      </c:pt>
                      <c:pt idx="555">
                        <c:v>45728</c:v>
                      </c:pt>
                      <c:pt idx="556">
                        <c:v>45729</c:v>
                      </c:pt>
                      <c:pt idx="557">
                        <c:v>45730</c:v>
                      </c:pt>
                      <c:pt idx="558">
                        <c:v>45733</c:v>
                      </c:pt>
                      <c:pt idx="559">
                        <c:v>45734</c:v>
                      </c:pt>
                      <c:pt idx="560">
                        <c:v>45735</c:v>
                      </c:pt>
                      <c:pt idx="561">
                        <c:v>45736</c:v>
                      </c:pt>
                      <c:pt idx="562">
                        <c:v>45737</c:v>
                      </c:pt>
                      <c:pt idx="563">
                        <c:v>45740</c:v>
                      </c:pt>
                      <c:pt idx="564">
                        <c:v>45741</c:v>
                      </c:pt>
                      <c:pt idx="565">
                        <c:v>45742</c:v>
                      </c:pt>
                      <c:pt idx="566">
                        <c:v>45743</c:v>
                      </c:pt>
                      <c:pt idx="567">
                        <c:v>45744</c:v>
                      </c:pt>
                      <c:pt idx="568">
                        <c:v>45747</c:v>
                      </c:pt>
                      <c:pt idx="569">
                        <c:v>45748</c:v>
                      </c:pt>
                      <c:pt idx="570">
                        <c:v>45749</c:v>
                      </c:pt>
                      <c:pt idx="571">
                        <c:v>45750</c:v>
                      </c:pt>
                      <c:pt idx="572">
                        <c:v>45751</c:v>
                      </c:pt>
                      <c:pt idx="573">
                        <c:v>45754</c:v>
                      </c:pt>
                      <c:pt idx="574">
                        <c:v>45755</c:v>
                      </c:pt>
                      <c:pt idx="575">
                        <c:v>45756</c:v>
                      </c:pt>
                      <c:pt idx="576">
                        <c:v>45757</c:v>
                      </c:pt>
                      <c:pt idx="577">
                        <c:v>45761</c:v>
                      </c:pt>
                      <c:pt idx="578">
                        <c:v>45762</c:v>
                      </c:pt>
                      <c:pt idx="579">
                        <c:v>45763</c:v>
                      </c:pt>
                      <c:pt idx="580">
                        <c:v>45764</c:v>
                      </c:pt>
                      <c:pt idx="581">
                        <c:v>45768</c:v>
                      </c:pt>
                      <c:pt idx="582">
                        <c:v>45771</c:v>
                      </c:pt>
                      <c:pt idx="583">
                        <c:v>45772</c:v>
                      </c:pt>
                      <c:pt idx="584">
                        <c:v>45775</c:v>
                      </c:pt>
                      <c:pt idx="585">
                        <c:v>45776</c:v>
                      </c:pt>
                      <c:pt idx="586">
                        <c:v>45784</c:v>
                      </c:pt>
                      <c:pt idx="587">
                        <c:v>45785</c:v>
                      </c:pt>
                      <c:pt idx="588">
                        <c:v>45789</c:v>
                      </c:pt>
                      <c:pt idx="589">
                        <c:v>45790</c:v>
                      </c:pt>
                      <c:pt idx="590">
                        <c:v>45796</c:v>
                      </c:pt>
                      <c:pt idx="591">
                        <c:v>45797</c:v>
                      </c:pt>
                      <c:pt idx="592">
                        <c:v>45798</c:v>
                      </c:pt>
                      <c:pt idx="593">
                        <c:v>45799</c:v>
                      </c:pt>
                      <c:pt idx="594">
                        <c:v>45800</c:v>
                      </c:pt>
                      <c:pt idx="595">
                        <c:v>45804</c:v>
                      </c:pt>
                      <c:pt idx="596">
                        <c:v>45805</c:v>
                      </c:pt>
                      <c:pt idx="597">
                        <c:v>45806</c:v>
                      </c:pt>
                      <c:pt idx="598">
                        <c:v>45807</c:v>
                      </c:pt>
                      <c:pt idx="599">
                        <c:v>45810</c:v>
                      </c:pt>
                      <c:pt idx="600">
                        <c:v>45811</c:v>
                      </c:pt>
                      <c:pt idx="601">
                        <c:v>45812</c:v>
                      </c:pt>
                      <c:pt idx="602">
                        <c:v>45813</c:v>
                      </c:pt>
                      <c:pt idx="603">
                        <c:v>45814</c:v>
                      </c:pt>
                      <c:pt idx="604">
                        <c:v>45817</c:v>
                      </c:pt>
                      <c:pt idx="605">
                        <c:v>45818</c:v>
                      </c:pt>
                      <c:pt idx="606">
                        <c:v>45819</c:v>
                      </c:pt>
                      <c:pt idx="607">
                        <c:v>45821</c:v>
                      </c:pt>
                      <c:pt idx="608">
                        <c:v>45824</c:v>
                      </c:pt>
                      <c:pt idx="609">
                        <c:v>45825</c:v>
                      </c:pt>
                      <c:pt idx="610">
                        <c:v>45826</c:v>
                      </c:pt>
                      <c:pt idx="611">
                        <c:v>45828</c:v>
                      </c:pt>
                      <c:pt idx="612">
                        <c:v>45831</c:v>
                      </c:pt>
                      <c:pt idx="613">
                        <c:v>45832</c:v>
                      </c:pt>
                      <c:pt idx="614">
                        <c:v>45833</c:v>
                      </c:pt>
                      <c:pt idx="615">
                        <c:v>45835</c:v>
                      </c:pt>
                      <c:pt idx="616">
                        <c:v>45838</c:v>
                      </c:pt>
                      <c:pt idx="617">
                        <c:v>45839</c:v>
                      </c:pt>
                      <c:pt idx="618">
                        <c:v>45840</c:v>
                      </c:pt>
                      <c:pt idx="619">
                        <c:v>45841</c:v>
                      </c:pt>
                      <c:pt idx="620">
                        <c:v>45845</c:v>
                      </c:pt>
                      <c:pt idx="621">
                        <c:v>45846</c:v>
                      </c:pt>
                      <c:pt idx="622">
                        <c:v>45847</c:v>
                      </c:pt>
                      <c:pt idx="623">
                        <c:v>45848</c:v>
                      </c:pt>
                      <c:pt idx="624">
                        <c:v>45849</c:v>
                      </c:pt>
                      <c:pt idx="625">
                        <c:v>45852</c:v>
                      </c:pt>
                      <c:pt idx="626">
                        <c:v>45853</c:v>
                      </c:pt>
                      <c:pt idx="627">
                        <c:v>45854</c:v>
                      </c:pt>
                      <c:pt idx="628">
                        <c:v>45855</c:v>
                      </c:pt>
                      <c:pt idx="629">
                        <c:v>45856</c:v>
                      </c:pt>
                      <c:pt idx="630">
                        <c:v>45859</c:v>
                      </c:pt>
                      <c:pt idx="631">
                        <c:v>45860</c:v>
                      </c:pt>
                      <c:pt idx="632">
                        <c:v>45861</c:v>
                      </c:pt>
                      <c:pt idx="633">
                        <c:v>45862</c:v>
                      </c:pt>
                      <c:pt idx="634">
                        <c:v>45863</c:v>
                      </c:pt>
                      <c:pt idx="635">
                        <c:v>45866</c:v>
                      </c:pt>
                      <c:pt idx="636">
                        <c:v>45867</c:v>
                      </c:pt>
                      <c:pt idx="637">
                        <c:v>45868</c:v>
                      </c:pt>
                      <c:pt idx="638">
                        <c:v>45869</c:v>
                      </c:pt>
                      <c:pt idx="639">
                        <c:v>45870</c:v>
                      </c:pt>
                      <c:pt idx="640">
                        <c:v>45873</c:v>
                      </c:pt>
                      <c:pt idx="641">
                        <c:v>45874</c:v>
                      </c:pt>
                      <c:pt idx="642">
                        <c:v>45875</c:v>
                      </c:pt>
                      <c:pt idx="643">
                        <c:v>45876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Info!$G$24:$G$38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6.0702839999999991</c:v>
                      </c:pt>
                      <c:pt idx="1">
                        <c:v>5.9603497777777772</c:v>
                      </c:pt>
                      <c:pt idx="2">
                        <c:v>5.2110080972222219</c:v>
                      </c:pt>
                      <c:pt idx="3">
                        <c:v>4.9596259166666661</c:v>
                      </c:pt>
                      <c:pt idx="4">
                        <c:v>4.8043123333333329</c:v>
                      </c:pt>
                      <c:pt idx="5">
                        <c:v>4.5882955555555549</c:v>
                      </c:pt>
                      <c:pt idx="6">
                        <c:v>4.3557689999999996</c:v>
                      </c:pt>
                      <c:pt idx="7">
                        <c:v>3.4779983333333324</c:v>
                      </c:pt>
                      <c:pt idx="8">
                        <c:v>3.2857268888888886</c:v>
                      </c:pt>
                      <c:pt idx="9">
                        <c:v>3.2785231111111108</c:v>
                      </c:pt>
                      <c:pt idx="10">
                        <c:v>3.032696333333333</c:v>
                      </c:pt>
                      <c:pt idx="11">
                        <c:v>2.7926946666666663</c:v>
                      </c:pt>
                      <c:pt idx="12">
                        <c:v>2.125464</c:v>
                      </c:pt>
                      <c:pt idx="13">
                        <c:v>1.8832782222222222</c:v>
                      </c:pt>
                      <c:pt idx="14">
                        <c:v>1.652112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92D-4057-B674-50A82F31B8AB}"/>
                  </c:ext>
                </c:extLst>
              </c15:ser>
            </c15:filteredLineSeries>
            <c15:filteredLineSeries>
              <c15:ser>
                <c:idx val="0"/>
                <c:order val="2"/>
                <c:tx>
                  <c:v>$4 - 50% of Uncovered Position Outside Nearby</c:v>
                </c:tx>
                <c:spPr>
                  <a:ln w="34925" cap="rnd">
                    <a:solidFill>
                      <a:schemeClr val="accent4">
                        <a:lumMod val="75000"/>
                      </a:schemeClr>
                    </a:solidFill>
                    <a:prstDash val="sysDash"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Info!$A$24:$A$667</c15:sqref>
                        </c15:formulaRef>
                      </c:ext>
                    </c:extLst>
                    <c:numCache>
                      <c:formatCode>m/d/yy</c:formatCode>
                      <c:ptCount val="644"/>
                      <c:pt idx="0">
                        <c:v>44929</c:v>
                      </c:pt>
                      <c:pt idx="1">
                        <c:v>44930</c:v>
                      </c:pt>
                      <c:pt idx="2">
                        <c:v>44931</c:v>
                      </c:pt>
                      <c:pt idx="3">
                        <c:v>44932</c:v>
                      </c:pt>
                      <c:pt idx="4">
                        <c:v>44935</c:v>
                      </c:pt>
                      <c:pt idx="5">
                        <c:v>44936</c:v>
                      </c:pt>
                      <c:pt idx="6">
                        <c:v>44937</c:v>
                      </c:pt>
                      <c:pt idx="7">
                        <c:v>44938</c:v>
                      </c:pt>
                      <c:pt idx="8">
                        <c:v>44939</c:v>
                      </c:pt>
                      <c:pt idx="9">
                        <c:v>44942</c:v>
                      </c:pt>
                      <c:pt idx="10">
                        <c:v>44943</c:v>
                      </c:pt>
                      <c:pt idx="11">
                        <c:v>44944</c:v>
                      </c:pt>
                      <c:pt idx="12">
                        <c:v>44945</c:v>
                      </c:pt>
                      <c:pt idx="13">
                        <c:v>44946</c:v>
                      </c:pt>
                      <c:pt idx="14">
                        <c:v>44949</c:v>
                      </c:pt>
                      <c:pt idx="15">
                        <c:v>44950</c:v>
                      </c:pt>
                      <c:pt idx="16">
                        <c:v>44951</c:v>
                      </c:pt>
                      <c:pt idx="17">
                        <c:v>44952</c:v>
                      </c:pt>
                      <c:pt idx="18">
                        <c:v>44953</c:v>
                      </c:pt>
                      <c:pt idx="19">
                        <c:v>44956</c:v>
                      </c:pt>
                      <c:pt idx="20">
                        <c:v>44958</c:v>
                      </c:pt>
                      <c:pt idx="21">
                        <c:v>44959</c:v>
                      </c:pt>
                      <c:pt idx="22">
                        <c:v>44960</c:v>
                      </c:pt>
                      <c:pt idx="23">
                        <c:v>44963</c:v>
                      </c:pt>
                      <c:pt idx="24">
                        <c:v>44964</c:v>
                      </c:pt>
                      <c:pt idx="25">
                        <c:v>44965</c:v>
                      </c:pt>
                      <c:pt idx="26">
                        <c:v>44966</c:v>
                      </c:pt>
                      <c:pt idx="27">
                        <c:v>44967</c:v>
                      </c:pt>
                      <c:pt idx="28">
                        <c:v>44970</c:v>
                      </c:pt>
                      <c:pt idx="29">
                        <c:v>44971</c:v>
                      </c:pt>
                      <c:pt idx="30">
                        <c:v>44972</c:v>
                      </c:pt>
                      <c:pt idx="31">
                        <c:v>44973</c:v>
                      </c:pt>
                      <c:pt idx="32">
                        <c:v>44974</c:v>
                      </c:pt>
                      <c:pt idx="33">
                        <c:v>44977</c:v>
                      </c:pt>
                      <c:pt idx="34">
                        <c:v>44978</c:v>
                      </c:pt>
                      <c:pt idx="35">
                        <c:v>44979</c:v>
                      </c:pt>
                      <c:pt idx="36">
                        <c:v>44980</c:v>
                      </c:pt>
                      <c:pt idx="37">
                        <c:v>44981</c:v>
                      </c:pt>
                      <c:pt idx="38">
                        <c:v>44984</c:v>
                      </c:pt>
                      <c:pt idx="39">
                        <c:v>44985</c:v>
                      </c:pt>
                      <c:pt idx="40">
                        <c:v>44986</c:v>
                      </c:pt>
                      <c:pt idx="41">
                        <c:v>44987</c:v>
                      </c:pt>
                      <c:pt idx="42">
                        <c:v>44988</c:v>
                      </c:pt>
                      <c:pt idx="43">
                        <c:v>44991</c:v>
                      </c:pt>
                      <c:pt idx="44">
                        <c:v>44992</c:v>
                      </c:pt>
                      <c:pt idx="45">
                        <c:v>44993</c:v>
                      </c:pt>
                      <c:pt idx="46">
                        <c:v>44994</c:v>
                      </c:pt>
                      <c:pt idx="47">
                        <c:v>44995</c:v>
                      </c:pt>
                      <c:pt idx="48">
                        <c:v>44998</c:v>
                      </c:pt>
                      <c:pt idx="49">
                        <c:v>44999</c:v>
                      </c:pt>
                      <c:pt idx="50">
                        <c:v>45000</c:v>
                      </c:pt>
                      <c:pt idx="51">
                        <c:v>45001</c:v>
                      </c:pt>
                      <c:pt idx="52">
                        <c:v>45002</c:v>
                      </c:pt>
                      <c:pt idx="53">
                        <c:v>45005</c:v>
                      </c:pt>
                      <c:pt idx="54">
                        <c:v>45006</c:v>
                      </c:pt>
                      <c:pt idx="55">
                        <c:v>45007</c:v>
                      </c:pt>
                      <c:pt idx="56">
                        <c:v>45008</c:v>
                      </c:pt>
                      <c:pt idx="57">
                        <c:v>45009</c:v>
                      </c:pt>
                      <c:pt idx="58">
                        <c:v>45012</c:v>
                      </c:pt>
                      <c:pt idx="59">
                        <c:v>45013</c:v>
                      </c:pt>
                      <c:pt idx="60">
                        <c:v>45014</c:v>
                      </c:pt>
                      <c:pt idx="61">
                        <c:v>45015</c:v>
                      </c:pt>
                      <c:pt idx="62">
                        <c:v>45016</c:v>
                      </c:pt>
                      <c:pt idx="63">
                        <c:v>45019</c:v>
                      </c:pt>
                      <c:pt idx="64">
                        <c:v>45020</c:v>
                      </c:pt>
                      <c:pt idx="65">
                        <c:v>45021</c:v>
                      </c:pt>
                      <c:pt idx="66">
                        <c:v>45022</c:v>
                      </c:pt>
                      <c:pt idx="67">
                        <c:v>45027</c:v>
                      </c:pt>
                      <c:pt idx="68">
                        <c:v>45028</c:v>
                      </c:pt>
                      <c:pt idx="69">
                        <c:v>45029</c:v>
                      </c:pt>
                      <c:pt idx="70">
                        <c:v>45030</c:v>
                      </c:pt>
                      <c:pt idx="71">
                        <c:v>45033</c:v>
                      </c:pt>
                      <c:pt idx="72">
                        <c:v>45034</c:v>
                      </c:pt>
                      <c:pt idx="73">
                        <c:v>45035</c:v>
                      </c:pt>
                      <c:pt idx="74">
                        <c:v>45036</c:v>
                      </c:pt>
                      <c:pt idx="75">
                        <c:v>45037</c:v>
                      </c:pt>
                      <c:pt idx="76">
                        <c:v>45040</c:v>
                      </c:pt>
                      <c:pt idx="77">
                        <c:v>45041</c:v>
                      </c:pt>
                      <c:pt idx="78">
                        <c:v>45042</c:v>
                      </c:pt>
                      <c:pt idx="79">
                        <c:v>45043</c:v>
                      </c:pt>
                      <c:pt idx="80">
                        <c:v>45044</c:v>
                      </c:pt>
                      <c:pt idx="81">
                        <c:v>45048</c:v>
                      </c:pt>
                      <c:pt idx="82">
                        <c:v>45049</c:v>
                      </c:pt>
                      <c:pt idx="83">
                        <c:v>45050</c:v>
                      </c:pt>
                      <c:pt idx="84">
                        <c:v>45051</c:v>
                      </c:pt>
                      <c:pt idx="85">
                        <c:v>45055</c:v>
                      </c:pt>
                      <c:pt idx="86">
                        <c:v>45056</c:v>
                      </c:pt>
                      <c:pt idx="87">
                        <c:v>45057</c:v>
                      </c:pt>
                      <c:pt idx="88">
                        <c:v>45058</c:v>
                      </c:pt>
                      <c:pt idx="89">
                        <c:v>45061</c:v>
                      </c:pt>
                      <c:pt idx="90">
                        <c:v>45062</c:v>
                      </c:pt>
                      <c:pt idx="91">
                        <c:v>45063</c:v>
                      </c:pt>
                      <c:pt idx="92">
                        <c:v>45064</c:v>
                      </c:pt>
                      <c:pt idx="93">
                        <c:v>45065</c:v>
                      </c:pt>
                      <c:pt idx="94">
                        <c:v>45068</c:v>
                      </c:pt>
                      <c:pt idx="95">
                        <c:v>45069</c:v>
                      </c:pt>
                      <c:pt idx="96">
                        <c:v>45070</c:v>
                      </c:pt>
                      <c:pt idx="97">
                        <c:v>45071</c:v>
                      </c:pt>
                      <c:pt idx="98">
                        <c:v>45072</c:v>
                      </c:pt>
                      <c:pt idx="99">
                        <c:v>45076</c:v>
                      </c:pt>
                      <c:pt idx="100">
                        <c:v>45077</c:v>
                      </c:pt>
                      <c:pt idx="101">
                        <c:v>45078</c:v>
                      </c:pt>
                      <c:pt idx="102">
                        <c:v>45079</c:v>
                      </c:pt>
                      <c:pt idx="103">
                        <c:v>45082</c:v>
                      </c:pt>
                      <c:pt idx="104">
                        <c:v>45083</c:v>
                      </c:pt>
                      <c:pt idx="105">
                        <c:v>45084</c:v>
                      </c:pt>
                      <c:pt idx="106">
                        <c:v>45085</c:v>
                      </c:pt>
                      <c:pt idx="107">
                        <c:v>45086</c:v>
                      </c:pt>
                      <c:pt idx="108">
                        <c:v>45089</c:v>
                      </c:pt>
                      <c:pt idx="109">
                        <c:v>45090</c:v>
                      </c:pt>
                      <c:pt idx="110">
                        <c:v>45091</c:v>
                      </c:pt>
                      <c:pt idx="111">
                        <c:v>45092</c:v>
                      </c:pt>
                      <c:pt idx="112">
                        <c:v>45093</c:v>
                      </c:pt>
                      <c:pt idx="113">
                        <c:v>45096</c:v>
                      </c:pt>
                      <c:pt idx="114">
                        <c:v>45097</c:v>
                      </c:pt>
                      <c:pt idx="115">
                        <c:v>45098</c:v>
                      </c:pt>
                      <c:pt idx="116">
                        <c:v>45099</c:v>
                      </c:pt>
                      <c:pt idx="117">
                        <c:v>45100</c:v>
                      </c:pt>
                      <c:pt idx="118">
                        <c:v>45103</c:v>
                      </c:pt>
                      <c:pt idx="119">
                        <c:v>45104</c:v>
                      </c:pt>
                      <c:pt idx="120">
                        <c:v>45105</c:v>
                      </c:pt>
                      <c:pt idx="121">
                        <c:v>45106</c:v>
                      </c:pt>
                      <c:pt idx="122">
                        <c:v>45107</c:v>
                      </c:pt>
                      <c:pt idx="123">
                        <c:v>45110</c:v>
                      </c:pt>
                      <c:pt idx="124">
                        <c:v>45111</c:v>
                      </c:pt>
                      <c:pt idx="125">
                        <c:v>45112</c:v>
                      </c:pt>
                      <c:pt idx="126">
                        <c:v>45113</c:v>
                      </c:pt>
                      <c:pt idx="127">
                        <c:v>45114</c:v>
                      </c:pt>
                      <c:pt idx="128">
                        <c:v>45117</c:v>
                      </c:pt>
                      <c:pt idx="129">
                        <c:v>45118</c:v>
                      </c:pt>
                      <c:pt idx="130">
                        <c:v>45119</c:v>
                      </c:pt>
                      <c:pt idx="131">
                        <c:v>45120</c:v>
                      </c:pt>
                      <c:pt idx="132">
                        <c:v>45121</c:v>
                      </c:pt>
                      <c:pt idx="133">
                        <c:v>45124</c:v>
                      </c:pt>
                      <c:pt idx="134">
                        <c:v>45125</c:v>
                      </c:pt>
                      <c:pt idx="135">
                        <c:v>45126</c:v>
                      </c:pt>
                      <c:pt idx="136">
                        <c:v>45127</c:v>
                      </c:pt>
                      <c:pt idx="137">
                        <c:v>45128</c:v>
                      </c:pt>
                      <c:pt idx="138">
                        <c:v>45131</c:v>
                      </c:pt>
                      <c:pt idx="139">
                        <c:v>45132</c:v>
                      </c:pt>
                      <c:pt idx="140">
                        <c:v>45133</c:v>
                      </c:pt>
                      <c:pt idx="141">
                        <c:v>45134</c:v>
                      </c:pt>
                      <c:pt idx="142">
                        <c:v>45135</c:v>
                      </c:pt>
                      <c:pt idx="143">
                        <c:v>45138</c:v>
                      </c:pt>
                      <c:pt idx="144">
                        <c:v>45139</c:v>
                      </c:pt>
                      <c:pt idx="145">
                        <c:v>45140</c:v>
                      </c:pt>
                      <c:pt idx="146">
                        <c:v>45141</c:v>
                      </c:pt>
                      <c:pt idx="147">
                        <c:v>45142</c:v>
                      </c:pt>
                      <c:pt idx="148">
                        <c:v>45145</c:v>
                      </c:pt>
                      <c:pt idx="149">
                        <c:v>45146</c:v>
                      </c:pt>
                      <c:pt idx="150">
                        <c:v>45147</c:v>
                      </c:pt>
                      <c:pt idx="151">
                        <c:v>45148</c:v>
                      </c:pt>
                      <c:pt idx="152">
                        <c:v>45149</c:v>
                      </c:pt>
                      <c:pt idx="153">
                        <c:v>45152</c:v>
                      </c:pt>
                      <c:pt idx="154">
                        <c:v>45153</c:v>
                      </c:pt>
                      <c:pt idx="155">
                        <c:v>45154</c:v>
                      </c:pt>
                      <c:pt idx="156">
                        <c:v>45155</c:v>
                      </c:pt>
                      <c:pt idx="157">
                        <c:v>45156</c:v>
                      </c:pt>
                      <c:pt idx="158">
                        <c:v>45159</c:v>
                      </c:pt>
                      <c:pt idx="159">
                        <c:v>45160</c:v>
                      </c:pt>
                      <c:pt idx="160">
                        <c:v>45161</c:v>
                      </c:pt>
                      <c:pt idx="161">
                        <c:v>45162</c:v>
                      </c:pt>
                      <c:pt idx="162">
                        <c:v>45163</c:v>
                      </c:pt>
                      <c:pt idx="163">
                        <c:v>45167</c:v>
                      </c:pt>
                      <c:pt idx="164">
                        <c:v>45168</c:v>
                      </c:pt>
                      <c:pt idx="165">
                        <c:v>45169</c:v>
                      </c:pt>
                      <c:pt idx="166">
                        <c:v>45170</c:v>
                      </c:pt>
                      <c:pt idx="167">
                        <c:v>45173</c:v>
                      </c:pt>
                      <c:pt idx="168">
                        <c:v>45174</c:v>
                      </c:pt>
                      <c:pt idx="169">
                        <c:v>45175</c:v>
                      </c:pt>
                      <c:pt idx="170">
                        <c:v>45176</c:v>
                      </c:pt>
                      <c:pt idx="171">
                        <c:v>45177</c:v>
                      </c:pt>
                      <c:pt idx="172">
                        <c:v>45180</c:v>
                      </c:pt>
                      <c:pt idx="173">
                        <c:v>45181</c:v>
                      </c:pt>
                      <c:pt idx="174">
                        <c:v>45182</c:v>
                      </c:pt>
                      <c:pt idx="175">
                        <c:v>45183</c:v>
                      </c:pt>
                      <c:pt idx="176">
                        <c:v>45184</c:v>
                      </c:pt>
                      <c:pt idx="177">
                        <c:v>45187</c:v>
                      </c:pt>
                      <c:pt idx="178">
                        <c:v>45188</c:v>
                      </c:pt>
                      <c:pt idx="179">
                        <c:v>45189</c:v>
                      </c:pt>
                      <c:pt idx="180">
                        <c:v>45190</c:v>
                      </c:pt>
                      <c:pt idx="181">
                        <c:v>45191</c:v>
                      </c:pt>
                      <c:pt idx="182">
                        <c:v>45194</c:v>
                      </c:pt>
                      <c:pt idx="183">
                        <c:v>45195</c:v>
                      </c:pt>
                      <c:pt idx="184">
                        <c:v>45196</c:v>
                      </c:pt>
                      <c:pt idx="185">
                        <c:v>45197</c:v>
                      </c:pt>
                      <c:pt idx="186">
                        <c:v>45198</c:v>
                      </c:pt>
                      <c:pt idx="187">
                        <c:v>45201</c:v>
                      </c:pt>
                      <c:pt idx="188">
                        <c:v>45202</c:v>
                      </c:pt>
                      <c:pt idx="189">
                        <c:v>45203</c:v>
                      </c:pt>
                      <c:pt idx="190">
                        <c:v>45204</c:v>
                      </c:pt>
                      <c:pt idx="191">
                        <c:v>45205</c:v>
                      </c:pt>
                      <c:pt idx="192">
                        <c:v>45208</c:v>
                      </c:pt>
                      <c:pt idx="193">
                        <c:v>45209</c:v>
                      </c:pt>
                      <c:pt idx="194">
                        <c:v>45210</c:v>
                      </c:pt>
                      <c:pt idx="195">
                        <c:v>45211</c:v>
                      </c:pt>
                      <c:pt idx="196">
                        <c:v>45212</c:v>
                      </c:pt>
                      <c:pt idx="197">
                        <c:v>45215</c:v>
                      </c:pt>
                      <c:pt idx="198">
                        <c:v>45216</c:v>
                      </c:pt>
                      <c:pt idx="199">
                        <c:v>45217</c:v>
                      </c:pt>
                      <c:pt idx="200">
                        <c:v>45218</c:v>
                      </c:pt>
                      <c:pt idx="201">
                        <c:v>45219</c:v>
                      </c:pt>
                      <c:pt idx="202">
                        <c:v>45222</c:v>
                      </c:pt>
                      <c:pt idx="203">
                        <c:v>45223</c:v>
                      </c:pt>
                      <c:pt idx="204">
                        <c:v>45224</c:v>
                      </c:pt>
                      <c:pt idx="205">
                        <c:v>45225</c:v>
                      </c:pt>
                      <c:pt idx="206">
                        <c:v>45226</c:v>
                      </c:pt>
                      <c:pt idx="207">
                        <c:v>45229</c:v>
                      </c:pt>
                      <c:pt idx="208">
                        <c:v>45230</c:v>
                      </c:pt>
                      <c:pt idx="209">
                        <c:v>45231</c:v>
                      </c:pt>
                      <c:pt idx="210">
                        <c:v>45232</c:v>
                      </c:pt>
                      <c:pt idx="211">
                        <c:v>45233</c:v>
                      </c:pt>
                      <c:pt idx="212">
                        <c:v>45236</c:v>
                      </c:pt>
                      <c:pt idx="213">
                        <c:v>45237</c:v>
                      </c:pt>
                      <c:pt idx="214">
                        <c:v>45238</c:v>
                      </c:pt>
                      <c:pt idx="215">
                        <c:v>45239</c:v>
                      </c:pt>
                      <c:pt idx="216">
                        <c:v>45240</c:v>
                      </c:pt>
                      <c:pt idx="217">
                        <c:v>45243</c:v>
                      </c:pt>
                      <c:pt idx="218">
                        <c:v>45244</c:v>
                      </c:pt>
                      <c:pt idx="219">
                        <c:v>45245</c:v>
                      </c:pt>
                      <c:pt idx="220">
                        <c:v>45246</c:v>
                      </c:pt>
                      <c:pt idx="221">
                        <c:v>45247</c:v>
                      </c:pt>
                      <c:pt idx="222">
                        <c:v>45250</c:v>
                      </c:pt>
                      <c:pt idx="223">
                        <c:v>45251</c:v>
                      </c:pt>
                      <c:pt idx="224">
                        <c:v>45252</c:v>
                      </c:pt>
                      <c:pt idx="225">
                        <c:v>45253</c:v>
                      </c:pt>
                      <c:pt idx="226">
                        <c:v>45254</c:v>
                      </c:pt>
                      <c:pt idx="227">
                        <c:v>45257</c:v>
                      </c:pt>
                      <c:pt idx="228">
                        <c:v>45258</c:v>
                      </c:pt>
                      <c:pt idx="229">
                        <c:v>45259</c:v>
                      </c:pt>
                      <c:pt idx="230">
                        <c:v>45260</c:v>
                      </c:pt>
                      <c:pt idx="231">
                        <c:v>45261</c:v>
                      </c:pt>
                      <c:pt idx="232">
                        <c:v>45264</c:v>
                      </c:pt>
                      <c:pt idx="233">
                        <c:v>45265</c:v>
                      </c:pt>
                      <c:pt idx="234">
                        <c:v>45266</c:v>
                      </c:pt>
                      <c:pt idx="235">
                        <c:v>45267</c:v>
                      </c:pt>
                      <c:pt idx="236">
                        <c:v>45268</c:v>
                      </c:pt>
                      <c:pt idx="237">
                        <c:v>45271</c:v>
                      </c:pt>
                      <c:pt idx="238">
                        <c:v>45272</c:v>
                      </c:pt>
                      <c:pt idx="239">
                        <c:v>45273</c:v>
                      </c:pt>
                      <c:pt idx="240">
                        <c:v>45274</c:v>
                      </c:pt>
                      <c:pt idx="241">
                        <c:v>45275</c:v>
                      </c:pt>
                      <c:pt idx="242">
                        <c:v>45278</c:v>
                      </c:pt>
                      <c:pt idx="243">
                        <c:v>45279</c:v>
                      </c:pt>
                      <c:pt idx="244">
                        <c:v>45280</c:v>
                      </c:pt>
                      <c:pt idx="245">
                        <c:v>45281</c:v>
                      </c:pt>
                      <c:pt idx="246">
                        <c:v>45282</c:v>
                      </c:pt>
                      <c:pt idx="247">
                        <c:v>45286</c:v>
                      </c:pt>
                      <c:pt idx="248">
                        <c:v>45287</c:v>
                      </c:pt>
                      <c:pt idx="249">
                        <c:v>45288</c:v>
                      </c:pt>
                      <c:pt idx="250">
                        <c:v>45289</c:v>
                      </c:pt>
                      <c:pt idx="251">
                        <c:v>45293</c:v>
                      </c:pt>
                      <c:pt idx="252">
                        <c:v>45294</c:v>
                      </c:pt>
                      <c:pt idx="253">
                        <c:v>45295</c:v>
                      </c:pt>
                      <c:pt idx="254">
                        <c:v>45296</c:v>
                      </c:pt>
                      <c:pt idx="255">
                        <c:v>45299</c:v>
                      </c:pt>
                      <c:pt idx="256">
                        <c:v>45300</c:v>
                      </c:pt>
                      <c:pt idx="257">
                        <c:v>45301</c:v>
                      </c:pt>
                      <c:pt idx="258">
                        <c:v>45302</c:v>
                      </c:pt>
                      <c:pt idx="259">
                        <c:v>45303</c:v>
                      </c:pt>
                      <c:pt idx="260">
                        <c:v>45306</c:v>
                      </c:pt>
                      <c:pt idx="261">
                        <c:v>45307</c:v>
                      </c:pt>
                      <c:pt idx="262">
                        <c:v>45308</c:v>
                      </c:pt>
                      <c:pt idx="263">
                        <c:v>45309</c:v>
                      </c:pt>
                      <c:pt idx="264">
                        <c:v>45310</c:v>
                      </c:pt>
                      <c:pt idx="265">
                        <c:v>45313</c:v>
                      </c:pt>
                      <c:pt idx="266">
                        <c:v>45314</c:v>
                      </c:pt>
                      <c:pt idx="267">
                        <c:v>45315</c:v>
                      </c:pt>
                      <c:pt idx="268">
                        <c:v>45316</c:v>
                      </c:pt>
                      <c:pt idx="269">
                        <c:v>45317</c:v>
                      </c:pt>
                      <c:pt idx="270">
                        <c:v>45320</c:v>
                      </c:pt>
                      <c:pt idx="271">
                        <c:v>45321</c:v>
                      </c:pt>
                      <c:pt idx="272">
                        <c:v>45322</c:v>
                      </c:pt>
                      <c:pt idx="273">
                        <c:v>45323</c:v>
                      </c:pt>
                      <c:pt idx="274">
                        <c:v>45324</c:v>
                      </c:pt>
                      <c:pt idx="275">
                        <c:v>45327</c:v>
                      </c:pt>
                      <c:pt idx="276">
                        <c:v>45328</c:v>
                      </c:pt>
                      <c:pt idx="277">
                        <c:v>45329</c:v>
                      </c:pt>
                      <c:pt idx="278">
                        <c:v>45330</c:v>
                      </c:pt>
                      <c:pt idx="279">
                        <c:v>45331</c:v>
                      </c:pt>
                      <c:pt idx="280">
                        <c:v>45334</c:v>
                      </c:pt>
                      <c:pt idx="281">
                        <c:v>45335</c:v>
                      </c:pt>
                      <c:pt idx="282">
                        <c:v>45336</c:v>
                      </c:pt>
                      <c:pt idx="283">
                        <c:v>45337</c:v>
                      </c:pt>
                      <c:pt idx="284">
                        <c:v>45338</c:v>
                      </c:pt>
                      <c:pt idx="285">
                        <c:v>45341</c:v>
                      </c:pt>
                      <c:pt idx="286">
                        <c:v>45342</c:v>
                      </c:pt>
                      <c:pt idx="287">
                        <c:v>45343</c:v>
                      </c:pt>
                      <c:pt idx="288">
                        <c:v>45344</c:v>
                      </c:pt>
                      <c:pt idx="289">
                        <c:v>45345</c:v>
                      </c:pt>
                      <c:pt idx="290">
                        <c:v>45348</c:v>
                      </c:pt>
                      <c:pt idx="291">
                        <c:v>45349</c:v>
                      </c:pt>
                      <c:pt idx="292">
                        <c:v>45350</c:v>
                      </c:pt>
                      <c:pt idx="293">
                        <c:v>45351</c:v>
                      </c:pt>
                      <c:pt idx="294">
                        <c:v>45352</c:v>
                      </c:pt>
                      <c:pt idx="295">
                        <c:v>45355</c:v>
                      </c:pt>
                      <c:pt idx="296">
                        <c:v>45356</c:v>
                      </c:pt>
                      <c:pt idx="297">
                        <c:v>45357</c:v>
                      </c:pt>
                      <c:pt idx="298">
                        <c:v>45358</c:v>
                      </c:pt>
                      <c:pt idx="299">
                        <c:v>45359</c:v>
                      </c:pt>
                      <c:pt idx="300">
                        <c:v>45362</c:v>
                      </c:pt>
                      <c:pt idx="301">
                        <c:v>45363</c:v>
                      </c:pt>
                      <c:pt idx="302">
                        <c:v>45364</c:v>
                      </c:pt>
                      <c:pt idx="303">
                        <c:v>45365</c:v>
                      </c:pt>
                      <c:pt idx="304">
                        <c:v>45366</c:v>
                      </c:pt>
                      <c:pt idx="305">
                        <c:v>45369</c:v>
                      </c:pt>
                      <c:pt idx="306">
                        <c:v>45370</c:v>
                      </c:pt>
                      <c:pt idx="307">
                        <c:v>45371</c:v>
                      </c:pt>
                      <c:pt idx="308">
                        <c:v>45372</c:v>
                      </c:pt>
                      <c:pt idx="309">
                        <c:v>45373</c:v>
                      </c:pt>
                      <c:pt idx="310">
                        <c:v>45376</c:v>
                      </c:pt>
                      <c:pt idx="311">
                        <c:v>45377</c:v>
                      </c:pt>
                      <c:pt idx="312">
                        <c:v>45378</c:v>
                      </c:pt>
                      <c:pt idx="313">
                        <c:v>45379</c:v>
                      </c:pt>
                      <c:pt idx="314">
                        <c:v>45384</c:v>
                      </c:pt>
                      <c:pt idx="315">
                        <c:v>45385</c:v>
                      </c:pt>
                      <c:pt idx="316">
                        <c:v>45386</c:v>
                      </c:pt>
                      <c:pt idx="317">
                        <c:v>45387</c:v>
                      </c:pt>
                      <c:pt idx="318">
                        <c:v>45390</c:v>
                      </c:pt>
                      <c:pt idx="319">
                        <c:v>45391</c:v>
                      </c:pt>
                      <c:pt idx="320">
                        <c:v>45392</c:v>
                      </c:pt>
                      <c:pt idx="321">
                        <c:v>45393</c:v>
                      </c:pt>
                      <c:pt idx="322">
                        <c:v>45394</c:v>
                      </c:pt>
                      <c:pt idx="323">
                        <c:v>45397</c:v>
                      </c:pt>
                      <c:pt idx="324">
                        <c:v>45398</c:v>
                      </c:pt>
                      <c:pt idx="325">
                        <c:v>45399</c:v>
                      </c:pt>
                      <c:pt idx="326">
                        <c:v>45400</c:v>
                      </c:pt>
                      <c:pt idx="327">
                        <c:v>45404</c:v>
                      </c:pt>
                      <c:pt idx="328">
                        <c:v>45405</c:v>
                      </c:pt>
                      <c:pt idx="329">
                        <c:v>45406</c:v>
                      </c:pt>
                      <c:pt idx="330">
                        <c:v>45407</c:v>
                      </c:pt>
                      <c:pt idx="331">
                        <c:v>45408</c:v>
                      </c:pt>
                      <c:pt idx="332">
                        <c:v>45411</c:v>
                      </c:pt>
                      <c:pt idx="333">
                        <c:v>45412</c:v>
                      </c:pt>
                      <c:pt idx="334">
                        <c:v>45413</c:v>
                      </c:pt>
                      <c:pt idx="335">
                        <c:v>45414</c:v>
                      </c:pt>
                      <c:pt idx="336">
                        <c:v>45415</c:v>
                      </c:pt>
                      <c:pt idx="337">
                        <c:v>45418</c:v>
                      </c:pt>
                      <c:pt idx="338">
                        <c:v>45419</c:v>
                      </c:pt>
                      <c:pt idx="339">
                        <c:v>45420</c:v>
                      </c:pt>
                      <c:pt idx="340">
                        <c:v>45421</c:v>
                      </c:pt>
                      <c:pt idx="341">
                        <c:v>45422</c:v>
                      </c:pt>
                      <c:pt idx="342">
                        <c:v>45425</c:v>
                      </c:pt>
                      <c:pt idx="343">
                        <c:v>45426</c:v>
                      </c:pt>
                      <c:pt idx="344">
                        <c:v>45427</c:v>
                      </c:pt>
                      <c:pt idx="345">
                        <c:v>45428</c:v>
                      </c:pt>
                      <c:pt idx="346">
                        <c:v>45429</c:v>
                      </c:pt>
                      <c:pt idx="347">
                        <c:v>45432</c:v>
                      </c:pt>
                      <c:pt idx="348">
                        <c:v>45433</c:v>
                      </c:pt>
                      <c:pt idx="349">
                        <c:v>45434</c:v>
                      </c:pt>
                      <c:pt idx="350">
                        <c:v>45435</c:v>
                      </c:pt>
                      <c:pt idx="351">
                        <c:v>45436</c:v>
                      </c:pt>
                      <c:pt idx="352">
                        <c:v>45439</c:v>
                      </c:pt>
                      <c:pt idx="353">
                        <c:v>45440</c:v>
                      </c:pt>
                      <c:pt idx="354">
                        <c:v>45441</c:v>
                      </c:pt>
                      <c:pt idx="355">
                        <c:v>45442</c:v>
                      </c:pt>
                      <c:pt idx="356">
                        <c:v>45443</c:v>
                      </c:pt>
                      <c:pt idx="357">
                        <c:v>45446</c:v>
                      </c:pt>
                      <c:pt idx="358">
                        <c:v>45447</c:v>
                      </c:pt>
                      <c:pt idx="359">
                        <c:v>45448</c:v>
                      </c:pt>
                      <c:pt idx="360">
                        <c:v>45449</c:v>
                      </c:pt>
                      <c:pt idx="361">
                        <c:v>45450</c:v>
                      </c:pt>
                      <c:pt idx="362">
                        <c:v>45453</c:v>
                      </c:pt>
                      <c:pt idx="363">
                        <c:v>45454</c:v>
                      </c:pt>
                      <c:pt idx="364">
                        <c:v>45455</c:v>
                      </c:pt>
                      <c:pt idx="365">
                        <c:v>45456</c:v>
                      </c:pt>
                      <c:pt idx="366">
                        <c:v>45457</c:v>
                      </c:pt>
                      <c:pt idx="367">
                        <c:v>45460</c:v>
                      </c:pt>
                      <c:pt idx="368">
                        <c:v>45461</c:v>
                      </c:pt>
                      <c:pt idx="369">
                        <c:v>45462</c:v>
                      </c:pt>
                      <c:pt idx="370">
                        <c:v>45463</c:v>
                      </c:pt>
                      <c:pt idx="371">
                        <c:v>45464</c:v>
                      </c:pt>
                      <c:pt idx="372">
                        <c:v>45467</c:v>
                      </c:pt>
                      <c:pt idx="373">
                        <c:v>45468</c:v>
                      </c:pt>
                      <c:pt idx="374">
                        <c:v>45469</c:v>
                      </c:pt>
                      <c:pt idx="375">
                        <c:v>45470</c:v>
                      </c:pt>
                      <c:pt idx="376">
                        <c:v>45471</c:v>
                      </c:pt>
                      <c:pt idx="377">
                        <c:v>45474</c:v>
                      </c:pt>
                      <c:pt idx="378">
                        <c:v>45475</c:v>
                      </c:pt>
                      <c:pt idx="379">
                        <c:v>45476</c:v>
                      </c:pt>
                      <c:pt idx="380">
                        <c:v>45477</c:v>
                      </c:pt>
                      <c:pt idx="381">
                        <c:v>45478</c:v>
                      </c:pt>
                      <c:pt idx="382">
                        <c:v>45481</c:v>
                      </c:pt>
                      <c:pt idx="383">
                        <c:v>45482</c:v>
                      </c:pt>
                      <c:pt idx="384">
                        <c:v>45483</c:v>
                      </c:pt>
                      <c:pt idx="385">
                        <c:v>45484</c:v>
                      </c:pt>
                      <c:pt idx="386">
                        <c:v>45485</c:v>
                      </c:pt>
                      <c:pt idx="387">
                        <c:v>45488</c:v>
                      </c:pt>
                      <c:pt idx="388">
                        <c:v>45489</c:v>
                      </c:pt>
                      <c:pt idx="389">
                        <c:v>45490</c:v>
                      </c:pt>
                      <c:pt idx="390">
                        <c:v>45491</c:v>
                      </c:pt>
                      <c:pt idx="391">
                        <c:v>45492</c:v>
                      </c:pt>
                      <c:pt idx="392">
                        <c:v>45495</c:v>
                      </c:pt>
                      <c:pt idx="393">
                        <c:v>45496</c:v>
                      </c:pt>
                      <c:pt idx="394">
                        <c:v>45497</c:v>
                      </c:pt>
                      <c:pt idx="395">
                        <c:v>45498</c:v>
                      </c:pt>
                      <c:pt idx="396">
                        <c:v>45499</c:v>
                      </c:pt>
                      <c:pt idx="397">
                        <c:v>45502</c:v>
                      </c:pt>
                      <c:pt idx="398">
                        <c:v>45503</c:v>
                      </c:pt>
                      <c:pt idx="399">
                        <c:v>45504</c:v>
                      </c:pt>
                      <c:pt idx="400">
                        <c:v>45505</c:v>
                      </c:pt>
                      <c:pt idx="401">
                        <c:v>45506</c:v>
                      </c:pt>
                      <c:pt idx="402">
                        <c:v>45509</c:v>
                      </c:pt>
                      <c:pt idx="403">
                        <c:v>45510</c:v>
                      </c:pt>
                      <c:pt idx="404">
                        <c:v>45511</c:v>
                      </c:pt>
                      <c:pt idx="405">
                        <c:v>45512</c:v>
                      </c:pt>
                      <c:pt idx="406">
                        <c:v>45513</c:v>
                      </c:pt>
                      <c:pt idx="407">
                        <c:v>45516</c:v>
                      </c:pt>
                      <c:pt idx="408">
                        <c:v>45517</c:v>
                      </c:pt>
                      <c:pt idx="409">
                        <c:v>45518</c:v>
                      </c:pt>
                      <c:pt idx="410">
                        <c:v>45519</c:v>
                      </c:pt>
                      <c:pt idx="411">
                        <c:v>45520</c:v>
                      </c:pt>
                      <c:pt idx="412">
                        <c:v>45523</c:v>
                      </c:pt>
                      <c:pt idx="413">
                        <c:v>45524</c:v>
                      </c:pt>
                      <c:pt idx="414">
                        <c:v>45525</c:v>
                      </c:pt>
                      <c:pt idx="415">
                        <c:v>45526</c:v>
                      </c:pt>
                      <c:pt idx="416">
                        <c:v>45527</c:v>
                      </c:pt>
                      <c:pt idx="417">
                        <c:v>45530</c:v>
                      </c:pt>
                      <c:pt idx="418">
                        <c:v>45531</c:v>
                      </c:pt>
                      <c:pt idx="419">
                        <c:v>45532</c:v>
                      </c:pt>
                      <c:pt idx="420">
                        <c:v>45533</c:v>
                      </c:pt>
                      <c:pt idx="421">
                        <c:v>45534</c:v>
                      </c:pt>
                      <c:pt idx="422">
                        <c:v>45537</c:v>
                      </c:pt>
                      <c:pt idx="423">
                        <c:v>45538</c:v>
                      </c:pt>
                      <c:pt idx="424">
                        <c:v>45539</c:v>
                      </c:pt>
                      <c:pt idx="425">
                        <c:v>45540</c:v>
                      </c:pt>
                      <c:pt idx="426">
                        <c:v>45541</c:v>
                      </c:pt>
                      <c:pt idx="427">
                        <c:v>45544</c:v>
                      </c:pt>
                      <c:pt idx="428">
                        <c:v>45545</c:v>
                      </c:pt>
                      <c:pt idx="429">
                        <c:v>45546</c:v>
                      </c:pt>
                      <c:pt idx="430">
                        <c:v>45547</c:v>
                      </c:pt>
                      <c:pt idx="431">
                        <c:v>45548</c:v>
                      </c:pt>
                      <c:pt idx="432">
                        <c:v>45551</c:v>
                      </c:pt>
                      <c:pt idx="433">
                        <c:v>45552</c:v>
                      </c:pt>
                      <c:pt idx="434">
                        <c:v>45553</c:v>
                      </c:pt>
                      <c:pt idx="435">
                        <c:v>45554</c:v>
                      </c:pt>
                      <c:pt idx="436">
                        <c:v>45555</c:v>
                      </c:pt>
                      <c:pt idx="437">
                        <c:v>45558</c:v>
                      </c:pt>
                      <c:pt idx="438">
                        <c:v>45559</c:v>
                      </c:pt>
                      <c:pt idx="439">
                        <c:v>45560</c:v>
                      </c:pt>
                      <c:pt idx="440">
                        <c:v>45561</c:v>
                      </c:pt>
                      <c:pt idx="441">
                        <c:v>45562</c:v>
                      </c:pt>
                      <c:pt idx="442">
                        <c:v>45565</c:v>
                      </c:pt>
                      <c:pt idx="443">
                        <c:v>45566</c:v>
                      </c:pt>
                      <c:pt idx="444">
                        <c:v>45567</c:v>
                      </c:pt>
                      <c:pt idx="445">
                        <c:v>45568</c:v>
                      </c:pt>
                      <c:pt idx="446">
                        <c:v>45569</c:v>
                      </c:pt>
                      <c:pt idx="447">
                        <c:v>45572</c:v>
                      </c:pt>
                      <c:pt idx="448">
                        <c:v>45573</c:v>
                      </c:pt>
                      <c:pt idx="449">
                        <c:v>45574</c:v>
                      </c:pt>
                      <c:pt idx="450">
                        <c:v>45575</c:v>
                      </c:pt>
                      <c:pt idx="451">
                        <c:v>45576</c:v>
                      </c:pt>
                      <c:pt idx="452">
                        <c:v>45579</c:v>
                      </c:pt>
                      <c:pt idx="453">
                        <c:v>45580</c:v>
                      </c:pt>
                      <c:pt idx="454">
                        <c:v>45581</c:v>
                      </c:pt>
                      <c:pt idx="455">
                        <c:v>45582</c:v>
                      </c:pt>
                      <c:pt idx="456">
                        <c:v>45583</c:v>
                      </c:pt>
                      <c:pt idx="457">
                        <c:v>45586</c:v>
                      </c:pt>
                      <c:pt idx="458">
                        <c:v>45587</c:v>
                      </c:pt>
                      <c:pt idx="459">
                        <c:v>45588</c:v>
                      </c:pt>
                      <c:pt idx="460">
                        <c:v>45589</c:v>
                      </c:pt>
                      <c:pt idx="461">
                        <c:v>45590</c:v>
                      </c:pt>
                      <c:pt idx="462">
                        <c:v>45593</c:v>
                      </c:pt>
                      <c:pt idx="463">
                        <c:v>45594</c:v>
                      </c:pt>
                      <c:pt idx="464">
                        <c:v>45595</c:v>
                      </c:pt>
                      <c:pt idx="465">
                        <c:v>45596</c:v>
                      </c:pt>
                      <c:pt idx="466">
                        <c:v>45597</c:v>
                      </c:pt>
                      <c:pt idx="467">
                        <c:v>45600</c:v>
                      </c:pt>
                      <c:pt idx="468">
                        <c:v>45601</c:v>
                      </c:pt>
                      <c:pt idx="469">
                        <c:v>45602</c:v>
                      </c:pt>
                      <c:pt idx="470">
                        <c:v>45603</c:v>
                      </c:pt>
                      <c:pt idx="471">
                        <c:v>45604</c:v>
                      </c:pt>
                      <c:pt idx="472">
                        <c:v>45608</c:v>
                      </c:pt>
                      <c:pt idx="473">
                        <c:v>45609</c:v>
                      </c:pt>
                      <c:pt idx="474">
                        <c:v>45610</c:v>
                      </c:pt>
                      <c:pt idx="475">
                        <c:v>45611</c:v>
                      </c:pt>
                      <c:pt idx="476">
                        <c:v>45614</c:v>
                      </c:pt>
                      <c:pt idx="477">
                        <c:v>45615</c:v>
                      </c:pt>
                      <c:pt idx="478">
                        <c:v>45616</c:v>
                      </c:pt>
                      <c:pt idx="479">
                        <c:v>45617</c:v>
                      </c:pt>
                      <c:pt idx="480">
                        <c:v>45618</c:v>
                      </c:pt>
                      <c:pt idx="481">
                        <c:v>45621</c:v>
                      </c:pt>
                      <c:pt idx="482">
                        <c:v>45622</c:v>
                      </c:pt>
                      <c:pt idx="483">
                        <c:v>45623</c:v>
                      </c:pt>
                      <c:pt idx="484">
                        <c:v>45624</c:v>
                      </c:pt>
                      <c:pt idx="485">
                        <c:v>45625</c:v>
                      </c:pt>
                      <c:pt idx="486">
                        <c:v>45628</c:v>
                      </c:pt>
                      <c:pt idx="487">
                        <c:v>45629</c:v>
                      </c:pt>
                      <c:pt idx="488">
                        <c:v>45630</c:v>
                      </c:pt>
                      <c:pt idx="489">
                        <c:v>45631</c:v>
                      </c:pt>
                      <c:pt idx="490">
                        <c:v>45632</c:v>
                      </c:pt>
                      <c:pt idx="491">
                        <c:v>45635</c:v>
                      </c:pt>
                      <c:pt idx="492">
                        <c:v>45636</c:v>
                      </c:pt>
                      <c:pt idx="493">
                        <c:v>45637</c:v>
                      </c:pt>
                      <c:pt idx="494">
                        <c:v>45638</c:v>
                      </c:pt>
                      <c:pt idx="495">
                        <c:v>45639</c:v>
                      </c:pt>
                      <c:pt idx="496">
                        <c:v>45642</c:v>
                      </c:pt>
                      <c:pt idx="497">
                        <c:v>45643</c:v>
                      </c:pt>
                      <c:pt idx="498">
                        <c:v>45644</c:v>
                      </c:pt>
                      <c:pt idx="499">
                        <c:v>45645</c:v>
                      </c:pt>
                      <c:pt idx="500">
                        <c:v>45646</c:v>
                      </c:pt>
                      <c:pt idx="501">
                        <c:v>45649</c:v>
                      </c:pt>
                      <c:pt idx="502">
                        <c:v>45650</c:v>
                      </c:pt>
                      <c:pt idx="503">
                        <c:v>45653</c:v>
                      </c:pt>
                      <c:pt idx="504">
                        <c:v>45656</c:v>
                      </c:pt>
                      <c:pt idx="505">
                        <c:v>45657</c:v>
                      </c:pt>
                      <c:pt idx="506">
                        <c:v>45659</c:v>
                      </c:pt>
                      <c:pt idx="507">
                        <c:v>45660</c:v>
                      </c:pt>
                      <c:pt idx="508">
                        <c:v>45663</c:v>
                      </c:pt>
                      <c:pt idx="509">
                        <c:v>45664</c:v>
                      </c:pt>
                      <c:pt idx="510">
                        <c:v>45665</c:v>
                      </c:pt>
                      <c:pt idx="511">
                        <c:v>45666</c:v>
                      </c:pt>
                      <c:pt idx="512">
                        <c:v>45667</c:v>
                      </c:pt>
                      <c:pt idx="513">
                        <c:v>45670</c:v>
                      </c:pt>
                      <c:pt idx="514">
                        <c:v>45671</c:v>
                      </c:pt>
                      <c:pt idx="515">
                        <c:v>45672</c:v>
                      </c:pt>
                      <c:pt idx="516">
                        <c:v>45673</c:v>
                      </c:pt>
                      <c:pt idx="517">
                        <c:v>45674</c:v>
                      </c:pt>
                      <c:pt idx="518">
                        <c:v>45677</c:v>
                      </c:pt>
                      <c:pt idx="519">
                        <c:v>45678</c:v>
                      </c:pt>
                      <c:pt idx="520">
                        <c:v>45679</c:v>
                      </c:pt>
                      <c:pt idx="521">
                        <c:v>45680</c:v>
                      </c:pt>
                      <c:pt idx="522">
                        <c:v>45681</c:v>
                      </c:pt>
                      <c:pt idx="523">
                        <c:v>45684</c:v>
                      </c:pt>
                      <c:pt idx="524">
                        <c:v>45685</c:v>
                      </c:pt>
                      <c:pt idx="525">
                        <c:v>45686</c:v>
                      </c:pt>
                      <c:pt idx="526">
                        <c:v>45687</c:v>
                      </c:pt>
                      <c:pt idx="527">
                        <c:v>45688</c:v>
                      </c:pt>
                      <c:pt idx="528">
                        <c:v>45691</c:v>
                      </c:pt>
                      <c:pt idx="529">
                        <c:v>45692</c:v>
                      </c:pt>
                      <c:pt idx="530">
                        <c:v>45693</c:v>
                      </c:pt>
                      <c:pt idx="531">
                        <c:v>45694</c:v>
                      </c:pt>
                      <c:pt idx="532">
                        <c:v>45695</c:v>
                      </c:pt>
                      <c:pt idx="533">
                        <c:v>45698</c:v>
                      </c:pt>
                      <c:pt idx="534">
                        <c:v>45699</c:v>
                      </c:pt>
                      <c:pt idx="535">
                        <c:v>45700</c:v>
                      </c:pt>
                      <c:pt idx="536">
                        <c:v>45701</c:v>
                      </c:pt>
                      <c:pt idx="537">
                        <c:v>45702</c:v>
                      </c:pt>
                      <c:pt idx="538">
                        <c:v>45705</c:v>
                      </c:pt>
                      <c:pt idx="539">
                        <c:v>45706</c:v>
                      </c:pt>
                      <c:pt idx="540">
                        <c:v>45707</c:v>
                      </c:pt>
                      <c:pt idx="541">
                        <c:v>45708</c:v>
                      </c:pt>
                      <c:pt idx="542">
                        <c:v>45709</c:v>
                      </c:pt>
                      <c:pt idx="543">
                        <c:v>45712</c:v>
                      </c:pt>
                      <c:pt idx="544">
                        <c:v>45713</c:v>
                      </c:pt>
                      <c:pt idx="545">
                        <c:v>45714</c:v>
                      </c:pt>
                      <c:pt idx="546">
                        <c:v>45715</c:v>
                      </c:pt>
                      <c:pt idx="547">
                        <c:v>45716</c:v>
                      </c:pt>
                      <c:pt idx="548">
                        <c:v>45719</c:v>
                      </c:pt>
                      <c:pt idx="549">
                        <c:v>45720</c:v>
                      </c:pt>
                      <c:pt idx="550">
                        <c:v>45721</c:v>
                      </c:pt>
                      <c:pt idx="551">
                        <c:v>45722</c:v>
                      </c:pt>
                      <c:pt idx="552">
                        <c:v>45723</c:v>
                      </c:pt>
                      <c:pt idx="553">
                        <c:v>45726</c:v>
                      </c:pt>
                      <c:pt idx="554">
                        <c:v>45727</c:v>
                      </c:pt>
                      <c:pt idx="555">
                        <c:v>45728</c:v>
                      </c:pt>
                      <c:pt idx="556">
                        <c:v>45729</c:v>
                      </c:pt>
                      <c:pt idx="557">
                        <c:v>45730</c:v>
                      </c:pt>
                      <c:pt idx="558">
                        <c:v>45733</c:v>
                      </c:pt>
                      <c:pt idx="559">
                        <c:v>45734</c:v>
                      </c:pt>
                      <c:pt idx="560">
                        <c:v>45735</c:v>
                      </c:pt>
                      <c:pt idx="561">
                        <c:v>45736</c:v>
                      </c:pt>
                      <c:pt idx="562">
                        <c:v>45737</c:v>
                      </c:pt>
                      <c:pt idx="563">
                        <c:v>45740</c:v>
                      </c:pt>
                      <c:pt idx="564">
                        <c:v>45741</c:v>
                      </c:pt>
                      <c:pt idx="565">
                        <c:v>45742</c:v>
                      </c:pt>
                      <c:pt idx="566">
                        <c:v>45743</c:v>
                      </c:pt>
                      <c:pt idx="567">
                        <c:v>45744</c:v>
                      </c:pt>
                      <c:pt idx="568">
                        <c:v>45747</c:v>
                      </c:pt>
                      <c:pt idx="569">
                        <c:v>45748</c:v>
                      </c:pt>
                      <c:pt idx="570">
                        <c:v>45749</c:v>
                      </c:pt>
                      <c:pt idx="571">
                        <c:v>45750</c:v>
                      </c:pt>
                      <c:pt idx="572">
                        <c:v>45751</c:v>
                      </c:pt>
                      <c:pt idx="573">
                        <c:v>45754</c:v>
                      </c:pt>
                      <c:pt idx="574">
                        <c:v>45755</c:v>
                      </c:pt>
                      <c:pt idx="575">
                        <c:v>45756</c:v>
                      </c:pt>
                      <c:pt idx="576">
                        <c:v>45757</c:v>
                      </c:pt>
                      <c:pt idx="577">
                        <c:v>45761</c:v>
                      </c:pt>
                      <c:pt idx="578">
                        <c:v>45762</c:v>
                      </c:pt>
                      <c:pt idx="579">
                        <c:v>45763</c:v>
                      </c:pt>
                      <c:pt idx="580">
                        <c:v>45764</c:v>
                      </c:pt>
                      <c:pt idx="581">
                        <c:v>45768</c:v>
                      </c:pt>
                      <c:pt idx="582">
                        <c:v>45771</c:v>
                      </c:pt>
                      <c:pt idx="583">
                        <c:v>45772</c:v>
                      </c:pt>
                      <c:pt idx="584">
                        <c:v>45775</c:v>
                      </c:pt>
                      <c:pt idx="585">
                        <c:v>45776</c:v>
                      </c:pt>
                      <c:pt idx="586">
                        <c:v>45784</c:v>
                      </c:pt>
                      <c:pt idx="587">
                        <c:v>45785</c:v>
                      </c:pt>
                      <c:pt idx="588">
                        <c:v>45789</c:v>
                      </c:pt>
                      <c:pt idx="589">
                        <c:v>45790</c:v>
                      </c:pt>
                      <c:pt idx="590">
                        <c:v>45796</c:v>
                      </c:pt>
                      <c:pt idx="591">
                        <c:v>45797</c:v>
                      </c:pt>
                      <c:pt idx="592">
                        <c:v>45798</c:v>
                      </c:pt>
                      <c:pt idx="593">
                        <c:v>45799</c:v>
                      </c:pt>
                      <c:pt idx="594">
                        <c:v>45800</c:v>
                      </c:pt>
                      <c:pt idx="595">
                        <c:v>45804</c:v>
                      </c:pt>
                      <c:pt idx="596">
                        <c:v>45805</c:v>
                      </c:pt>
                      <c:pt idx="597">
                        <c:v>45806</c:v>
                      </c:pt>
                      <c:pt idx="598">
                        <c:v>45807</c:v>
                      </c:pt>
                      <c:pt idx="599">
                        <c:v>45810</c:v>
                      </c:pt>
                      <c:pt idx="600">
                        <c:v>45811</c:v>
                      </c:pt>
                      <c:pt idx="601">
                        <c:v>45812</c:v>
                      </c:pt>
                      <c:pt idx="602">
                        <c:v>45813</c:v>
                      </c:pt>
                      <c:pt idx="603">
                        <c:v>45814</c:v>
                      </c:pt>
                      <c:pt idx="604">
                        <c:v>45817</c:v>
                      </c:pt>
                      <c:pt idx="605">
                        <c:v>45818</c:v>
                      </c:pt>
                      <c:pt idx="606">
                        <c:v>45819</c:v>
                      </c:pt>
                      <c:pt idx="607">
                        <c:v>45821</c:v>
                      </c:pt>
                      <c:pt idx="608">
                        <c:v>45824</c:v>
                      </c:pt>
                      <c:pt idx="609">
                        <c:v>45825</c:v>
                      </c:pt>
                      <c:pt idx="610">
                        <c:v>45826</c:v>
                      </c:pt>
                      <c:pt idx="611">
                        <c:v>45828</c:v>
                      </c:pt>
                      <c:pt idx="612">
                        <c:v>45831</c:v>
                      </c:pt>
                      <c:pt idx="613">
                        <c:v>45832</c:v>
                      </c:pt>
                      <c:pt idx="614">
                        <c:v>45833</c:v>
                      </c:pt>
                      <c:pt idx="615">
                        <c:v>45835</c:v>
                      </c:pt>
                      <c:pt idx="616">
                        <c:v>45838</c:v>
                      </c:pt>
                      <c:pt idx="617">
                        <c:v>45839</c:v>
                      </c:pt>
                      <c:pt idx="618">
                        <c:v>45840</c:v>
                      </c:pt>
                      <c:pt idx="619">
                        <c:v>45841</c:v>
                      </c:pt>
                      <c:pt idx="620">
                        <c:v>45845</c:v>
                      </c:pt>
                      <c:pt idx="621">
                        <c:v>45846</c:v>
                      </c:pt>
                      <c:pt idx="622">
                        <c:v>45847</c:v>
                      </c:pt>
                      <c:pt idx="623">
                        <c:v>45848</c:v>
                      </c:pt>
                      <c:pt idx="624">
                        <c:v>45849</c:v>
                      </c:pt>
                      <c:pt idx="625">
                        <c:v>45852</c:v>
                      </c:pt>
                      <c:pt idx="626">
                        <c:v>45853</c:v>
                      </c:pt>
                      <c:pt idx="627">
                        <c:v>45854</c:v>
                      </c:pt>
                      <c:pt idx="628">
                        <c:v>45855</c:v>
                      </c:pt>
                      <c:pt idx="629">
                        <c:v>45856</c:v>
                      </c:pt>
                      <c:pt idx="630">
                        <c:v>45859</c:v>
                      </c:pt>
                      <c:pt idx="631">
                        <c:v>45860</c:v>
                      </c:pt>
                      <c:pt idx="632">
                        <c:v>45861</c:v>
                      </c:pt>
                      <c:pt idx="633">
                        <c:v>45862</c:v>
                      </c:pt>
                      <c:pt idx="634">
                        <c:v>45863</c:v>
                      </c:pt>
                      <c:pt idx="635">
                        <c:v>45866</c:v>
                      </c:pt>
                      <c:pt idx="636">
                        <c:v>45867</c:v>
                      </c:pt>
                      <c:pt idx="637">
                        <c:v>45868</c:v>
                      </c:pt>
                      <c:pt idx="638">
                        <c:v>45869</c:v>
                      </c:pt>
                      <c:pt idx="639">
                        <c:v>45870</c:v>
                      </c:pt>
                      <c:pt idx="640">
                        <c:v>45873</c:v>
                      </c:pt>
                      <c:pt idx="641">
                        <c:v>45874</c:v>
                      </c:pt>
                      <c:pt idx="642">
                        <c:v>45875</c:v>
                      </c:pt>
                      <c:pt idx="643">
                        <c:v>45876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Info!$J$4:$J$241</c15:sqref>
                        </c15:formulaRef>
                      </c:ext>
                    </c:extLst>
                    <c:numCache>
                      <c:formatCode>General</c:formatCode>
                      <c:ptCount val="23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  <c:pt idx="37">
                        <c:v>4</c:v>
                      </c:pt>
                      <c:pt idx="38">
                        <c:v>4</c:v>
                      </c:pt>
                      <c:pt idx="39">
                        <c:v>4</c:v>
                      </c:pt>
                      <c:pt idx="40">
                        <c:v>4</c:v>
                      </c:pt>
                      <c:pt idx="41">
                        <c:v>4</c:v>
                      </c:pt>
                      <c:pt idx="42">
                        <c:v>4</c:v>
                      </c:pt>
                      <c:pt idx="43">
                        <c:v>4</c:v>
                      </c:pt>
                      <c:pt idx="44">
                        <c:v>4</c:v>
                      </c:pt>
                      <c:pt idx="45">
                        <c:v>4</c:v>
                      </c:pt>
                      <c:pt idx="46">
                        <c:v>4</c:v>
                      </c:pt>
                      <c:pt idx="47">
                        <c:v>4</c:v>
                      </c:pt>
                      <c:pt idx="48">
                        <c:v>4</c:v>
                      </c:pt>
                      <c:pt idx="49">
                        <c:v>4</c:v>
                      </c:pt>
                      <c:pt idx="50">
                        <c:v>4</c:v>
                      </c:pt>
                      <c:pt idx="51">
                        <c:v>4</c:v>
                      </c:pt>
                      <c:pt idx="52">
                        <c:v>4</c:v>
                      </c:pt>
                      <c:pt idx="53">
                        <c:v>4</c:v>
                      </c:pt>
                      <c:pt idx="54">
                        <c:v>4</c:v>
                      </c:pt>
                      <c:pt idx="55">
                        <c:v>4</c:v>
                      </c:pt>
                      <c:pt idx="56">
                        <c:v>4</c:v>
                      </c:pt>
                      <c:pt idx="57">
                        <c:v>4</c:v>
                      </c:pt>
                      <c:pt idx="58">
                        <c:v>4</c:v>
                      </c:pt>
                      <c:pt idx="59">
                        <c:v>4</c:v>
                      </c:pt>
                      <c:pt idx="60">
                        <c:v>4</c:v>
                      </c:pt>
                      <c:pt idx="61">
                        <c:v>4</c:v>
                      </c:pt>
                      <c:pt idx="62">
                        <c:v>4</c:v>
                      </c:pt>
                      <c:pt idx="63">
                        <c:v>4</c:v>
                      </c:pt>
                      <c:pt idx="64">
                        <c:v>4</c:v>
                      </c:pt>
                      <c:pt idx="65">
                        <c:v>4</c:v>
                      </c:pt>
                      <c:pt idx="66">
                        <c:v>4</c:v>
                      </c:pt>
                      <c:pt idx="67">
                        <c:v>4</c:v>
                      </c:pt>
                      <c:pt idx="68">
                        <c:v>4</c:v>
                      </c:pt>
                      <c:pt idx="69">
                        <c:v>4</c:v>
                      </c:pt>
                      <c:pt idx="70">
                        <c:v>4</c:v>
                      </c:pt>
                      <c:pt idx="71">
                        <c:v>4</c:v>
                      </c:pt>
                      <c:pt idx="72">
                        <c:v>4</c:v>
                      </c:pt>
                      <c:pt idx="73">
                        <c:v>4</c:v>
                      </c:pt>
                      <c:pt idx="74">
                        <c:v>4</c:v>
                      </c:pt>
                      <c:pt idx="75">
                        <c:v>4</c:v>
                      </c:pt>
                      <c:pt idx="76">
                        <c:v>4</c:v>
                      </c:pt>
                      <c:pt idx="77">
                        <c:v>4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4</c:v>
                      </c:pt>
                      <c:pt idx="81">
                        <c:v>4</c:v>
                      </c:pt>
                      <c:pt idx="82">
                        <c:v>4</c:v>
                      </c:pt>
                      <c:pt idx="83">
                        <c:v>4</c:v>
                      </c:pt>
                      <c:pt idx="84">
                        <c:v>4</c:v>
                      </c:pt>
                      <c:pt idx="85">
                        <c:v>4</c:v>
                      </c:pt>
                      <c:pt idx="86">
                        <c:v>4</c:v>
                      </c:pt>
                      <c:pt idx="87">
                        <c:v>4</c:v>
                      </c:pt>
                      <c:pt idx="88">
                        <c:v>4</c:v>
                      </c:pt>
                      <c:pt idx="89">
                        <c:v>4</c:v>
                      </c:pt>
                      <c:pt idx="90">
                        <c:v>4</c:v>
                      </c:pt>
                      <c:pt idx="91">
                        <c:v>4</c:v>
                      </c:pt>
                      <c:pt idx="92">
                        <c:v>4</c:v>
                      </c:pt>
                      <c:pt idx="93">
                        <c:v>4</c:v>
                      </c:pt>
                      <c:pt idx="94">
                        <c:v>4</c:v>
                      </c:pt>
                      <c:pt idx="95">
                        <c:v>4</c:v>
                      </c:pt>
                      <c:pt idx="96">
                        <c:v>4</c:v>
                      </c:pt>
                      <c:pt idx="97">
                        <c:v>4</c:v>
                      </c:pt>
                      <c:pt idx="98">
                        <c:v>4</c:v>
                      </c:pt>
                      <c:pt idx="99">
                        <c:v>4</c:v>
                      </c:pt>
                      <c:pt idx="100">
                        <c:v>4</c:v>
                      </c:pt>
                      <c:pt idx="101">
                        <c:v>4</c:v>
                      </c:pt>
                      <c:pt idx="102">
                        <c:v>4</c:v>
                      </c:pt>
                      <c:pt idx="103">
                        <c:v>4</c:v>
                      </c:pt>
                      <c:pt idx="104">
                        <c:v>4</c:v>
                      </c:pt>
                      <c:pt idx="105">
                        <c:v>4</c:v>
                      </c:pt>
                      <c:pt idx="106">
                        <c:v>4</c:v>
                      </c:pt>
                      <c:pt idx="107">
                        <c:v>4</c:v>
                      </c:pt>
                      <c:pt idx="108">
                        <c:v>4</c:v>
                      </c:pt>
                      <c:pt idx="109">
                        <c:v>4</c:v>
                      </c:pt>
                      <c:pt idx="110">
                        <c:v>4</c:v>
                      </c:pt>
                      <c:pt idx="111">
                        <c:v>4</c:v>
                      </c:pt>
                      <c:pt idx="112">
                        <c:v>4</c:v>
                      </c:pt>
                      <c:pt idx="113">
                        <c:v>4</c:v>
                      </c:pt>
                      <c:pt idx="114">
                        <c:v>4</c:v>
                      </c:pt>
                      <c:pt idx="115">
                        <c:v>4</c:v>
                      </c:pt>
                      <c:pt idx="116">
                        <c:v>4</c:v>
                      </c:pt>
                      <c:pt idx="117">
                        <c:v>4</c:v>
                      </c:pt>
                      <c:pt idx="118">
                        <c:v>4</c:v>
                      </c:pt>
                      <c:pt idx="119">
                        <c:v>4</c:v>
                      </c:pt>
                      <c:pt idx="120">
                        <c:v>4</c:v>
                      </c:pt>
                      <c:pt idx="121">
                        <c:v>4</c:v>
                      </c:pt>
                      <c:pt idx="122">
                        <c:v>4</c:v>
                      </c:pt>
                      <c:pt idx="123">
                        <c:v>4</c:v>
                      </c:pt>
                      <c:pt idx="124">
                        <c:v>4</c:v>
                      </c:pt>
                      <c:pt idx="125">
                        <c:v>4</c:v>
                      </c:pt>
                      <c:pt idx="126">
                        <c:v>4</c:v>
                      </c:pt>
                      <c:pt idx="127">
                        <c:v>4</c:v>
                      </c:pt>
                      <c:pt idx="128">
                        <c:v>4</c:v>
                      </c:pt>
                      <c:pt idx="129">
                        <c:v>4</c:v>
                      </c:pt>
                      <c:pt idx="130">
                        <c:v>4</c:v>
                      </c:pt>
                      <c:pt idx="131">
                        <c:v>4</c:v>
                      </c:pt>
                      <c:pt idx="132">
                        <c:v>4</c:v>
                      </c:pt>
                      <c:pt idx="133">
                        <c:v>4</c:v>
                      </c:pt>
                      <c:pt idx="134">
                        <c:v>4</c:v>
                      </c:pt>
                      <c:pt idx="135">
                        <c:v>4</c:v>
                      </c:pt>
                      <c:pt idx="136">
                        <c:v>4</c:v>
                      </c:pt>
                      <c:pt idx="137">
                        <c:v>4</c:v>
                      </c:pt>
                      <c:pt idx="138">
                        <c:v>4</c:v>
                      </c:pt>
                      <c:pt idx="139">
                        <c:v>4</c:v>
                      </c:pt>
                      <c:pt idx="140">
                        <c:v>4</c:v>
                      </c:pt>
                      <c:pt idx="141">
                        <c:v>4</c:v>
                      </c:pt>
                      <c:pt idx="142">
                        <c:v>4</c:v>
                      </c:pt>
                      <c:pt idx="143">
                        <c:v>4</c:v>
                      </c:pt>
                      <c:pt idx="144">
                        <c:v>4</c:v>
                      </c:pt>
                      <c:pt idx="145">
                        <c:v>4</c:v>
                      </c:pt>
                      <c:pt idx="146">
                        <c:v>4</c:v>
                      </c:pt>
                      <c:pt idx="147">
                        <c:v>4</c:v>
                      </c:pt>
                      <c:pt idx="148">
                        <c:v>4</c:v>
                      </c:pt>
                      <c:pt idx="149">
                        <c:v>4</c:v>
                      </c:pt>
                      <c:pt idx="150">
                        <c:v>4</c:v>
                      </c:pt>
                      <c:pt idx="151">
                        <c:v>4</c:v>
                      </c:pt>
                      <c:pt idx="152">
                        <c:v>4</c:v>
                      </c:pt>
                      <c:pt idx="153">
                        <c:v>4</c:v>
                      </c:pt>
                      <c:pt idx="154">
                        <c:v>4</c:v>
                      </c:pt>
                      <c:pt idx="155">
                        <c:v>4</c:v>
                      </c:pt>
                      <c:pt idx="156">
                        <c:v>4</c:v>
                      </c:pt>
                      <c:pt idx="157">
                        <c:v>4</c:v>
                      </c:pt>
                      <c:pt idx="158">
                        <c:v>4</c:v>
                      </c:pt>
                      <c:pt idx="159">
                        <c:v>4</c:v>
                      </c:pt>
                      <c:pt idx="160">
                        <c:v>4</c:v>
                      </c:pt>
                      <c:pt idx="161">
                        <c:v>4</c:v>
                      </c:pt>
                      <c:pt idx="162">
                        <c:v>4</c:v>
                      </c:pt>
                      <c:pt idx="163">
                        <c:v>4</c:v>
                      </c:pt>
                      <c:pt idx="164">
                        <c:v>4</c:v>
                      </c:pt>
                      <c:pt idx="165">
                        <c:v>4</c:v>
                      </c:pt>
                      <c:pt idx="166">
                        <c:v>4</c:v>
                      </c:pt>
                      <c:pt idx="167">
                        <c:v>4</c:v>
                      </c:pt>
                      <c:pt idx="168">
                        <c:v>4</c:v>
                      </c:pt>
                      <c:pt idx="169">
                        <c:v>4</c:v>
                      </c:pt>
                      <c:pt idx="170">
                        <c:v>4</c:v>
                      </c:pt>
                      <c:pt idx="171">
                        <c:v>4</c:v>
                      </c:pt>
                      <c:pt idx="172">
                        <c:v>4</c:v>
                      </c:pt>
                      <c:pt idx="173">
                        <c:v>4</c:v>
                      </c:pt>
                      <c:pt idx="174">
                        <c:v>4</c:v>
                      </c:pt>
                      <c:pt idx="175">
                        <c:v>4</c:v>
                      </c:pt>
                      <c:pt idx="176">
                        <c:v>4</c:v>
                      </c:pt>
                      <c:pt idx="177">
                        <c:v>4</c:v>
                      </c:pt>
                      <c:pt idx="178">
                        <c:v>4</c:v>
                      </c:pt>
                      <c:pt idx="179">
                        <c:v>4</c:v>
                      </c:pt>
                      <c:pt idx="180">
                        <c:v>4</c:v>
                      </c:pt>
                      <c:pt idx="181">
                        <c:v>4</c:v>
                      </c:pt>
                      <c:pt idx="182">
                        <c:v>4</c:v>
                      </c:pt>
                      <c:pt idx="183">
                        <c:v>4</c:v>
                      </c:pt>
                      <c:pt idx="184">
                        <c:v>4</c:v>
                      </c:pt>
                      <c:pt idx="185">
                        <c:v>4</c:v>
                      </c:pt>
                      <c:pt idx="186">
                        <c:v>4</c:v>
                      </c:pt>
                      <c:pt idx="187">
                        <c:v>4</c:v>
                      </c:pt>
                      <c:pt idx="188">
                        <c:v>4</c:v>
                      </c:pt>
                      <c:pt idx="189">
                        <c:v>4</c:v>
                      </c:pt>
                      <c:pt idx="190">
                        <c:v>4</c:v>
                      </c:pt>
                      <c:pt idx="191">
                        <c:v>4</c:v>
                      </c:pt>
                      <c:pt idx="192">
                        <c:v>4</c:v>
                      </c:pt>
                      <c:pt idx="193">
                        <c:v>4</c:v>
                      </c:pt>
                      <c:pt idx="194">
                        <c:v>4</c:v>
                      </c:pt>
                      <c:pt idx="195">
                        <c:v>4</c:v>
                      </c:pt>
                      <c:pt idx="196">
                        <c:v>4</c:v>
                      </c:pt>
                      <c:pt idx="197">
                        <c:v>4</c:v>
                      </c:pt>
                      <c:pt idx="198">
                        <c:v>4</c:v>
                      </c:pt>
                      <c:pt idx="199">
                        <c:v>4</c:v>
                      </c:pt>
                      <c:pt idx="200">
                        <c:v>4</c:v>
                      </c:pt>
                      <c:pt idx="201">
                        <c:v>4</c:v>
                      </c:pt>
                      <c:pt idx="202">
                        <c:v>4</c:v>
                      </c:pt>
                      <c:pt idx="203">
                        <c:v>4</c:v>
                      </c:pt>
                      <c:pt idx="204">
                        <c:v>4</c:v>
                      </c:pt>
                      <c:pt idx="205">
                        <c:v>4</c:v>
                      </c:pt>
                      <c:pt idx="206">
                        <c:v>4</c:v>
                      </c:pt>
                      <c:pt idx="207">
                        <c:v>4</c:v>
                      </c:pt>
                      <c:pt idx="208">
                        <c:v>4</c:v>
                      </c:pt>
                      <c:pt idx="209">
                        <c:v>4</c:v>
                      </c:pt>
                      <c:pt idx="210">
                        <c:v>4</c:v>
                      </c:pt>
                      <c:pt idx="211">
                        <c:v>4</c:v>
                      </c:pt>
                      <c:pt idx="212">
                        <c:v>4</c:v>
                      </c:pt>
                      <c:pt idx="213">
                        <c:v>4</c:v>
                      </c:pt>
                      <c:pt idx="214">
                        <c:v>4</c:v>
                      </c:pt>
                      <c:pt idx="215">
                        <c:v>4</c:v>
                      </c:pt>
                      <c:pt idx="216">
                        <c:v>4</c:v>
                      </c:pt>
                      <c:pt idx="217">
                        <c:v>4</c:v>
                      </c:pt>
                      <c:pt idx="218">
                        <c:v>4</c:v>
                      </c:pt>
                      <c:pt idx="219">
                        <c:v>4</c:v>
                      </c:pt>
                      <c:pt idx="220">
                        <c:v>4</c:v>
                      </c:pt>
                      <c:pt idx="221">
                        <c:v>4</c:v>
                      </c:pt>
                      <c:pt idx="222">
                        <c:v>4</c:v>
                      </c:pt>
                      <c:pt idx="223">
                        <c:v>4</c:v>
                      </c:pt>
                      <c:pt idx="224">
                        <c:v>4</c:v>
                      </c:pt>
                      <c:pt idx="225">
                        <c:v>4</c:v>
                      </c:pt>
                      <c:pt idx="226">
                        <c:v>4</c:v>
                      </c:pt>
                      <c:pt idx="227">
                        <c:v>4</c:v>
                      </c:pt>
                      <c:pt idx="228">
                        <c:v>4</c:v>
                      </c:pt>
                      <c:pt idx="229">
                        <c:v>4</c:v>
                      </c:pt>
                      <c:pt idx="230">
                        <c:v>4</c:v>
                      </c:pt>
                      <c:pt idx="231">
                        <c:v>4</c:v>
                      </c:pt>
                      <c:pt idx="232">
                        <c:v>4</c:v>
                      </c:pt>
                      <c:pt idx="233">
                        <c:v>4</c:v>
                      </c:pt>
                      <c:pt idx="234">
                        <c:v>4</c:v>
                      </c:pt>
                      <c:pt idx="235">
                        <c:v>4</c:v>
                      </c:pt>
                      <c:pt idx="236">
                        <c:v>4</c:v>
                      </c:pt>
                      <c:pt idx="237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92D-4057-B674-50A82F31B8A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$6 - 75% of Uncovered Position Outside Nearby</c:v>
                </c:tx>
                <c:spPr>
                  <a:ln w="34925" cap="rnd">
                    <a:solidFill>
                      <a:srgbClr val="FFC000"/>
                    </a:solidFill>
                    <a:prstDash val="sysDash"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Info!$A$24:$A$667</c15:sqref>
                        </c15:formulaRef>
                      </c:ext>
                    </c:extLst>
                    <c:numCache>
                      <c:formatCode>m/d/yy</c:formatCode>
                      <c:ptCount val="644"/>
                      <c:pt idx="0">
                        <c:v>44929</c:v>
                      </c:pt>
                      <c:pt idx="1">
                        <c:v>44930</c:v>
                      </c:pt>
                      <c:pt idx="2">
                        <c:v>44931</c:v>
                      </c:pt>
                      <c:pt idx="3">
                        <c:v>44932</c:v>
                      </c:pt>
                      <c:pt idx="4">
                        <c:v>44935</c:v>
                      </c:pt>
                      <c:pt idx="5">
                        <c:v>44936</c:v>
                      </c:pt>
                      <c:pt idx="6">
                        <c:v>44937</c:v>
                      </c:pt>
                      <c:pt idx="7">
                        <c:v>44938</c:v>
                      </c:pt>
                      <c:pt idx="8">
                        <c:v>44939</c:v>
                      </c:pt>
                      <c:pt idx="9">
                        <c:v>44942</c:v>
                      </c:pt>
                      <c:pt idx="10">
                        <c:v>44943</c:v>
                      </c:pt>
                      <c:pt idx="11">
                        <c:v>44944</c:v>
                      </c:pt>
                      <c:pt idx="12">
                        <c:v>44945</c:v>
                      </c:pt>
                      <c:pt idx="13">
                        <c:v>44946</c:v>
                      </c:pt>
                      <c:pt idx="14">
                        <c:v>44949</c:v>
                      </c:pt>
                      <c:pt idx="15">
                        <c:v>44950</c:v>
                      </c:pt>
                      <c:pt idx="16">
                        <c:v>44951</c:v>
                      </c:pt>
                      <c:pt idx="17">
                        <c:v>44952</c:v>
                      </c:pt>
                      <c:pt idx="18">
                        <c:v>44953</c:v>
                      </c:pt>
                      <c:pt idx="19">
                        <c:v>44956</c:v>
                      </c:pt>
                      <c:pt idx="20">
                        <c:v>44958</c:v>
                      </c:pt>
                      <c:pt idx="21">
                        <c:v>44959</c:v>
                      </c:pt>
                      <c:pt idx="22">
                        <c:v>44960</c:v>
                      </c:pt>
                      <c:pt idx="23">
                        <c:v>44963</c:v>
                      </c:pt>
                      <c:pt idx="24">
                        <c:v>44964</c:v>
                      </c:pt>
                      <c:pt idx="25">
                        <c:v>44965</c:v>
                      </c:pt>
                      <c:pt idx="26">
                        <c:v>44966</c:v>
                      </c:pt>
                      <c:pt idx="27">
                        <c:v>44967</c:v>
                      </c:pt>
                      <c:pt idx="28">
                        <c:v>44970</c:v>
                      </c:pt>
                      <c:pt idx="29">
                        <c:v>44971</c:v>
                      </c:pt>
                      <c:pt idx="30">
                        <c:v>44972</c:v>
                      </c:pt>
                      <c:pt idx="31">
                        <c:v>44973</c:v>
                      </c:pt>
                      <c:pt idx="32">
                        <c:v>44974</c:v>
                      </c:pt>
                      <c:pt idx="33">
                        <c:v>44977</c:v>
                      </c:pt>
                      <c:pt idx="34">
                        <c:v>44978</c:v>
                      </c:pt>
                      <c:pt idx="35">
                        <c:v>44979</c:v>
                      </c:pt>
                      <c:pt idx="36">
                        <c:v>44980</c:v>
                      </c:pt>
                      <c:pt idx="37">
                        <c:v>44981</c:v>
                      </c:pt>
                      <c:pt idx="38">
                        <c:v>44984</c:v>
                      </c:pt>
                      <c:pt idx="39">
                        <c:v>44985</c:v>
                      </c:pt>
                      <c:pt idx="40">
                        <c:v>44986</c:v>
                      </c:pt>
                      <c:pt idx="41">
                        <c:v>44987</c:v>
                      </c:pt>
                      <c:pt idx="42">
                        <c:v>44988</c:v>
                      </c:pt>
                      <c:pt idx="43">
                        <c:v>44991</c:v>
                      </c:pt>
                      <c:pt idx="44">
                        <c:v>44992</c:v>
                      </c:pt>
                      <c:pt idx="45">
                        <c:v>44993</c:v>
                      </c:pt>
                      <c:pt idx="46">
                        <c:v>44994</c:v>
                      </c:pt>
                      <c:pt idx="47">
                        <c:v>44995</c:v>
                      </c:pt>
                      <c:pt idx="48">
                        <c:v>44998</c:v>
                      </c:pt>
                      <c:pt idx="49">
                        <c:v>44999</c:v>
                      </c:pt>
                      <c:pt idx="50">
                        <c:v>45000</c:v>
                      </c:pt>
                      <c:pt idx="51">
                        <c:v>45001</c:v>
                      </c:pt>
                      <c:pt idx="52">
                        <c:v>45002</c:v>
                      </c:pt>
                      <c:pt idx="53">
                        <c:v>45005</c:v>
                      </c:pt>
                      <c:pt idx="54">
                        <c:v>45006</c:v>
                      </c:pt>
                      <c:pt idx="55">
                        <c:v>45007</c:v>
                      </c:pt>
                      <c:pt idx="56">
                        <c:v>45008</c:v>
                      </c:pt>
                      <c:pt idx="57">
                        <c:v>45009</c:v>
                      </c:pt>
                      <c:pt idx="58">
                        <c:v>45012</c:v>
                      </c:pt>
                      <c:pt idx="59">
                        <c:v>45013</c:v>
                      </c:pt>
                      <c:pt idx="60">
                        <c:v>45014</c:v>
                      </c:pt>
                      <c:pt idx="61">
                        <c:v>45015</c:v>
                      </c:pt>
                      <c:pt idx="62">
                        <c:v>45016</c:v>
                      </c:pt>
                      <c:pt idx="63">
                        <c:v>45019</c:v>
                      </c:pt>
                      <c:pt idx="64">
                        <c:v>45020</c:v>
                      </c:pt>
                      <c:pt idx="65">
                        <c:v>45021</c:v>
                      </c:pt>
                      <c:pt idx="66">
                        <c:v>45022</c:v>
                      </c:pt>
                      <c:pt idx="67">
                        <c:v>45027</c:v>
                      </c:pt>
                      <c:pt idx="68">
                        <c:v>45028</c:v>
                      </c:pt>
                      <c:pt idx="69">
                        <c:v>45029</c:v>
                      </c:pt>
                      <c:pt idx="70">
                        <c:v>45030</c:v>
                      </c:pt>
                      <c:pt idx="71">
                        <c:v>45033</c:v>
                      </c:pt>
                      <c:pt idx="72">
                        <c:v>45034</c:v>
                      </c:pt>
                      <c:pt idx="73">
                        <c:v>45035</c:v>
                      </c:pt>
                      <c:pt idx="74">
                        <c:v>45036</c:v>
                      </c:pt>
                      <c:pt idx="75">
                        <c:v>45037</c:v>
                      </c:pt>
                      <c:pt idx="76">
                        <c:v>45040</c:v>
                      </c:pt>
                      <c:pt idx="77">
                        <c:v>45041</c:v>
                      </c:pt>
                      <c:pt idx="78">
                        <c:v>45042</c:v>
                      </c:pt>
                      <c:pt idx="79">
                        <c:v>45043</c:v>
                      </c:pt>
                      <c:pt idx="80">
                        <c:v>45044</c:v>
                      </c:pt>
                      <c:pt idx="81">
                        <c:v>45048</c:v>
                      </c:pt>
                      <c:pt idx="82">
                        <c:v>45049</c:v>
                      </c:pt>
                      <c:pt idx="83">
                        <c:v>45050</c:v>
                      </c:pt>
                      <c:pt idx="84">
                        <c:v>45051</c:v>
                      </c:pt>
                      <c:pt idx="85">
                        <c:v>45055</c:v>
                      </c:pt>
                      <c:pt idx="86">
                        <c:v>45056</c:v>
                      </c:pt>
                      <c:pt idx="87">
                        <c:v>45057</c:v>
                      </c:pt>
                      <c:pt idx="88">
                        <c:v>45058</c:v>
                      </c:pt>
                      <c:pt idx="89">
                        <c:v>45061</c:v>
                      </c:pt>
                      <c:pt idx="90">
                        <c:v>45062</c:v>
                      </c:pt>
                      <c:pt idx="91">
                        <c:v>45063</c:v>
                      </c:pt>
                      <c:pt idx="92">
                        <c:v>45064</c:v>
                      </c:pt>
                      <c:pt idx="93">
                        <c:v>45065</c:v>
                      </c:pt>
                      <c:pt idx="94">
                        <c:v>45068</c:v>
                      </c:pt>
                      <c:pt idx="95">
                        <c:v>45069</c:v>
                      </c:pt>
                      <c:pt idx="96">
                        <c:v>45070</c:v>
                      </c:pt>
                      <c:pt idx="97">
                        <c:v>45071</c:v>
                      </c:pt>
                      <c:pt idx="98">
                        <c:v>45072</c:v>
                      </c:pt>
                      <c:pt idx="99">
                        <c:v>45076</c:v>
                      </c:pt>
                      <c:pt idx="100">
                        <c:v>45077</c:v>
                      </c:pt>
                      <c:pt idx="101">
                        <c:v>45078</c:v>
                      </c:pt>
                      <c:pt idx="102">
                        <c:v>45079</c:v>
                      </c:pt>
                      <c:pt idx="103">
                        <c:v>45082</c:v>
                      </c:pt>
                      <c:pt idx="104">
                        <c:v>45083</c:v>
                      </c:pt>
                      <c:pt idx="105">
                        <c:v>45084</c:v>
                      </c:pt>
                      <c:pt idx="106">
                        <c:v>45085</c:v>
                      </c:pt>
                      <c:pt idx="107">
                        <c:v>45086</c:v>
                      </c:pt>
                      <c:pt idx="108">
                        <c:v>45089</c:v>
                      </c:pt>
                      <c:pt idx="109">
                        <c:v>45090</c:v>
                      </c:pt>
                      <c:pt idx="110">
                        <c:v>45091</c:v>
                      </c:pt>
                      <c:pt idx="111">
                        <c:v>45092</c:v>
                      </c:pt>
                      <c:pt idx="112">
                        <c:v>45093</c:v>
                      </c:pt>
                      <c:pt idx="113">
                        <c:v>45096</c:v>
                      </c:pt>
                      <c:pt idx="114">
                        <c:v>45097</c:v>
                      </c:pt>
                      <c:pt idx="115">
                        <c:v>45098</c:v>
                      </c:pt>
                      <c:pt idx="116">
                        <c:v>45099</c:v>
                      </c:pt>
                      <c:pt idx="117">
                        <c:v>45100</c:v>
                      </c:pt>
                      <c:pt idx="118">
                        <c:v>45103</c:v>
                      </c:pt>
                      <c:pt idx="119">
                        <c:v>45104</c:v>
                      </c:pt>
                      <c:pt idx="120">
                        <c:v>45105</c:v>
                      </c:pt>
                      <c:pt idx="121">
                        <c:v>45106</c:v>
                      </c:pt>
                      <c:pt idx="122">
                        <c:v>45107</c:v>
                      </c:pt>
                      <c:pt idx="123">
                        <c:v>45110</c:v>
                      </c:pt>
                      <c:pt idx="124">
                        <c:v>45111</c:v>
                      </c:pt>
                      <c:pt idx="125">
                        <c:v>45112</c:v>
                      </c:pt>
                      <c:pt idx="126">
                        <c:v>45113</c:v>
                      </c:pt>
                      <c:pt idx="127">
                        <c:v>45114</c:v>
                      </c:pt>
                      <c:pt idx="128">
                        <c:v>45117</c:v>
                      </c:pt>
                      <c:pt idx="129">
                        <c:v>45118</c:v>
                      </c:pt>
                      <c:pt idx="130">
                        <c:v>45119</c:v>
                      </c:pt>
                      <c:pt idx="131">
                        <c:v>45120</c:v>
                      </c:pt>
                      <c:pt idx="132">
                        <c:v>45121</c:v>
                      </c:pt>
                      <c:pt idx="133">
                        <c:v>45124</c:v>
                      </c:pt>
                      <c:pt idx="134">
                        <c:v>45125</c:v>
                      </c:pt>
                      <c:pt idx="135">
                        <c:v>45126</c:v>
                      </c:pt>
                      <c:pt idx="136">
                        <c:v>45127</c:v>
                      </c:pt>
                      <c:pt idx="137">
                        <c:v>45128</c:v>
                      </c:pt>
                      <c:pt idx="138">
                        <c:v>45131</c:v>
                      </c:pt>
                      <c:pt idx="139">
                        <c:v>45132</c:v>
                      </c:pt>
                      <c:pt idx="140">
                        <c:v>45133</c:v>
                      </c:pt>
                      <c:pt idx="141">
                        <c:v>45134</c:v>
                      </c:pt>
                      <c:pt idx="142">
                        <c:v>45135</c:v>
                      </c:pt>
                      <c:pt idx="143">
                        <c:v>45138</c:v>
                      </c:pt>
                      <c:pt idx="144">
                        <c:v>45139</c:v>
                      </c:pt>
                      <c:pt idx="145">
                        <c:v>45140</c:v>
                      </c:pt>
                      <c:pt idx="146">
                        <c:v>45141</c:v>
                      </c:pt>
                      <c:pt idx="147">
                        <c:v>45142</c:v>
                      </c:pt>
                      <c:pt idx="148">
                        <c:v>45145</c:v>
                      </c:pt>
                      <c:pt idx="149">
                        <c:v>45146</c:v>
                      </c:pt>
                      <c:pt idx="150">
                        <c:v>45147</c:v>
                      </c:pt>
                      <c:pt idx="151">
                        <c:v>45148</c:v>
                      </c:pt>
                      <c:pt idx="152">
                        <c:v>45149</c:v>
                      </c:pt>
                      <c:pt idx="153">
                        <c:v>45152</c:v>
                      </c:pt>
                      <c:pt idx="154">
                        <c:v>45153</c:v>
                      </c:pt>
                      <c:pt idx="155">
                        <c:v>45154</c:v>
                      </c:pt>
                      <c:pt idx="156">
                        <c:v>45155</c:v>
                      </c:pt>
                      <c:pt idx="157">
                        <c:v>45156</c:v>
                      </c:pt>
                      <c:pt idx="158">
                        <c:v>45159</c:v>
                      </c:pt>
                      <c:pt idx="159">
                        <c:v>45160</c:v>
                      </c:pt>
                      <c:pt idx="160">
                        <c:v>45161</c:v>
                      </c:pt>
                      <c:pt idx="161">
                        <c:v>45162</c:v>
                      </c:pt>
                      <c:pt idx="162">
                        <c:v>45163</c:v>
                      </c:pt>
                      <c:pt idx="163">
                        <c:v>45167</c:v>
                      </c:pt>
                      <c:pt idx="164">
                        <c:v>45168</c:v>
                      </c:pt>
                      <c:pt idx="165">
                        <c:v>45169</c:v>
                      </c:pt>
                      <c:pt idx="166">
                        <c:v>45170</c:v>
                      </c:pt>
                      <c:pt idx="167">
                        <c:v>45173</c:v>
                      </c:pt>
                      <c:pt idx="168">
                        <c:v>45174</c:v>
                      </c:pt>
                      <c:pt idx="169">
                        <c:v>45175</c:v>
                      </c:pt>
                      <c:pt idx="170">
                        <c:v>45176</c:v>
                      </c:pt>
                      <c:pt idx="171">
                        <c:v>45177</c:v>
                      </c:pt>
                      <c:pt idx="172">
                        <c:v>45180</c:v>
                      </c:pt>
                      <c:pt idx="173">
                        <c:v>45181</c:v>
                      </c:pt>
                      <c:pt idx="174">
                        <c:v>45182</c:v>
                      </c:pt>
                      <c:pt idx="175">
                        <c:v>45183</c:v>
                      </c:pt>
                      <c:pt idx="176">
                        <c:v>45184</c:v>
                      </c:pt>
                      <c:pt idx="177">
                        <c:v>45187</c:v>
                      </c:pt>
                      <c:pt idx="178">
                        <c:v>45188</c:v>
                      </c:pt>
                      <c:pt idx="179">
                        <c:v>45189</c:v>
                      </c:pt>
                      <c:pt idx="180">
                        <c:v>45190</c:v>
                      </c:pt>
                      <c:pt idx="181">
                        <c:v>45191</c:v>
                      </c:pt>
                      <c:pt idx="182">
                        <c:v>45194</c:v>
                      </c:pt>
                      <c:pt idx="183">
                        <c:v>45195</c:v>
                      </c:pt>
                      <c:pt idx="184">
                        <c:v>45196</c:v>
                      </c:pt>
                      <c:pt idx="185">
                        <c:v>45197</c:v>
                      </c:pt>
                      <c:pt idx="186">
                        <c:v>45198</c:v>
                      </c:pt>
                      <c:pt idx="187">
                        <c:v>45201</c:v>
                      </c:pt>
                      <c:pt idx="188">
                        <c:v>45202</c:v>
                      </c:pt>
                      <c:pt idx="189">
                        <c:v>45203</c:v>
                      </c:pt>
                      <c:pt idx="190">
                        <c:v>45204</c:v>
                      </c:pt>
                      <c:pt idx="191">
                        <c:v>45205</c:v>
                      </c:pt>
                      <c:pt idx="192">
                        <c:v>45208</c:v>
                      </c:pt>
                      <c:pt idx="193">
                        <c:v>45209</c:v>
                      </c:pt>
                      <c:pt idx="194">
                        <c:v>45210</c:v>
                      </c:pt>
                      <c:pt idx="195">
                        <c:v>45211</c:v>
                      </c:pt>
                      <c:pt idx="196">
                        <c:v>45212</c:v>
                      </c:pt>
                      <c:pt idx="197">
                        <c:v>45215</c:v>
                      </c:pt>
                      <c:pt idx="198">
                        <c:v>45216</c:v>
                      </c:pt>
                      <c:pt idx="199">
                        <c:v>45217</c:v>
                      </c:pt>
                      <c:pt idx="200">
                        <c:v>45218</c:v>
                      </c:pt>
                      <c:pt idx="201">
                        <c:v>45219</c:v>
                      </c:pt>
                      <c:pt idx="202">
                        <c:v>45222</c:v>
                      </c:pt>
                      <c:pt idx="203">
                        <c:v>45223</c:v>
                      </c:pt>
                      <c:pt idx="204">
                        <c:v>45224</c:v>
                      </c:pt>
                      <c:pt idx="205">
                        <c:v>45225</c:v>
                      </c:pt>
                      <c:pt idx="206">
                        <c:v>45226</c:v>
                      </c:pt>
                      <c:pt idx="207">
                        <c:v>45229</c:v>
                      </c:pt>
                      <c:pt idx="208">
                        <c:v>45230</c:v>
                      </c:pt>
                      <c:pt idx="209">
                        <c:v>45231</c:v>
                      </c:pt>
                      <c:pt idx="210">
                        <c:v>45232</c:v>
                      </c:pt>
                      <c:pt idx="211">
                        <c:v>45233</c:v>
                      </c:pt>
                      <c:pt idx="212">
                        <c:v>45236</c:v>
                      </c:pt>
                      <c:pt idx="213">
                        <c:v>45237</c:v>
                      </c:pt>
                      <c:pt idx="214">
                        <c:v>45238</c:v>
                      </c:pt>
                      <c:pt idx="215">
                        <c:v>45239</c:v>
                      </c:pt>
                      <c:pt idx="216">
                        <c:v>45240</c:v>
                      </c:pt>
                      <c:pt idx="217">
                        <c:v>45243</c:v>
                      </c:pt>
                      <c:pt idx="218">
                        <c:v>45244</c:v>
                      </c:pt>
                      <c:pt idx="219">
                        <c:v>45245</c:v>
                      </c:pt>
                      <c:pt idx="220">
                        <c:v>45246</c:v>
                      </c:pt>
                      <c:pt idx="221">
                        <c:v>45247</c:v>
                      </c:pt>
                      <c:pt idx="222">
                        <c:v>45250</c:v>
                      </c:pt>
                      <c:pt idx="223">
                        <c:v>45251</c:v>
                      </c:pt>
                      <c:pt idx="224">
                        <c:v>45252</c:v>
                      </c:pt>
                      <c:pt idx="225">
                        <c:v>45253</c:v>
                      </c:pt>
                      <c:pt idx="226">
                        <c:v>45254</c:v>
                      </c:pt>
                      <c:pt idx="227">
                        <c:v>45257</c:v>
                      </c:pt>
                      <c:pt idx="228">
                        <c:v>45258</c:v>
                      </c:pt>
                      <c:pt idx="229">
                        <c:v>45259</c:v>
                      </c:pt>
                      <c:pt idx="230">
                        <c:v>45260</c:v>
                      </c:pt>
                      <c:pt idx="231">
                        <c:v>45261</c:v>
                      </c:pt>
                      <c:pt idx="232">
                        <c:v>45264</c:v>
                      </c:pt>
                      <c:pt idx="233">
                        <c:v>45265</c:v>
                      </c:pt>
                      <c:pt idx="234">
                        <c:v>45266</c:v>
                      </c:pt>
                      <c:pt idx="235">
                        <c:v>45267</c:v>
                      </c:pt>
                      <c:pt idx="236">
                        <c:v>45268</c:v>
                      </c:pt>
                      <c:pt idx="237">
                        <c:v>45271</c:v>
                      </c:pt>
                      <c:pt idx="238">
                        <c:v>45272</c:v>
                      </c:pt>
                      <c:pt idx="239">
                        <c:v>45273</c:v>
                      </c:pt>
                      <c:pt idx="240">
                        <c:v>45274</c:v>
                      </c:pt>
                      <c:pt idx="241">
                        <c:v>45275</c:v>
                      </c:pt>
                      <c:pt idx="242">
                        <c:v>45278</c:v>
                      </c:pt>
                      <c:pt idx="243">
                        <c:v>45279</c:v>
                      </c:pt>
                      <c:pt idx="244">
                        <c:v>45280</c:v>
                      </c:pt>
                      <c:pt idx="245">
                        <c:v>45281</c:v>
                      </c:pt>
                      <c:pt idx="246">
                        <c:v>45282</c:v>
                      </c:pt>
                      <c:pt idx="247">
                        <c:v>45286</c:v>
                      </c:pt>
                      <c:pt idx="248">
                        <c:v>45287</c:v>
                      </c:pt>
                      <c:pt idx="249">
                        <c:v>45288</c:v>
                      </c:pt>
                      <c:pt idx="250">
                        <c:v>45289</c:v>
                      </c:pt>
                      <c:pt idx="251">
                        <c:v>45293</c:v>
                      </c:pt>
                      <c:pt idx="252">
                        <c:v>45294</c:v>
                      </c:pt>
                      <c:pt idx="253">
                        <c:v>45295</c:v>
                      </c:pt>
                      <c:pt idx="254">
                        <c:v>45296</c:v>
                      </c:pt>
                      <c:pt idx="255">
                        <c:v>45299</c:v>
                      </c:pt>
                      <c:pt idx="256">
                        <c:v>45300</c:v>
                      </c:pt>
                      <c:pt idx="257">
                        <c:v>45301</c:v>
                      </c:pt>
                      <c:pt idx="258">
                        <c:v>45302</c:v>
                      </c:pt>
                      <c:pt idx="259">
                        <c:v>45303</c:v>
                      </c:pt>
                      <c:pt idx="260">
                        <c:v>45306</c:v>
                      </c:pt>
                      <c:pt idx="261">
                        <c:v>45307</c:v>
                      </c:pt>
                      <c:pt idx="262">
                        <c:v>45308</c:v>
                      </c:pt>
                      <c:pt idx="263">
                        <c:v>45309</c:v>
                      </c:pt>
                      <c:pt idx="264">
                        <c:v>45310</c:v>
                      </c:pt>
                      <c:pt idx="265">
                        <c:v>45313</c:v>
                      </c:pt>
                      <c:pt idx="266">
                        <c:v>45314</c:v>
                      </c:pt>
                      <c:pt idx="267">
                        <c:v>45315</c:v>
                      </c:pt>
                      <c:pt idx="268">
                        <c:v>45316</c:v>
                      </c:pt>
                      <c:pt idx="269">
                        <c:v>45317</c:v>
                      </c:pt>
                      <c:pt idx="270">
                        <c:v>45320</c:v>
                      </c:pt>
                      <c:pt idx="271">
                        <c:v>45321</c:v>
                      </c:pt>
                      <c:pt idx="272">
                        <c:v>45322</c:v>
                      </c:pt>
                      <c:pt idx="273">
                        <c:v>45323</c:v>
                      </c:pt>
                      <c:pt idx="274">
                        <c:v>45324</c:v>
                      </c:pt>
                      <c:pt idx="275">
                        <c:v>45327</c:v>
                      </c:pt>
                      <c:pt idx="276">
                        <c:v>45328</c:v>
                      </c:pt>
                      <c:pt idx="277">
                        <c:v>45329</c:v>
                      </c:pt>
                      <c:pt idx="278">
                        <c:v>45330</c:v>
                      </c:pt>
                      <c:pt idx="279">
                        <c:v>45331</c:v>
                      </c:pt>
                      <c:pt idx="280">
                        <c:v>45334</c:v>
                      </c:pt>
                      <c:pt idx="281">
                        <c:v>45335</c:v>
                      </c:pt>
                      <c:pt idx="282">
                        <c:v>45336</c:v>
                      </c:pt>
                      <c:pt idx="283">
                        <c:v>45337</c:v>
                      </c:pt>
                      <c:pt idx="284">
                        <c:v>45338</c:v>
                      </c:pt>
                      <c:pt idx="285">
                        <c:v>45341</c:v>
                      </c:pt>
                      <c:pt idx="286">
                        <c:v>45342</c:v>
                      </c:pt>
                      <c:pt idx="287">
                        <c:v>45343</c:v>
                      </c:pt>
                      <c:pt idx="288">
                        <c:v>45344</c:v>
                      </c:pt>
                      <c:pt idx="289">
                        <c:v>45345</c:v>
                      </c:pt>
                      <c:pt idx="290">
                        <c:v>45348</c:v>
                      </c:pt>
                      <c:pt idx="291">
                        <c:v>45349</c:v>
                      </c:pt>
                      <c:pt idx="292">
                        <c:v>45350</c:v>
                      </c:pt>
                      <c:pt idx="293">
                        <c:v>45351</c:v>
                      </c:pt>
                      <c:pt idx="294">
                        <c:v>45352</c:v>
                      </c:pt>
                      <c:pt idx="295">
                        <c:v>45355</c:v>
                      </c:pt>
                      <c:pt idx="296">
                        <c:v>45356</c:v>
                      </c:pt>
                      <c:pt idx="297">
                        <c:v>45357</c:v>
                      </c:pt>
                      <c:pt idx="298">
                        <c:v>45358</c:v>
                      </c:pt>
                      <c:pt idx="299">
                        <c:v>45359</c:v>
                      </c:pt>
                      <c:pt idx="300">
                        <c:v>45362</c:v>
                      </c:pt>
                      <c:pt idx="301">
                        <c:v>45363</c:v>
                      </c:pt>
                      <c:pt idx="302">
                        <c:v>45364</c:v>
                      </c:pt>
                      <c:pt idx="303">
                        <c:v>45365</c:v>
                      </c:pt>
                      <c:pt idx="304">
                        <c:v>45366</c:v>
                      </c:pt>
                      <c:pt idx="305">
                        <c:v>45369</c:v>
                      </c:pt>
                      <c:pt idx="306">
                        <c:v>45370</c:v>
                      </c:pt>
                      <c:pt idx="307">
                        <c:v>45371</c:v>
                      </c:pt>
                      <c:pt idx="308">
                        <c:v>45372</c:v>
                      </c:pt>
                      <c:pt idx="309">
                        <c:v>45373</c:v>
                      </c:pt>
                      <c:pt idx="310">
                        <c:v>45376</c:v>
                      </c:pt>
                      <c:pt idx="311">
                        <c:v>45377</c:v>
                      </c:pt>
                      <c:pt idx="312">
                        <c:v>45378</c:v>
                      </c:pt>
                      <c:pt idx="313">
                        <c:v>45379</c:v>
                      </c:pt>
                      <c:pt idx="314">
                        <c:v>45384</c:v>
                      </c:pt>
                      <c:pt idx="315">
                        <c:v>45385</c:v>
                      </c:pt>
                      <c:pt idx="316">
                        <c:v>45386</c:v>
                      </c:pt>
                      <c:pt idx="317">
                        <c:v>45387</c:v>
                      </c:pt>
                      <c:pt idx="318">
                        <c:v>45390</c:v>
                      </c:pt>
                      <c:pt idx="319">
                        <c:v>45391</c:v>
                      </c:pt>
                      <c:pt idx="320">
                        <c:v>45392</c:v>
                      </c:pt>
                      <c:pt idx="321">
                        <c:v>45393</c:v>
                      </c:pt>
                      <c:pt idx="322">
                        <c:v>45394</c:v>
                      </c:pt>
                      <c:pt idx="323">
                        <c:v>45397</c:v>
                      </c:pt>
                      <c:pt idx="324">
                        <c:v>45398</c:v>
                      </c:pt>
                      <c:pt idx="325">
                        <c:v>45399</c:v>
                      </c:pt>
                      <c:pt idx="326">
                        <c:v>45400</c:v>
                      </c:pt>
                      <c:pt idx="327">
                        <c:v>45404</c:v>
                      </c:pt>
                      <c:pt idx="328">
                        <c:v>45405</c:v>
                      </c:pt>
                      <c:pt idx="329">
                        <c:v>45406</c:v>
                      </c:pt>
                      <c:pt idx="330">
                        <c:v>45407</c:v>
                      </c:pt>
                      <c:pt idx="331">
                        <c:v>45408</c:v>
                      </c:pt>
                      <c:pt idx="332">
                        <c:v>45411</c:v>
                      </c:pt>
                      <c:pt idx="333">
                        <c:v>45412</c:v>
                      </c:pt>
                      <c:pt idx="334">
                        <c:v>45413</c:v>
                      </c:pt>
                      <c:pt idx="335">
                        <c:v>45414</c:v>
                      </c:pt>
                      <c:pt idx="336">
                        <c:v>45415</c:v>
                      </c:pt>
                      <c:pt idx="337">
                        <c:v>45418</c:v>
                      </c:pt>
                      <c:pt idx="338">
                        <c:v>45419</c:v>
                      </c:pt>
                      <c:pt idx="339">
                        <c:v>45420</c:v>
                      </c:pt>
                      <c:pt idx="340">
                        <c:v>45421</c:v>
                      </c:pt>
                      <c:pt idx="341">
                        <c:v>45422</c:v>
                      </c:pt>
                      <c:pt idx="342">
                        <c:v>45425</c:v>
                      </c:pt>
                      <c:pt idx="343">
                        <c:v>45426</c:v>
                      </c:pt>
                      <c:pt idx="344">
                        <c:v>45427</c:v>
                      </c:pt>
                      <c:pt idx="345">
                        <c:v>45428</c:v>
                      </c:pt>
                      <c:pt idx="346">
                        <c:v>45429</c:v>
                      </c:pt>
                      <c:pt idx="347">
                        <c:v>45432</c:v>
                      </c:pt>
                      <c:pt idx="348">
                        <c:v>45433</c:v>
                      </c:pt>
                      <c:pt idx="349">
                        <c:v>45434</c:v>
                      </c:pt>
                      <c:pt idx="350">
                        <c:v>45435</c:v>
                      </c:pt>
                      <c:pt idx="351">
                        <c:v>45436</c:v>
                      </c:pt>
                      <c:pt idx="352">
                        <c:v>45439</c:v>
                      </c:pt>
                      <c:pt idx="353">
                        <c:v>45440</c:v>
                      </c:pt>
                      <c:pt idx="354">
                        <c:v>45441</c:v>
                      </c:pt>
                      <c:pt idx="355">
                        <c:v>45442</c:v>
                      </c:pt>
                      <c:pt idx="356">
                        <c:v>45443</c:v>
                      </c:pt>
                      <c:pt idx="357">
                        <c:v>45446</c:v>
                      </c:pt>
                      <c:pt idx="358">
                        <c:v>45447</c:v>
                      </c:pt>
                      <c:pt idx="359">
                        <c:v>45448</c:v>
                      </c:pt>
                      <c:pt idx="360">
                        <c:v>45449</c:v>
                      </c:pt>
                      <c:pt idx="361">
                        <c:v>45450</c:v>
                      </c:pt>
                      <c:pt idx="362">
                        <c:v>45453</c:v>
                      </c:pt>
                      <c:pt idx="363">
                        <c:v>45454</c:v>
                      </c:pt>
                      <c:pt idx="364">
                        <c:v>45455</c:v>
                      </c:pt>
                      <c:pt idx="365">
                        <c:v>45456</c:v>
                      </c:pt>
                      <c:pt idx="366">
                        <c:v>45457</c:v>
                      </c:pt>
                      <c:pt idx="367">
                        <c:v>45460</c:v>
                      </c:pt>
                      <c:pt idx="368">
                        <c:v>45461</c:v>
                      </c:pt>
                      <c:pt idx="369">
                        <c:v>45462</c:v>
                      </c:pt>
                      <c:pt idx="370">
                        <c:v>45463</c:v>
                      </c:pt>
                      <c:pt idx="371">
                        <c:v>45464</c:v>
                      </c:pt>
                      <c:pt idx="372">
                        <c:v>45467</c:v>
                      </c:pt>
                      <c:pt idx="373">
                        <c:v>45468</c:v>
                      </c:pt>
                      <c:pt idx="374">
                        <c:v>45469</c:v>
                      </c:pt>
                      <c:pt idx="375">
                        <c:v>45470</c:v>
                      </c:pt>
                      <c:pt idx="376">
                        <c:v>45471</c:v>
                      </c:pt>
                      <c:pt idx="377">
                        <c:v>45474</c:v>
                      </c:pt>
                      <c:pt idx="378">
                        <c:v>45475</c:v>
                      </c:pt>
                      <c:pt idx="379">
                        <c:v>45476</c:v>
                      </c:pt>
                      <c:pt idx="380">
                        <c:v>45477</c:v>
                      </c:pt>
                      <c:pt idx="381">
                        <c:v>45478</c:v>
                      </c:pt>
                      <c:pt idx="382">
                        <c:v>45481</c:v>
                      </c:pt>
                      <c:pt idx="383">
                        <c:v>45482</c:v>
                      </c:pt>
                      <c:pt idx="384">
                        <c:v>45483</c:v>
                      </c:pt>
                      <c:pt idx="385">
                        <c:v>45484</c:v>
                      </c:pt>
                      <c:pt idx="386">
                        <c:v>45485</c:v>
                      </c:pt>
                      <c:pt idx="387">
                        <c:v>45488</c:v>
                      </c:pt>
                      <c:pt idx="388">
                        <c:v>45489</c:v>
                      </c:pt>
                      <c:pt idx="389">
                        <c:v>45490</c:v>
                      </c:pt>
                      <c:pt idx="390">
                        <c:v>45491</c:v>
                      </c:pt>
                      <c:pt idx="391">
                        <c:v>45492</c:v>
                      </c:pt>
                      <c:pt idx="392">
                        <c:v>45495</c:v>
                      </c:pt>
                      <c:pt idx="393">
                        <c:v>45496</c:v>
                      </c:pt>
                      <c:pt idx="394">
                        <c:v>45497</c:v>
                      </c:pt>
                      <c:pt idx="395">
                        <c:v>45498</c:v>
                      </c:pt>
                      <c:pt idx="396">
                        <c:v>45499</c:v>
                      </c:pt>
                      <c:pt idx="397">
                        <c:v>45502</c:v>
                      </c:pt>
                      <c:pt idx="398">
                        <c:v>45503</c:v>
                      </c:pt>
                      <c:pt idx="399">
                        <c:v>45504</c:v>
                      </c:pt>
                      <c:pt idx="400">
                        <c:v>45505</c:v>
                      </c:pt>
                      <c:pt idx="401">
                        <c:v>45506</c:v>
                      </c:pt>
                      <c:pt idx="402">
                        <c:v>45509</c:v>
                      </c:pt>
                      <c:pt idx="403">
                        <c:v>45510</c:v>
                      </c:pt>
                      <c:pt idx="404">
                        <c:v>45511</c:v>
                      </c:pt>
                      <c:pt idx="405">
                        <c:v>45512</c:v>
                      </c:pt>
                      <c:pt idx="406">
                        <c:v>45513</c:v>
                      </c:pt>
                      <c:pt idx="407">
                        <c:v>45516</c:v>
                      </c:pt>
                      <c:pt idx="408">
                        <c:v>45517</c:v>
                      </c:pt>
                      <c:pt idx="409">
                        <c:v>45518</c:v>
                      </c:pt>
                      <c:pt idx="410">
                        <c:v>45519</c:v>
                      </c:pt>
                      <c:pt idx="411">
                        <c:v>45520</c:v>
                      </c:pt>
                      <c:pt idx="412">
                        <c:v>45523</c:v>
                      </c:pt>
                      <c:pt idx="413">
                        <c:v>45524</c:v>
                      </c:pt>
                      <c:pt idx="414">
                        <c:v>45525</c:v>
                      </c:pt>
                      <c:pt idx="415">
                        <c:v>45526</c:v>
                      </c:pt>
                      <c:pt idx="416">
                        <c:v>45527</c:v>
                      </c:pt>
                      <c:pt idx="417">
                        <c:v>45530</c:v>
                      </c:pt>
                      <c:pt idx="418">
                        <c:v>45531</c:v>
                      </c:pt>
                      <c:pt idx="419">
                        <c:v>45532</c:v>
                      </c:pt>
                      <c:pt idx="420">
                        <c:v>45533</c:v>
                      </c:pt>
                      <c:pt idx="421">
                        <c:v>45534</c:v>
                      </c:pt>
                      <c:pt idx="422">
                        <c:v>45537</c:v>
                      </c:pt>
                      <c:pt idx="423">
                        <c:v>45538</c:v>
                      </c:pt>
                      <c:pt idx="424">
                        <c:v>45539</c:v>
                      </c:pt>
                      <c:pt idx="425">
                        <c:v>45540</c:v>
                      </c:pt>
                      <c:pt idx="426">
                        <c:v>45541</c:v>
                      </c:pt>
                      <c:pt idx="427">
                        <c:v>45544</c:v>
                      </c:pt>
                      <c:pt idx="428">
                        <c:v>45545</c:v>
                      </c:pt>
                      <c:pt idx="429">
                        <c:v>45546</c:v>
                      </c:pt>
                      <c:pt idx="430">
                        <c:v>45547</c:v>
                      </c:pt>
                      <c:pt idx="431">
                        <c:v>45548</c:v>
                      </c:pt>
                      <c:pt idx="432">
                        <c:v>45551</c:v>
                      </c:pt>
                      <c:pt idx="433">
                        <c:v>45552</c:v>
                      </c:pt>
                      <c:pt idx="434">
                        <c:v>45553</c:v>
                      </c:pt>
                      <c:pt idx="435">
                        <c:v>45554</c:v>
                      </c:pt>
                      <c:pt idx="436">
                        <c:v>45555</c:v>
                      </c:pt>
                      <c:pt idx="437">
                        <c:v>45558</c:v>
                      </c:pt>
                      <c:pt idx="438">
                        <c:v>45559</c:v>
                      </c:pt>
                      <c:pt idx="439">
                        <c:v>45560</c:v>
                      </c:pt>
                      <c:pt idx="440">
                        <c:v>45561</c:v>
                      </c:pt>
                      <c:pt idx="441">
                        <c:v>45562</c:v>
                      </c:pt>
                      <c:pt idx="442">
                        <c:v>45565</c:v>
                      </c:pt>
                      <c:pt idx="443">
                        <c:v>45566</c:v>
                      </c:pt>
                      <c:pt idx="444">
                        <c:v>45567</c:v>
                      </c:pt>
                      <c:pt idx="445">
                        <c:v>45568</c:v>
                      </c:pt>
                      <c:pt idx="446">
                        <c:v>45569</c:v>
                      </c:pt>
                      <c:pt idx="447">
                        <c:v>45572</c:v>
                      </c:pt>
                      <c:pt idx="448">
                        <c:v>45573</c:v>
                      </c:pt>
                      <c:pt idx="449">
                        <c:v>45574</c:v>
                      </c:pt>
                      <c:pt idx="450">
                        <c:v>45575</c:v>
                      </c:pt>
                      <c:pt idx="451">
                        <c:v>45576</c:v>
                      </c:pt>
                      <c:pt idx="452">
                        <c:v>45579</c:v>
                      </c:pt>
                      <c:pt idx="453">
                        <c:v>45580</c:v>
                      </c:pt>
                      <c:pt idx="454">
                        <c:v>45581</c:v>
                      </c:pt>
                      <c:pt idx="455">
                        <c:v>45582</c:v>
                      </c:pt>
                      <c:pt idx="456">
                        <c:v>45583</c:v>
                      </c:pt>
                      <c:pt idx="457">
                        <c:v>45586</c:v>
                      </c:pt>
                      <c:pt idx="458">
                        <c:v>45587</c:v>
                      </c:pt>
                      <c:pt idx="459">
                        <c:v>45588</c:v>
                      </c:pt>
                      <c:pt idx="460">
                        <c:v>45589</c:v>
                      </c:pt>
                      <c:pt idx="461">
                        <c:v>45590</c:v>
                      </c:pt>
                      <c:pt idx="462">
                        <c:v>45593</c:v>
                      </c:pt>
                      <c:pt idx="463">
                        <c:v>45594</c:v>
                      </c:pt>
                      <c:pt idx="464">
                        <c:v>45595</c:v>
                      </c:pt>
                      <c:pt idx="465">
                        <c:v>45596</c:v>
                      </c:pt>
                      <c:pt idx="466">
                        <c:v>45597</c:v>
                      </c:pt>
                      <c:pt idx="467">
                        <c:v>45600</c:v>
                      </c:pt>
                      <c:pt idx="468">
                        <c:v>45601</c:v>
                      </c:pt>
                      <c:pt idx="469">
                        <c:v>45602</c:v>
                      </c:pt>
                      <c:pt idx="470">
                        <c:v>45603</c:v>
                      </c:pt>
                      <c:pt idx="471">
                        <c:v>45604</c:v>
                      </c:pt>
                      <c:pt idx="472">
                        <c:v>45608</c:v>
                      </c:pt>
                      <c:pt idx="473">
                        <c:v>45609</c:v>
                      </c:pt>
                      <c:pt idx="474">
                        <c:v>45610</c:v>
                      </c:pt>
                      <c:pt idx="475">
                        <c:v>45611</c:v>
                      </c:pt>
                      <c:pt idx="476">
                        <c:v>45614</c:v>
                      </c:pt>
                      <c:pt idx="477">
                        <c:v>45615</c:v>
                      </c:pt>
                      <c:pt idx="478">
                        <c:v>45616</c:v>
                      </c:pt>
                      <c:pt idx="479">
                        <c:v>45617</c:v>
                      </c:pt>
                      <c:pt idx="480">
                        <c:v>45618</c:v>
                      </c:pt>
                      <c:pt idx="481">
                        <c:v>45621</c:v>
                      </c:pt>
                      <c:pt idx="482">
                        <c:v>45622</c:v>
                      </c:pt>
                      <c:pt idx="483">
                        <c:v>45623</c:v>
                      </c:pt>
                      <c:pt idx="484">
                        <c:v>45624</c:v>
                      </c:pt>
                      <c:pt idx="485">
                        <c:v>45625</c:v>
                      </c:pt>
                      <c:pt idx="486">
                        <c:v>45628</c:v>
                      </c:pt>
                      <c:pt idx="487">
                        <c:v>45629</c:v>
                      </c:pt>
                      <c:pt idx="488">
                        <c:v>45630</c:v>
                      </c:pt>
                      <c:pt idx="489">
                        <c:v>45631</c:v>
                      </c:pt>
                      <c:pt idx="490">
                        <c:v>45632</c:v>
                      </c:pt>
                      <c:pt idx="491">
                        <c:v>45635</c:v>
                      </c:pt>
                      <c:pt idx="492">
                        <c:v>45636</c:v>
                      </c:pt>
                      <c:pt idx="493">
                        <c:v>45637</c:v>
                      </c:pt>
                      <c:pt idx="494">
                        <c:v>45638</c:v>
                      </c:pt>
                      <c:pt idx="495">
                        <c:v>45639</c:v>
                      </c:pt>
                      <c:pt idx="496">
                        <c:v>45642</c:v>
                      </c:pt>
                      <c:pt idx="497">
                        <c:v>45643</c:v>
                      </c:pt>
                      <c:pt idx="498">
                        <c:v>45644</c:v>
                      </c:pt>
                      <c:pt idx="499">
                        <c:v>45645</c:v>
                      </c:pt>
                      <c:pt idx="500">
                        <c:v>45646</c:v>
                      </c:pt>
                      <c:pt idx="501">
                        <c:v>45649</c:v>
                      </c:pt>
                      <c:pt idx="502">
                        <c:v>45650</c:v>
                      </c:pt>
                      <c:pt idx="503">
                        <c:v>45653</c:v>
                      </c:pt>
                      <c:pt idx="504">
                        <c:v>45656</c:v>
                      </c:pt>
                      <c:pt idx="505">
                        <c:v>45657</c:v>
                      </c:pt>
                      <c:pt idx="506">
                        <c:v>45659</c:v>
                      </c:pt>
                      <c:pt idx="507">
                        <c:v>45660</c:v>
                      </c:pt>
                      <c:pt idx="508">
                        <c:v>45663</c:v>
                      </c:pt>
                      <c:pt idx="509">
                        <c:v>45664</c:v>
                      </c:pt>
                      <c:pt idx="510">
                        <c:v>45665</c:v>
                      </c:pt>
                      <c:pt idx="511">
                        <c:v>45666</c:v>
                      </c:pt>
                      <c:pt idx="512">
                        <c:v>45667</c:v>
                      </c:pt>
                      <c:pt idx="513">
                        <c:v>45670</c:v>
                      </c:pt>
                      <c:pt idx="514">
                        <c:v>45671</c:v>
                      </c:pt>
                      <c:pt idx="515">
                        <c:v>45672</c:v>
                      </c:pt>
                      <c:pt idx="516">
                        <c:v>45673</c:v>
                      </c:pt>
                      <c:pt idx="517">
                        <c:v>45674</c:v>
                      </c:pt>
                      <c:pt idx="518">
                        <c:v>45677</c:v>
                      </c:pt>
                      <c:pt idx="519">
                        <c:v>45678</c:v>
                      </c:pt>
                      <c:pt idx="520">
                        <c:v>45679</c:v>
                      </c:pt>
                      <c:pt idx="521">
                        <c:v>45680</c:v>
                      </c:pt>
                      <c:pt idx="522">
                        <c:v>45681</c:v>
                      </c:pt>
                      <c:pt idx="523">
                        <c:v>45684</c:v>
                      </c:pt>
                      <c:pt idx="524">
                        <c:v>45685</c:v>
                      </c:pt>
                      <c:pt idx="525">
                        <c:v>45686</c:v>
                      </c:pt>
                      <c:pt idx="526">
                        <c:v>45687</c:v>
                      </c:pt>
                      <c:pt idx="527">
                        <c:v>45688</c:v>
                      </c:pt>
                      <c:pt idx="528">
                        <c:v>45691</c:v>
                      </c:pt>
                      <c:pt idx="529">
                        <c:v>45692</c:v>
                      </c:pt>
                      <c:pt idx="530">
                        <c:v>45693</c:v>
                      </c:pt>
                      <c:pt idx="531">
                        <c:v>45694</c:v>
                      </c:pt>
                      <c:pt idx="532">
                        <c:v>45695</c:v>
                      </c:pt>
                      <c:pt idx="533">
                        <c:v>45698</c:v>
                      </c:pt>
                      <c:pt idx="534">
                        <c:v>45699</c:v>
                      </c:pt>
                      <c:pt idx="535">
                        <c:v>45700</c:v>
                      </c:pt>
                      <c:pt idx="536">
                        <c:v>45701</c:v>
                      </c:pt>
                      <c:pt idx="537">
                        <c:v>45702</c:v>
                      </c:pt>
                      <c:pt idx="538">
                        <c:v>45705</c:v>
                      </c:pt>
                      <c:pt idx="539">
                        <c:v>45706</c:v>
                      </c:pt>
                      <c:pt idx="540">
                        <c:v>45707</c:v>
                      </c:pt>
                      <c:pt idx="541">
                        <c:v>45708</c:v>
                      </c:pt>
                      <c:pt idx="542">
                        <c:v>45709</c:v>
                      </c:pt>
                      <c:pt idx="543">
                        <c:v>45712</c:v>
                      </c:pt>
                      <c:pt idx="544">
                        <c:v>45713</c:v>
                      </c:pt>
                      <c:pt idx="545">
                        <c:v>45714</c:v>
                      </c:pt>
                      <c:pt idx="546">
                        <c:v>45715</c:v>
                      </c:pt>
                      <c:pt idx="547">
                        <c:v>45716</c:v>
                      </c:pt>
                      <c:pt idx="548">
                        <c:v>45719</c:v>
                      </c:pt>
                      <c:pt idx="549">
                        <c:v>45720</c:v>
                      </c:pt>
                      <c:pt idx="550">
                        <c:v>45721</c:v>
                      </c:pt>
                      <c:pt idx="551">
                        <c:v>45722</c:v>
                      </c:pt>
                      <c:pt idx="552">
                        <c:v>45723</c:v>
                      </c:pt>
                      <c:pt idx="553">
                        <c:v>45726</c:v>
                      </c:pt>
                      <c:pt idx="554">
                        <c:v>45727</c:v>
                      </c:pt>
                      <c:pt idx="555">
                        <c:v>45728</c:v>
                      </c:pt>
                      <c:pt idx="556">
                        <c:v>45729</c:v>
                      </c:pt>
                      <c:pt idx="557">
                        <c:v>45730</c:v>
                      </c:pt>
                      <c:pt idx="558">
                        <c:v>45733</c:v>
                      </c:pt>
                      <c:pt idx="559">
                        <c:v>45734</c:v>
                      </c:pt>
                      <c:pt idx="560">
                        <c:v>45735</c:v>
                      </c:pt>
                      <c:pt idx="561">
                        <c:v>45736</c:v>
                      </c:pt>
                      <c:pt idx="562">
                        <c:v>45737</c:v>
                      </c:pt>
                      <c:pt idx="563">
                        <c:v>45740</c:v>
                      </c:pt>
                      <c:pt idx="564">
                        <c:v>45741</c:v>
                      </c:pt>
                      <c:pt idx="565">
                        <c:v>45742</c:v>
                      </c:pt>
                      <c:pt idx="566">
                        <c:v>45743</c:v>
                      </c:pt>
                      <c:pt idx="567">
                        <c:v>45744</c:v>
                      </c:pt>
                      <c:pt idx="568">
                        <c:v>45747</c:v>
                      </c:pt>
                      <c:pt idx="569">
                        <c:v>45748</c:v>
                      </c:pt>
                      <c:pt idx="570">
                        <c:v>45749</c:v>
                      </c:pt>
                      <c:pt idx="571">
                        <c:v>45750</c:v>
                      </c:pt>
                      <c:pt idx="572">
                        <c:v>45751</c:v>
                      </c:pt>
                      <c:pt idx="573">
                        <c:v>45754</c:v>
                      </c:pt>
                      <c:pt idx="574">
                        <c:v>45755</c:v>
                      </c:pt>
                      <c:pt idx="575">
                        <c:v>45756</c:v>
                      </c:pt>
                      <c:pt idx="576">
                        <c:v>45757</c:v>
                      </c:pt>
                      <c:pt idx="577">
                        <c:v>45761</c:v>
                      </c:pt>
                      <c:pt idx="578">
                        <c:v>45762</c:v>
                      </c:pt>
                      <c:pt idx="579">
                        <c:v>45763</c:v>
                      </c:pt>
                      <c:pt idx="580">
                        <c:v>45764</c:v>
                      </c:pt>
                      <c:pt idx="581">
                        <c:v>45768</c:v>
                      </c:pt>
                      <c:pt idx="582">
                        <c:v>45771</c:v>
                      </c:pt>
                      <c:pt idx="583">
                        <c:v>45772</c:v>
                      </c:pt>
                      <c:pt idx="584">
                        <c:v>45775</c:v>
                      </c:pt>
                      <c:pt idx="585">
                        <c:v>45776</c:v>
                      </c:pt>
                      <c:pt idx="586">
                        <c:v>45784</c:v>
                      </c:pt>
                      <c:pt idx="587">
                        <c:v>45785</c:v>
                      </c:pt>
                      <c:pt idx="588">
                        <c:v>45789</c:v>
                      </c:pt>
                      <c:pt idx="589">
                        <c:v>45790</c:v>
                      </c:pt>
                      <c:pt idx="590">
                        <c:v>45796</c:v>
                      </c:pt>
                      <c:pt idx="591">
                        <c:v>45797</c:v>
                      </c:pt>
                      <c:pt idx="592">
                        <c:v>45798</c:v>
                      </c:pt>
                      <c:pt idx="593">
                        <c:v>45799</c:v>
                      </c:pt>
                      <c:pt idx="594">
                        <c:v>45800</c:v>
                      </c:pt>
                      <c:pt idx="595">
                        <c:v>45804</c:v>
                      </c:pt>
                      <c:pt idx="596">
                        <c:v>45805</c:v>
                      </c:pt>
                      <c:pt idx="597">
                        <c:v>45806</c:v>
                      </c:pt>
                      <c:pt idx="598">
                        <c:v>45807</c:v>
                      </c:pt>
                      <c:pt idx="599">
                        <c:v>45810</c:v>
                      </c:pt>
                      <c:pt idx="600">
                        <c:v>45811</c:v>
                      </c:pt>
                      <c:pt idx="601">
                        <c:v>45812</c:v>
                      </c:pt>
                      <c:pt idx="602">
                        <c:v>45813</c:v>
                      </c:pt>
                      <c:pt idx="603">
                        <c:v>45814</c:v>
                      </c:pt>
                      <c:pt idx="604">
                        <c:v>45817</c:v>
                      </c:pt>
                      <c:pt idx="605">
                        <c:v>45818</c:v>
                      </c:pt>
                      <c:pt idx="606">
                        <c:v>45819</c:v>
                      </c:pt>
                      <c:pt idx="607">
                        <c:v>45821</c:v>
                      </c:pt>
                      <c:pt idx="608">
                        <c:v>45824</c:v>
                      </c:pt>
                      <c:pt idx="609">
                        <c:v>45825</c:v>
                      </c:pt>
                      <c:pt idx="610">
                        <c:v>45826</c:v>
                      </c:pt>
                      <c:pt idx="611">
                        <c:v>45828</c:v>
                      </c:pt>
                      <c:pt idx="612">
                        <c:v>45831</c:v>
                      </c:pt>
                      <c:pt idx="613">
                        <c:v>45832</c:v>
                      </c:pt>
                      <c:pt idx="614">
                        <c:v>45833</c:v>
                      </c:pt>
                      <c:pt idx="615">
                        <c:v>45835</c:v>
                      </c:pt>
                      <c:pt idx="616">
                        <c:v>45838</c:v>
                      </c:pt>
                      <c:pt idx="617">
                        <c:v>45839</c:v>
                      </c:pt>
                      <c:pt idx="618">
                        <c:v>45840</c:v>
                      </c:pt>
                      <c:pt idx="619">
                        <c:v>45841</c:v>
                      </c:pt>
                      <c:pt idx="620">
                        <c:v>45845</c:v>
                      </c:pt>
                      <c:pt idx="621">
                        <c:v>45846</c:v>
                      </c:pt>
                      <c:pt idx="622">
                        <c:v>45847</c:v>
                      </c:pt>
                      <c:pt idx="623">
                        <c:v>45848</c:v>
                      </c:pt>
                      <c:pt idx="624">
                        <c:v>45849</c:v>
                      </c:pt>
                      <c:pt idx="625">
                        <c:v>45852</c:v>
                      </c:pt>
                      <c:pt idx="626">
                        <c:v>45853</c:v>
                      </c:pt>
                      <c:pt idx="627">
                        <c:v>45854</c:v>
                      </c:pt>
                      <c:pt idx="628">
                        <c:v>45855</c:v>
                      </c:pt>
                      <c:pt idx="629">
                        <c:v>45856</c:v>
                      </c:pt>
                      <c:pt idx="630">
                        <c:v>45859</c:v>
                      </c:pt>
                      <c:pt idx="631">
                        <c:v>45860</c:v>
                      </c:pt>
                      <c:pt idx="632">
                        <c:v>45861</c:v>
                      </c:pt>
                      <c:pt idx="633">
                        <c:v>45862</c:v>
                      </c:pt>
                      <c:pt idx="634">
                        <c:v>45863</c:v>
                      </c:pt>
                      <c:pt idx="635">
                        <c:v>45866</c:v>
                      </c:pt>
                      <c:pt idx="636">
                        <c:v>45867</c:v>
                      </c:pt>
                      <c:pt idx="637">
                        <c:v>45868</c:v>
                      </c:pt>
                      <c:pt idx="638">
                        <c:v>45869</c:v>
                      </c:pt>
                      <c:pt idx="639">
                        <c:v>45870</c:v>
                      </c:pt>
                      <c:pt idx="640">
                        <c:v>45873</c:v>
                      </c:pt>
                      <c:pt idx="641">
                        <c:v>45874</c:v>
                      </c:pt>
                      <c:pt idx="642">
                        <c:v>45875</c:v>
                      </c:pt>
                      <c:pt idx="643">
                        <c:v>45876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Info!$K$4:$K$241</c15:sqref>
                        </c15:formulaRef>
                      </c:ext>
                    </c:extLst>
                    <c:numCache>
                      <c:formatCode>General</c:formatCode>
                      <c:ptCount val="238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  <c:pt idx="51">
                        <c:v>6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6</c:v>
                      </c:pt>
                      <c:pt idx="58">
                        <c:v>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6</c:v>
                      </c:pt>
                      <c:pt idx="62">
                        <c:v>6</c:v>
                      </c:pt>
                      <c:pt idx="63">
                        <c:v>6</c:v>
                      </c:pt>
                      <c:pt idx="64">
                        <c:v>6</c:v>
                      </c:pt>
                      <c:pt idx="65">
                        <c:v>6</c:v>
                      </c:pt>
                      <c:pt idx="66">
                        <c:v>6</c:v>
                      </c:pt>
                      <c:pt idx="67">
                        <c:v>6</c:v>
                      </c:pt>
                      <c:pt idx="68">
                        <c:v>6</c:v>
                      </c:pt>
                      <c:pt idx="69">
                        <c:v>6</c:v>
                      </c:pt>
                      <c:pt idx="70">
                        <c:v>6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6</c:v>
                      </c:pt>
                      <c:pt idx="74">
                        <c:v>6</c:v>
                      </c:pt>
                      <c:pt idx="75">
                        <c:v>6</c:v>
                      </c:pt>
                      <c:pt idx="76">
                        <c:v>6</c:v>
                      </c:pt>
                      <c:pt idx="77">
                        <c:v>6</c:v>
                      </c:pt>
                      <c:pt idx="78">
                        <c:v>6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6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6</c:v>
                      </c:pt>
                      <c:pt idx="97">
                        <c:v>6</c:v>
                      </c:pt>
                      <c:pt idx="98">
                        <c:v>6</c:v>
                      </c:pt>
                      <c:pt idx="99">
                        <c:v>6</c:v>
                      </c:pt>
                      <c:pt idx="100">
                        <c:v>6</c:v>
                      </c:pt>
                      <c:pt idx="101">
                        <c:v>6</c:v>
                      </c:pt>
                      <c:pt idx="102">
                        <c:v>6</c:v>
                      </c:pt>
                      <c:pt idx="103">
                        <c:v>6</c:v>
                      </c:pt>
                      <c:pt idx="104">
                        <c:v>6</c:v>
                      </c:pt>
                      <c:pt idx="105">
                        <c:v>6</c:v>
                      </c:pt>
                      <c:pt idx="106">
                        <c:v>6</c:v>
                      </c:pt>
                      <c:pt idx="107">
                        <c:v>6</c:v>
                      </c:pt>
                      <c:pt idx="108">
                        <c:v>6</c:v>
                      </c:pt>
                      <c:pt idx="109">
                        <c:v>6</c:v>
                      </c:pt>
                      <c:pt idx="110">
                        <c:v>6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6</c:v>
                      </c:pt>
                      <c:pt idx="142">
                        <c:v>6</c:v>
                      </c:pt>
                      <c:pt idx="143">
                        <c:v>6</c:v>
                      </c:pt>
                      <c:pt idx="144">
                        <c:v>6</c:v>
                      </c:pt>
                      <c:pt idx="145">
                        <c:v>6</c:v>
                      </c:pt>
                      <c:pt idx="146">
                        <c:v>6</c:v>
                      </c:pt>
                      <c:pt idx="147">
                        <c:v>6</c:v>
                      </c:pt>
                      <c:pt idx="148">
                        <c:v>6</c:v>
                      </c:pt>
                      <c:pt idx="149">
                        <c:v>6</c:v>
                      </c:pt>
                      <c:pt idx="150">
                        <c:v>6</c:v>
                      </c:pt>
                      <c:pt idx="151">
                        <c:v>6</c:v>
                      </c:pt>
                      <c:pt idx="152">
                        <c:v>6</c:v>
                      </c:pt>
                      <c:pt idx="153">
                        <c:v>6</c:v>
                      </c:pt>
                      <c:pt idx="154">
                        <c:v>6</c:v>
                      </c:pt>
                      <c:pt idx="155">
                        <c:v>6</c:v>
                      </c:pt>
                      <c:pt idx="156">
                        <c:v>6</c:v>
                      </c:pt>
                      <c:pt idx="157">
                        <c:v>6</c:v>
                      </c:pt>
                      <c:pt idx="158">
                        <c:v>6</c:v>
                      </c:pt>
                      <c:pt idx="159">
                        <c:v>6</c:v>
                      </c:pt>
                      <c:pt idx="160">
                        <c:v>6</c:v>
                      </c:pt>
                      <c:pt idx="161">
                        <c:v>6</c:v>
                      </c:pt>
                      <c:pt idx="162">
                        <c:v>6</c:v>
                      </c:pt>
                      <c:pt idx="163">
                        <c:v>6</c:v>
                      </c:pt>
                      <c:pt idx="164">
                        <c:v>6</c:v>
                      </c:pt>
                      <c:pt idx="165">
                        <c:v>6</c:v>
                      </c:pt>
                      <c:pt idx="166">
                        <c:v>6</c:v>
                      </c:pt>
                      <c:pt idx="167">
                        <c:v>6</c:v>
                      </c:pt>
                      <c:pt idx="168">
                        <c:v>6</c:v>
                      </c:pt>
                      <c:pt idx="169">
                        <c:v>6</c:v>
                      </c:pt>
                      <c:pt idx="170">
                        <c:v>6</c:v>
                      </c:pt>
                      <c:pt idx="171">
                        <c:v>6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</c:v>
                      </c:pt>
                      <c:pt idx="175">
                        <c:v>6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6</c:v>
                      </c:pt>
                      <c:pt idx="179">
                        <c:v>6</c:v>
                      </c:pt>
                      <c:pt idx="180">
                        <c:v>6</c:v>
                      </c:pt>
                      <c:pt idx="181">
                        <c:v>6</c:v>
                      </c:pt>
                      <c:pt idx="182">
                        <c:v>6</c:v>
                      </c:pt>
                      <c:pt idx="183">
                        <c:v>6</c:v>
                      </c:pt>
                      <c:pt idx="184">
                        <c:v>6</c:v>
                      </c:pt>
                      <c:pt idx="185">
                        <c:v>6</c:v>
                      </c:pt>
                      <c:pt idx="186">
                        <c:v>6</c:v>
                      </c:pt>
                      <c:pt idx="187">
                        <c:v>6</c:v>
                      </c:pt>
                      <c:pt idx="188">
                        <c:v>6</c:v>
                      </c:pt>
                      <c:pt idx="189">
                        <c:v>6</c:v>
                      </c:pt>
                      <c:pt idx="190">
                        <c:v>6</c:v>
                      </c:pt>
                      <c:pt idx="191">
                        <c:v>6</c:v>
                      </c:pt>
                      <c:pt idx="192">
                        <c:v>6</c:v>
                      </c:pt>
                      <c:pt idx="193">
                        <c:v>6</c:v>
                      </c:pt>
                      <c:pt idx="194">
                        <c:v>6</c:v>
                      </c:pt>
                      <c:pt idx="195">
                        <c:v>6</c:v>
                      </c:pt>
                      <c:pt idx="196">
                        <c:v>6</c:v>
                      </c:pt>
                      <c:pt idx="197">
                        <c:v>6</c:v>
                      </c:pt>
                      <c:pt idx="198">
                        <c:v>6</c:v>
                      </c:pt>
                      <c:pt idx="199">
                        <c:v>6</c:v>
                      </c:pt>
                      <c:pt idx="200">
                        <c:v>6</c:v>
                      </c:pt>
                      <c:pt idx="201">
                        <c:v>6</c:v>
                      </c:pt>
                      <c:pt idx="202">
                        <c:v>6</c:v>
                      </c:pt>
                      <c:pt idx="203">
                        <c:v>6</c:v>
                      </c:pt>
                      <c:pt idx="204">
                        <c:v>6</c:v>
                      </c:pt>
                      <c:pt idx="205">
                        <c:v>6</c:v>
                      </c:pt>
                      <c:pt idx="206">
                        <c:v>6</c:v>
                      </c:pt>
                      <c:pt idx="207">
                        <c:v>6</c:v>
                      </c:pt>
                      <c:pt idx="208">
                        <c:v>6</c:v>
                      </c:pt>
                      <c:pt idx="209">
                        <c:v>6</c:v>
                      </c:pt>
                      <c:pt idx="210">
                        <c:v>6</c:v>
                      </c:pt>
                      <c:pt idx="211">
                        <c:v>6</c:v>
                      </c:pt>
                      <c:pt idx="212">
                        <c:v>6</c:v>
                      </c:pt>
                      <c:pt idx="213">
                        <c:v>6</c:v>
                      </c:pt>
                      <c:pt idx="214">
                        <c:v>6</c:v>
                      </c:pt>
                      <c:pt idx="215">
                        <c:v>6</c:v>
                      </c:pt>
                      <c:pt idx="216">
                        <c:v>6</c:v>
                      </c:pt>
                      <c:pt idx="217">
                        <c:v>6</c:v>
                      </c:pt>
                      <c:pt idx="218">
                        <c:v>6</c:v>
                      </c:pt>
                      <c:pt idx="219">
                        <c:v>6</c:v>
                      </c:pt>
                      <c:pt idx="220">
                        <c:v>6</c:v>
                      </c:pt>
                      <c:pt idx="221">
                        <c:v>6</c:v>
                      </c:pt>
                      <c:pt idx="222">
                        <c:v>6</c:v>
                      </c:pt>
                      <c:pt idx="223">
                        <c:v>6</c:v>
                      </c:pt>
                      <c:pt idx="224">
                        <c:v>6</c:v>
                      </c:pt>
                      <c:pt idx="225">
                        <c:v>6</c:v>
                      </c:pt>
                      <c:pt idx="226">
                        <c:v>6</c:v>
                      </c:pt>
                      <c:pt idx="227">
                        <c:v>6</c:v>
                      </c:pt>
                      <c:pt idx="228">
                        <c:v>6</c:v>
                      </c:pt>
                      <c:pt idx="229">
                        <c:v>6</c:v>
                      </c:pt>
                      <c:pt idx="230">
                        <c:v>6</c:v>
                      </c:pt>
                      <c:pt idx="231">
                        <c:v>6</c:v>
                      </c:pt>
                      <c:pt idx="232">
                        <c:v>6</c:v>
                      </c:pt>
                      <c:pt idx="233">
                        <c:v>6</c:v>
                      </c:pt>
                      <c:pt idx="234">
                        <c:v>6</c:v>
                      </c:pt>
                      <c:pt idx="235">
                        <c:v>6</c:v>
                      </c:pt>
                      <c:pt idx="236">
                        <c:v>6</c:v>
                      </c:pt>
                      <c:pt idx="237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92D-4057-B674-50A82F31B8A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$8 - 100% of Uncovered Position Outisde Nearby</c:v>
                </c:tx>
                <c:spPr>
                  <a:ln w="34925" cap="rnd">
                    <a:solidFill>
                      <a:srgbClr val="FF0000"/>
                    </a:solidFill>
                    <a:prstDash val="sysDash"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Info!$A$24:$A$667</c15:sqref>
                        </c15:formulaRef>
                      </c:ext>
                    </c:extLst>
                    <c:numCache>
                      <c:formatCode>m/d/yy</c:formatCode>
                      <c:ptCount val="644"/>
                      <c:pt idx="0">
                        <c:v>44929</c:v>
                      </c:pt>
                      <c:pt idx="1">
                        <c:v>44930</c:v>
                      </c:pt>
                      <c:pt idx="2">
                        <c:v>44931</c:v>
                      </c:pt>
                      <c:pt idx="3">
                        <c:v>44932</c:v>
                      </c:pt>
                      <c:pt idx="4">
                        <c:v>44935</c:v>
                      </c:pt>
                      <c:pt idx="5">
                        <c:v>44936</c:v>
                      </c:pt>
                      <c:pt idx="6">
                        <c:v>44937</c:v>
                      </c:pt>
                      <c:pt idx="7">
                        <c:v>44938</c:v>
                      </c:pt>
                      <c:pt idx="8">
                        <c:v>44939</c:v>
                      </c:pt>
                      <c:pt idx="9">
                        <c:v>44942</c:v>
                      </c:pt>
                      <c:pt idx="10">
                        <c:v>44943</c:v>
                      </c:pt>
                      <c:pt idx="11">
                        <c:v>44944</c:v>
                      </c:pt>
                      <c:pt idx="12">
                        <c:v>44945</c:v>
                      </c:pt>
                      <c:pt idx="13">
                        <c:v>44946</c:v>
                      </c:pt>
                      <c:pt idx="14">
                        <c:v>44949</c:v>
                      </c:pt>
                      <c:pt idx="15">
                        <c:v>44950</c:v>
                      </c:pt>
                      <c:pt idx="16">
                        <c:v>44951</c:v>
                      </c:pt>
                      <c:pt idx="17">
                        <c:v>44952</c:v>
                      </c:pt>
                      <c:pt idx="18">
                        <c:v>44953</c:v>
                      </c:pt>
                      <c:pt idx="19">
                        <c:v>44956</c:v>
                      </c:pt>
                      <c:pt idx="20">
                        <c:v>44958</c:v>
                      </c:pt>
                      <c:pt idx="21">
                        <c:v>44959</c:v>
                      </c:pt>
                      <c:pt idx="22">
                        <c:v>44960</c:v>
                      </c:pt>
                      <c:pt idx="23">
                        <c:v>44963</c:v>
                      </c:pt>
                      <c:pt idx="24">
                        <c:v>44964</c:v>
                      </c:pt>
                      <c:pt idx="25">
                        <c:v>44965</c:v>
                      </c:pt>
                      <c:pt idx="26">
                        <c:v>44966</c:v>
                      </c:pt>
                      <c:pt idx="27">
                        <c:v>44967</c:v>
                      </c:pt>
                      <c:pt idx="28">
                        <c:v>44970</c:v>
                      </c:pt>
                      <c:pt idx="29">
                        <c:v>44971</c:v>
                      </c:pt>
                      <c:pt idx="30">
                        <c:v>44972</c:v>
                      </c:pt>
                      <c:pt idx="31">
                        <c:v>44973</c:v>
                      </c:pt>
                      <c:pt idx="32">
                        <c:v>44974</c:v>
                      </c:pt>
                      <c:pt idx="33">
                        <c:v>44977</c:v>
                      </c:pt>
                      <c:pt idx="34">
                        <c:v>44978</c:v>
                      </c:pt>
                      <c:pt idx="35">
                        <c:v>44979</c:v>
                      </c:pt>
                      <c:pt idx="36">
                        <c:v>44980</c:v>
                      </c:pt>
                      <c:pt idx="37">
                        <c:v>44981</c:v>
                      </c:pt>
                      <c:pt idx="38">
                        <c:v>44984</c:v>
                      </c:pt>
                      <c:pt idx="39">
                        <c:v>44985</c:v>
                      </c:pt>
                      <c:pt idx="40">
                        <c:v>44986</c:v>
                      </c:pt>
                      <c:pt idx="41">
                        <c:v>44987</c:v>
                      </c:pt>
                      <c:pt idx="42">
                        <c:v>44988</c:v>
                      </c:pt>
                      <c:pt idx="43">
                        <c:v>44991</c:v>
                      </c:pt>
                      <c:pt idx="44">
                        <c:v>44992</c:v>
                      </c:pt>
                      <c:pt idx="45">
                        <c:v>44993</c:v>
                      </c:pt>
                      <c:pt idx="46">
                        <c:v>44994</c:v>
                      </c:pt>
                      <c:pt idx="47">
                        <c:v>44995</c:v>
                      </c:pt>
                      <c:pt idx="48">
                        <c:v>44998</c:v>
                      </c:pt>
                      <c:pt idx="49">
                        <c:v>44999</c:v>
                      </c:pt>
                      <c:pt idx="50">
                        <c:v>45000</c:v>
                      </c:pt>
                      <c:pt idx="51">
                        <c:v>45001</c:v>
                      </c:pt>
                      <c:pt idx="52">
                        <c:v>45002</c:v>
                      </c:pt>
                      <c:pt idx="53">
                        <c:v>45005</c:v>
                      </c:pt>
                      <c:pt idx="54">
                        <c:v>45006</c:v>
                      </c:pt>
                      <c:pt idx="55">
                        <c:v>45007</c:v>
                      </c:pt>
                      <c:pt idx="56">
                        <c:v>45008</c:v>
                      </c:pt>
                      <c:pt idx="57">
                        <c:v>45009</c:v>
                      </c:pt>
                      <c:pt idx="58">
                        <c:v>45012</c:v>
                      </c:pt>
                      <c:pt idx="59">
                        <c:v>45013</c:v>
                      </c:pt>
                      <c:pt idx="60">
                        <c:v>45014</c:v>
                      </c:pt>
                      <c:pt idx="61">
                        <c:v>45015</c:v>
                      </c:pt>
                      <c:pt idx="62">
                        <c:v>45016</c:v>
                      </c:pt>
                      <c:pt idx="63">
                        <c:v>45019</c:v>
                      </c:pt>
                      <c:pt idx="64">
                        <c:v>45020</c:v>
                      </c:pt>
                      <c:pt idx="65">
                        <c:v>45021</c:v>
                      </c:pt>
                      <c:pt idx="66">
                        <c:v>45022</c:v>
                      </c:pt>
                      <c:pt idx="67">
                        <c:v>45027</c:v>
                      </c:pt>
                      <c:pt idx="68">
                        <c:v>45028</c:v>
                      </c:pt>
                      <c:pt idx="69">
                        <c:v>45029</c:v>
                      </c:pt>
                      <c:pt idx="70">
                        <c:v>45030</c:v>
                      </c:pt>
                      <c:pt idx="71">
                        <c:v>45033</c:v>
                      </c:pt>
                      <c:pt idx="72">
                        <c:v>45034</c:v>
                      </c:pt>
                      <c:pt idx="73">
                        <c:v>45035</c:v>
                      </c:pt>
                      <c:pt idx="74">
                        <c:v>45036</c:v>
                      </c:pt>
                      <c:pt idx="75">
                        <c:v>45037</c:v>
                      </c:pt>
                      <c:pt idx="76">
                        <c:v>45040</c:v>
                      </c:pt>
                      <c:pt idx="77">
                        <c:v>45041</c:v>
                      </c:pt>
                      <c:pt idx="78">
                        <c:v>45042</c:v>
                      </c:pt>
                      <c:pt idx="79">
                        <c:v>45043</c:v>
                      </c:pt>
                      <c:pt idx="80">
                        <c:v>45044</c:v>
                      </c:pt>
                      <c:pt idx="81">
                        <c:v>45048</c:v>
                      </c:pt>
                      <c:pt idx="82">
                        <c:v>45049</c:v>
                      </c:pt>
                      <c:pt idx="83">
                        <c:v>45050</c:v>
                      </c:pt>
                      <c:pt idx="84">
                        <c:v>45051</c:v>
                      </c:pt>
                      <c:pt idx="85">
                        <c:v>45055</c:v>
                      </c:pt>
                      <c:pt idx="86">
                        <c:v>45056</c:v>
                      </c:pt>
                      <c:pt idx="87">
                        <c:v>45057</c:v>
                      </c:pt>
                      <c:pt idx="88">
                        <c:v>45058</c:v>
                      </c:pt>
                      <c:pt idx="89">
                        <c:v>45061</c:v>
                      </c:pt>
                      <c:pt idx="90">
                        <c:v>45062</c:v>
                      </c:pt>
                      <c:pt idx="91">
                        <c:v>45063</c:v>
                      </c:pt>
                      <c:pt idx="92">
                        <c:v>45064</c:v>
                      </c:pt>
                      <c:pt idx="93">
                        <c:v>45065</c:v>
                      </c:pt>
                      <c:pt idx="94">
                        <c:v>45068</c:v>
                      </c:pt>
                      <c:pt idx="95">
                        <c:v>45069</c:v>
                      </c:pt>
                      <c:pt idx="96">
                        <c:v>45070</c:v>
                      </c:pt>
                      <c:pt idx="97">
                        <c:v>45071</c:v>
                      </c:pt>
                      <c:pt idx="98">
                        <c:v>45072</c:v>
                      </c:pt>
                      <c:pt idx="99">
                        <c:v>45076</c:v>
                      </c:pt>
                      <c:pt idx="100">
                        <c:v>45077</c:v>
                      </c:pt>
                      <c:pt idx="101">
                        <c:v>45078</c:v>
                      </c:pt>
                      <c:pt idx="102">
                        <c:v>45079</c:v>
                      </c:pt>
                      <c:pt idx="103">
                        <c:v>45082</c:v>
                      </c:pt>
                      <c:pt idx="104">
                        <c:v>45083</c:v>
                      </c:pt>
                      <c:pt idx="105">
                        <c:v>45084</c:v>
                      </c:pt>
                      <c:pt idx="106">
                        <c:v>45085</c:v>
                      </c:pt>
                      <c:pt idx="107">
                        <c:v>45086</c:v>
                      </c:pt>
                      <c:pt idx="108">
                        <c:v>45089</c:v>
                      </c:pt>
                      <c:pt idx="109">
                        <c:v>45090</c:v>
                      </c:pt>
                      <c:pt idx="110">
                        <c:v>45091</c:v>
                      </c:pt>
                      <c:pt idx="111">
                        <c:v>45092</c:v>
                      </c:pt>
                      <c:pt idx="112">
                        <c:v>45093</c:v>
                      </c:pt>
                      <c:pt idx="113">
                        <c:v>45096</c:v>
                      </c:pt>
                      <c:pt idx="114">
                        <c:v>45097</c:v>
                      </c:pt>
                      <c:pt idx="115">
                        <c:v>45098</c:v>
                      </c:pt>
                      <c:pt idx="116">
                        <c:v>45099</c:v>
                      </c:pt>
                      <c:pt idx="117">
                        <c:v>45100</c:v>
                      </c:pt>
                      <c:pt idx="118">
                        <c:v>45103</c:v>
                      </c:pt>
                      <c:pt idx="119">
                        <c:v>45104</c:v>
                      </c:pt>
                      <c:pt idx="120">
                        <c:v>45105</c:v>
                      </c:pt>
                      <c:pt idx="121">
                        <c:v>45106</c:v>
                      </c:pt>
                      <c:pt idx="122">
                        <c:v>45107</c:v>
                      </c:pt>
                      <c:pt idx="123">
                        <c:v>45110</c:v>
                      </c:pt>
                      <c:pt idx="124">
                        <c:v>45111</c:v>
                      </c:pt>
                      <c:pt idx="125">
                        <c:v>45112</c:v>
                      </c:pt>
                      <c:pt idx="126">
                        <c:v>45113</c:v>
                      </c:pt>
                      <c:pt idx="127">
                        <c:v>45114</c:v>
                      </c:pt>
                      <c:pt idx="128">
                        <c:v>45117</c:v>
                      </c:pt>
                      <c:pt idx="129">
                        <c:v>45118</c:v>
                      </c:pt>
                      <c:pt idx="130">
                        <c:v>45119</c:v>
                      </c:pt>
                      <c:pt idx="131">
                        <c:v>45120</c:v>
                      </c:pt>
                      <c:pt idx="132">
                        <c:v>45121</c:v>
                      </c:pt>
                      <c:pt idx="133">
                        <c:v>45124</c:v>
                      </c:pt>
                      <c:pt idx="134">
                        <c:v>45125</c:v>
                      </c:pt>
                      <c:pt idx="135">
                        <c:v>45126</c:v>
                      </c:pt>
                      <c:pt idx="136">
                        <c:v>45127</c:v>
                      </c:pt>
                      <c:pt idx="137">
                        <c:v>45128</c:v>
                      </c:pt>
                      <c:pt idx="138">
                        <c:v>45131</c:v>
                      </c:pt>
                      <c:pt idx="139">
                        <c:v>45132</c:v>
                      </c:pt>
                      <c:pt idx="140">
                        <c:v>45133</c:v>
                      </c:pt>
                      <c:pt idx="141">
                        <c:v>45134</c:v>
                      </c:pt>
                      <c:pt idx="142">
                        <c:v>45135</c:v>
                      </c:pt>
                      <c:pt idx="143">
                        <c:v>45138</c:v>
                      </c:pt>
                      <c:pt idx="144">
                        <c:v>45139</c:v>
                      </c:pt>
                      <c:pt idx="145">
                        <c:v>45140</c:v>
                      </c:pt>
                      <c:pt idx="146">
                        <c:v>45141</c:v>
                      </c:pt>
                      <c:pt idx="147">
                        <c:v>45142</c:v>
                      </c:pt>
                      <c:pt idx="148">
                        <c:v>45145</c:v>
                      </c:pt>
                      <c:pt idx="149">
                        <c:v>45146</c:v>
                      </c:pt>
                      <c:pt idx="150">
                        <c:v>45147</c:v>
                      </c:pt>
                      <c:pt idx="151">
                        <c:v>45148</c:v>
                      </c:pt>
                      <c:pt idx="152">
                        <c:v>45149</c:v>
                      </c:pt>
                      <c:pt idx="153">
                        <c:v>45152</c:v>
                      </c:pt>
                      <c:pt idx="154">
                        <c:v>45153</c:v>
                      </c:pt>
                      <c:pt idx="155">
                        <c:v>45154</c:v>
                      </c:pt>
                      <c:pt idx="156">
                        <c:v>45155</c:v>
                      </c:pt>
                      <c:pt idx="157">
                        <c:v>45156</c:v>
                      </c:pt>
                      <c:pt idx="158">
                        <c:v>45159</c:v>
                      </c:pt>
                      <c:pt idx="159">
                        <c:v>45160</c:v>
                      </c:pt>
                      <c:pt idx="160">
                        <c:v>45161</c:v>
                      </c:pt>
                      <c:pt idx="161">
                        <c:v>45162</c:v>
                      </c:pt>
                      <c:pt idx="162">
                        <c:v>45163</c:v>
                      </c:pt>
                      <c:pt idx="163">
                        <c:v>45167</c:v>
                      </c:pt>
                      <c:pt idx="164">
                        <c:v>45168</c:v>
                      </c:pt>
                      <c:pt idx="165">
                        <c:v>45169</c:v>
                      </c:pt>
                      <c:pt idx="166">
                        <c:v>45170</c:v>
                      </c:pt>
                      <c:pt idx="167">
                        <c:v>45173</c:v>
                      </c:pt>
                      <c:pt idx="168">
                        <c:v>45174</c:v>
                      </c:pt>
                      <c:pt idx="169">
                        <c:v>45175</c:v>
                      </c:pt>
                      <c:pt idx="170">
                        <c:v>45176</c:v>
                      </c:pt>
                      <c:pt idx="171">
                        <c:v>45177</c:v>
                      </c:pt>
                      <c:pt idx="172">
                        <c:v>45180</c:v>
                      </c:pt>
                      <c:pt idx="173">
                        <c:v>45181</c:v>
                      </c:pt>
                      <c:pt idx="174">
                        <c:v>45182</c:v>
                      </c:pt>
                      <c:pt idx="175">
                        <c:v>45183</c:v>
                      </c:pt>
                      <c:pt idx="176">
                        <c:v>45184</c:v>
                      </c:pt>
                      <c:pt idx="177">
                        <c:v>45187</c:v>
                      </c:pt>
                      <c:pt idx="178">
                        <c:v>45188</c:v>
                      </c:pt>
                      <c:pt idx="179">
                        <c:v>45189</c:v>
                      </c:pt>
                      <c:pt idx="180">
                        <c:v>45190</c:v>
                      </c:pt>
                      <c:pt idx="181">
                        <c:v>45191</c:v>
                      </c:pt>
                      <c:pt idx="182">
                        <c:v>45194</c:v>
                      </c:pt>
                      <c:pt idx="183">
                        <c:v>45195</c:v>
                      </c:pt>
                      <c:pt idx="184">
                        <c:v>45196</c:v>
                      </c:pt>
                      <c:pt idx="185">
                        <c:v>45197</c:v>
                      </c:pt>
                      <c:pt idx="186">
                        <c:v>45198</c:v>
                      </c:pt>
                      <c:pt idx="187">
                        <c:v>45201</c:v>
                      </c:pt>
                      <c:pt idx="188">
                        <c:v>45202</c:v>
                      </c:pt>
                      <c:pt idx="189">
                        <c:v>45203</c:v>
                      </c:pt>
                      <c:pt idx="190">
                        <c:v>45204</c:v>
                      </c:pt>
                      <c:pt idx="191">
                        <c:v>45205</c:v>
                      </c:pt>
                      <c:pt idx="192">
                        <c:v>45208</c:v>
                      </c:pt>
                      <c:pt idx="193">
                        <c:v>45209</c:v>
                      </c:pt>
                      <c:pt idx="194">
                        <c:v>45210</c:v>
                      </c:pt>
                      <c:pt idx="195">
                        <c:v>45211</c:v>
                      </c:pt>
                      <c:pt idx="196">
                        <c:v>45212</c:v>
                      </c:pt>
                      <c:pt idx="197">
                        <c:v>45215</c:v>
                      </c:pt>
                      <c:pt idx="198">
                        <c:v>45216</c:v>
                      </c:pt>
                      <c:pt idx="199">
                        <c:v>45217</c:v>
                      </c:pt>
                      <c:pt idx="200">
                        <c:v>45218</c:v>
                      </c:pt>
                      <c:pt idx="201">
                        <c:v>45219</c:v>
                      </c:pt>
                      <c:pt idx="202">
                        <c:v>45222</c:v>
                      </c:pt>
                      <c:pt idx="203">
                        <c:v>45223</c:v>
                      </c:pt>
                      <c:pt idx="204">
                        <c:v>45224</c:v>
                      </c:pt>
                      <c:pt idx="205">
                        <c:v>45225</c:v>
                      </c:pt>
                      <c:pt idx="206">
                        <c:v>45226</c:v>
                      </c:pt>
                      <c:pt idx="207">
                        <c:v>45229</c:v>
                      </c:pt>
                      <c:pt idx="208">
                        <c:v>45230</c:v>
                      </c:pt>
                      <c:pt idx="209">
                        <c:v>45231</c:v>
                      </c:pt>
                      <c:pt idx="210">
                        <c:v>45232</c:v>
                      </c:pt>
                      <c:pt idx="211">
                        <c:v>45233</c:v>
                      </c:pt>
                      <c:pt idx="212">
                        <c:v>45236</c:v>
                      </c:pt>
                      <c:pt idx="213">
                        <c:v>45237</c:v>
                      </c:pt>
                      <c:pt idx="214">
                        <c:v>45238</c:v>
                      </c:pt>
                      <c:pt idx="215">
                        <c:v>45239</c:v>
                      </c:pt>
                      <c:pt idx="216">
                        <c:v>45240</c:v>
                      </c:pt>
                      <c:pt idx="217">
                        <c:v>45243</c:v>
                      </c:pt>
                      <c:pt idx="218">
                        <c:v>45244</c:v>
                      </c:pt>
                      <c:pt idx="219">
                        <c:v>45245</c:v>
                      </c:pt>
                      <c:pt idx="220">
                        <c:v>45246</c:v>
                      </c:pt>
                      <c:pt idx="221">
                        <c:v>45247</c:v>
                      </c:pt>
                      <c:pt idx="222">
                        <c:v>45250</c:v>
                      </c:pt>
                      <c:pt idx="223">
                        <c:v>45251</c:v>
                      </c:pt>
                      <c:pt idx="224">
                        <c:v>45252</c:v>
                      </c:pt>
                      <c:pt idx="225">
                        <c:v>45253</c:v>
                      </c:pt>
                      <c:pt idx="226">
                        <c:v>45254</c:v>
                      </c:pt>
                      <c:pt idx="227">
                        <c:v>45257</c:v>
                      </c:pt>
                      <c:pt idx="228">
                        <c:v>45258</c:v>
                      </c:pt>
                      <c:pt idx="229">
                        <c:v>45259</c:v>
                      </c:pt>
                      <c:pt idx="230">
                        <c:v>45260</c:v>
                      </c:pt>
                      <c:pt idx="231">
                        <c:v>45261</c:v>
                      </c:pt>
                      <c:pt idx="232">
                        <c:v>45264</c:v>
                      </c:pt>
                      <c:pt idx="233">
                        <c:v>45265</c:v>
                      </c:pt>
                      <c:pt idx="234">
                        <c:v>45266</c:v>
                      </c:pt>
                      <c:pt idx="235">
                        <c:v>45267</c:v>
                      </c:pt>
                      <c:pt idx="236">
                        <c:v>45268</c:v>
                      </c:pt>
                      <c:pt idx="237">
                        <c:v>45271</c:v>
                      </c:pt>
                      <c:pt idx="238">
                        <c:v>45272</c:v>
                      </c:pt>
                      <c:pt idx="239">
                        <c:v>45273</c:v>
                      </c:pt>
                      <c:pt idx="240">
                        <c:v>45274</c:v>
                      </c:pt>
                      <c:pt idx="241">
                        <c:v>45275</c:v>
                      </c:pt>
                      <c:pt idx="242">
                        <c:v>45278</c:v>
                      </c:pt>
                      <c:pt idx="243">
                        <c:v>45279</c:v>
                      </c:pt>
                      <c:pt idx="244">
                        <c:v>45280</c:v>
                      </c:pt>
                      <c:pt idx="245">
                        <c:v>45281</c:v>
                      </c:pt>
                      <c:pt idx="246">
                        <c:v>45282</c:v>
                      </c:pt>
                      <c:pt idx="247">
                        <c:v>45286</c:v>
                      </c:pt>
                      <c:pt idx="248">
                        <c:v>45287</c:v>
                      </c:pt>
                      <c:pt idx="249">
                        <c:v>45288</c:v>
                      </c:pt>
                      <c:pt idx="250">
                        <c:v>45289</c:v>
                      </c:pt>
                      <c:pt idx="251">
                        <c:v>45293</c:v>
                      </c:pt>
                      <c:pt idx="252">
                        <c:v>45294</c:v>
                      </c:pt>
                      <c:pt idx="253">
                        <c:v>45295</c:v>
                      </c:pt>
                      <c:pt idx="254">
                        <c:v>45296</c:v>
                      </c:pt>
                      <c:pt idx="255">
                        <c:v>45299</c:v>
                      </c:pt>
                      <c:pt idx="256">
                        <c:v>45300</c:v>
                      </c:pt>
                      <c:pt idx="257">
                        <c:v>45301</c:v>
                      </c:pt>
                      <c:pt idx="258">
                        <c:v>45302</c:v>
                      </c:pt>
                      <c:pt idx="259">
                        <c:v>45303</c:v>
                      </c:pt>
                      <c:pt idx="260">
                        <c:v>45306</c:v>
                      </c:pt>
                      <c:pt idx="261">
                        <c:v>45307</c:v>
                      </c:pt>
                      <c:pt idx="262">
                        <c:v>45308</c:v>
                      </c:pt>
                      <c:pt idx="263">
                        <c:v>45309</c:v>
                      </c:pt>
                      <c:pt idx="264">
                        <c:v>45310</c:v>
                      </c:pt>
                      <c:pt idx="265">
                        <c:v>45313</c:v>
                      </c:pt>
                      <c:pt idx="266">
                        <c:v>45314</c:v>
                      </c:pt>
                      <c:pt idx="267">
                        <c:v>45315</c:v>
                      </c:pt>
                      <c:pt idx="268">
                        <c:v>45316</c:v>
                      </c:pt>
                      <c:pt idx="269">
                        <c:v>45317</c:v>
                      </c:pt>
                      <c:pt idx="270">
                        <c:v>45320</c:v>
                      </c:pt>
                      <c:pt idx="271">
                        <c:v>45321</c:v>
                      </c:pt>
                      <c:pt idx="272">
                        <c:v>45322</c:v>
                      </c:pt>
                      <c:pt idx="273">
                        <c:v>45323</c:v>
                      </c:pt>
                      <c:pt idx="274">
                        <c:v>45324</c:v>
                      </c:pt>
                      <c:pt idx="275">
                        <c:v>45327</c:v>
                      </c:pt>
                      <c:pt idx="276">
                        <c:v>45328</c:v>
                      </c:pt>
                      <c:pt idx="277">
                        <c:v>45329</c:v>
                      </c:pt>
                      <c:pt idx="278">
                        <c:v>45330</c:v>
                      </c:pt>
                      <c:pt idx="279">
                        <c:v>45331</c:v>
                      </c:pt>
                      <c:pt idx="280">
                        <c:v>45334</c:v>
                      </c:pt>
                      <c:pt idx="281">
                        <c:v>45335</c:v>
                      </c:pt>
                      <c:pt idx="282">
                        <c:v>45336</c:v>
                      </c:pt>
                      <c:pt idx="283">
                        <c:v>45337</c:v>
                      </c:pt>
                      <c:pt idx="284">
                        <c:v>45338</c:v>
                      </c:pt>
                      <c:pt idx="285">
                        <c:v>45341</c:v>
                      </c:pt>
                      <c:pt idx="286">
                        <c:v>45342</c:v>
                      </c:pt>
                      <c:pt idx="287">
                        <c:v>45343</c:v>
                      </c:pt>
                      <c:pt idx="288">
                        <c:v>45344</c:v>
                      </c:pt>
                      <c:pt idx="289">
                        <c:v>45345</c:v>
                      </c:pt>
                      <c:pt idx="290">
                        <c:v>45348</c:v>
                      </c:pt>
                      <c:pt idx="291">
                        <c:v>45349</c:v>
                      </c:pt>
                      <c:pt idx="292">
                        <c:v>45350</c:v>
                      </c:pt>
                      <c:pt idx="293">
                        <c:v>45351</c:v>
                      </c:pt>
                      <c:pt idx="294">
                        <c:v>45352</c:v>
                      </c:pt>
                      <c:pt idx="295">
                        <c:v>45355</c:v>
                      </c:pt>
                      <c:pt idx="296">
                        <c:v>45356</c:v>
                      </c:pt>
                      <c:pt idx="297">
                        <c:v>45357</c:v>
                      </c:pt>
                      <c:pt idx="298">
                        <c:v>45358</c:v>
                      </c:pt>
                      <c:pt idx="299">
                        <c:v>45359</c:v>
                      </c:pt>
                      <c:pt idx="300">
                        <c:v>45362</c:v>
                      </c:pt>
                      <c:pt idx="301">
                        <c:v>45363</c:v>
                      </c:pt>
                      <c:pt idx="302">
                        <c:v>45364</c:v>
                      </c:pt>
                      <c:pt idx="303">
                        <c:v>45365</c:v>
                      </c:pt>
                      <c:pt idx="304">
                        <c:v>45366</c:v>
                      </c:pt>
                      <c:pt idx="305">
                        <c:v>45369</c:v>
                      </c:pt>
                      <c:pt idx="306">
                        <c:v>45370</c:v>
                      </c:pt>
                      <c:pt idx="307">
                        <c:v>45371</c:v>
                      </c:pt>
                      <c:pt idx="308">
                        <c:v>45372</c:v>
                      </c:pt>
                      <c:pt idx="309">
                        <c:v>45373</c:v>
                      </c:pt>
                      <c:pt idx="310">
                        <c:v>45376</c:v>
                      </c:pt>
                      <c:pt idx="311">
                        <c:v>45377</c:v>
                      </c:pt>
                      <c:pt idx="312">
                        <c:v>45378</c:v>
                      </c:pt>
                      <c:pt idx="313">
                        <c:v>45379</c:v>
                      </c:pt>
                      <c:pt idx="314">
                        <c:v>45384</c:v>
                      </c:pt>
                      <c:pt idx="315">
                        <c:v>45385</c:v>
                      </c:pt>
                      <c:pt idx="316">
                        <c:v>45386</c:v>
                      </c:pt>
                      <c:pt idx="317">
                        <c:v>45387</c:v>
                      </c:pt>
                      <c:pt idx="318">
                        <c:v>45390</c:v>
                      </c:pt>
                      <c:pt idx="319">
                        <c:v>45391</c:v>
                      </c:pt>
                      <c:pt idx="320">
                        <c:v>45392</c:v>
                      </c:pt>
                      <c:pt idx="321">
                        <c:v>45393</c:v>
                      </c:pt>
                      <c:pt idx="322">
                        <c:v>45394</c:v>
                      </c:pt>
                      <c:pt idx="323">
                        <c:v>45397</c:v>
                      </c:pt>
                      <c:pt idx="324">
                        <c:v>45398</c:v>
                      </c:pt>
                      <c:pt idx="325">
                        <c:v>45399</c:v>
                      </c:pt>
                      <c:pt idx="326">
                        <c:v>45400</c:v>
                      </c:pt>
                      <c:pt idx="327">
                        <c:v>45404</c:v>
                      </c:pt>
                      <c:pt idx="328">
                        <c:v>45405</c:v>
                      </c:pt>
                      <c:pt idx="329">
                        <c:v>45406</c:v>
                      </c:pt>
                      <c:pt idx="330">
                        <c:v>45407</c:v>
                      </c:pt>
                      <c:pt idx="331">
                        <c:v>45408</c:v>
                      </c:pt>
                      <c:pt idx="332">
                        <c:v>45411</c:v>
                      </c:pt>
                      <c:pt idx="333">
                        <c:v>45412</c:v>
                      </c:pt>
                      <c:pt idx="334">
                        <c:v>45413</c:v>
                      </c:pt>
                      <c:pt idx="335">
                        <c:v>45414</c:v>
                      </c:pt>
                      <c:pt idx="336">
                        <c:v>45415</c:v>
                      </c:pt>
                      <c:pt idx="337">
                        <c:v>45418</c:v>
                      </c:pt>
                      <c:pt idx="338">
                        <c:v>45419</c:v>
                      </c:pt>
                      <c:pt idx="339">
                        <c:v>45420</c:v>
                      </c:pt>
                      <c:pt idx="340">
                        <c:v>45421</c:v>
                      </c:pt>
                      <c:pt idx="341">
                        <c:v>45422</c:v>
                      </c:pt>
                      <c:pt idx="342">
                        <c:v>45425</c:v>
                      </c:pt>
                      <c:pt idx="343">
                        <c:v>45426</c:v>
                      </c:pt>
                      <c:pt idx="344">
                        <c:v>45427</c:v>
                      </c:pt>
                      <c:pt idx="345">
                        <c:v>45428</c:v>
                      </c:pt>
                      <c:pt idx="346">
                        <c:v>45429</c:v>
                      </c:pt>
                      <c:pt idx="347">
                        <c:v>45432</c:v>
                      </c:pt>
                      <c:pt idx="348">
                        <c:v>45433</c:v>
                      </c:pt>
                      <c:pt idx="349">
                        <c:v>45434</c:v>
                      </c:pt>
                      <c:pt idx="350">
                        <c:v>45435</c:v>
                      </c:pt>
                      <c:pt idx="351">
                        <c:v>45436</c:v>
                      </c:pt>
                      <c:pt idx="352">
                        <c:v>45439</c:v>
                      </c:pt>
                      <c:pt idx="353">
                        <c:v>45440</c:v>
                      </c:pt>
                      <c:pt idx="354">
                        <c:v>45441</c:v>
                      </c:pt>
                      <c:pt idx="355">
                        <c:v>45442</c:v>
                      </c:pt>
                      <c:pt idx="356">
                        <c:v>45443</c:v>
                      </c:pt>
                      <c:pt idx="357">
                        <c:v>45446</c:v>
                      </c:pt>
                      <c:pt idx="358">
                        <c:v>45447</c:v>
                      </c:pt>
                      <c:pt idx="359">
                        <c:v>45448</c:v>
                      </c:pt>
                      <c:pt idx="360">
                        <c:v>45449</c:v>
                      </c:pt>
                      <c:pt idx="361">
                        <c:v>45450</c:v>
                      </c:pt>
                      <c:pt idx="362">
                        <c:v>45453</c:v>
                      </c:pt>
                      <c:pt idx="363">
                        <c:v>45454</c:v>
                      </c:pt>
                      <c:pt idx="364">
                        <c:v>45455</c:v>
                      </c:pt>
                      <c:pt idx="365">
                        <c:v>45456</c:v>
                      </c:pt>
                      <c:pt idx="366">
                        <c:v>45457</c:v>
                      </c:pt>
                      <c:pt idx="367">
                        <c:v>45460</c:v>
                      </c:pt>
                      <c:pt idx="368">
                        <c:v>45461</c:v>
                      </c:pt>
                      <c:pt idx="369">
                        <c:v>45462</c:v>
                      </c:pt>
                      <c:pt idx="370">
                        <c:v>45463</c:v>
                      </c:pt>
                      <c:pt idx="371">
                        <c:v>45464</c:v>
                      </c:pt>
                      <c:pt idx="372">
                        <c:v>45467</c:v>
                      </c:pt>
                      <c:pt idx="373">
                        <c:v>45468</c:v>
                      </c:pt>
                      <c:pt idx="374">
                        <c:v>45469</c:v>
                      </c:pt>
                      <c:pt idx="375">
                        <c:v>45470</c:v>
                      </c:pt>
                      <c:pt idx="376">
                        <c:v>45471</c:v>
                      </c:pt>
                      <c:pt idx="377">
                        <c:v>45474</c:v>
                      </c:pt>
                      <c:pt idx="378">
                        <c:v>45475</c:v>
                      </c:pt>
                      <c:pt idx="379">
                        <c:v>45476</c:v>
                      </c:pt>
                      <c:pt idx="380">
                        <c:v>45477</c:v>
                      </c:pt>
                      <c:pt idx="381">
                        <c:v>45478</c:v>
                      </c:pt>
                      <c:pt idx="382">
                        <c:v>45481</c:v>
                      </c:pt>
                      <c:pt idx="383">
                        <c:v>45482</c:v>
                      </c:pt>
                      <c:pt idx="384">
                        <c:v>45483</c:v>
                      </c:pt>
                      <c:pt idx="385">
                        <c:v>45484</c:v>
                      </c:pt>
                      <c:pt idx="386">
                        <c:v>45485</c:v>
                      </c:pt>
                      <c:pt idx="387">
                        <c:v>45488</c:v>
                      </c:pt>
                      <c:pt idx="388">
                        <c:v>45489</c:v>
                      </c:pt>
                      <c:pt idx="389">
                        <c:v>45490</c:v>
                      </c:pt>
                      <c:pt idx="390">
                        <c:v>45491</c:v>
                      </c:pt>
                      <c:pt idx="391">
                        <c:v>45492</c:v>
                      </c:pt>
                      <c:pt idx="392">
                        <c:v>45495</c:v>
                      </c:pt>
                      <c:pt idx="393">
                        <c:v>45496</c:v>
                      </c:pt>
                      <c:pt idx="394">
                        <c:v>45497</c:v>
                      </c:pt>
                      <c:pt idx="395">
                        <c:v>45498</c:v>
                      </c:pt>
                      <c:pt idx="396">
                        <c:v>45499</c:v>
                      </c:pt>
                      <c:pt idx="397">
                        <c:v>45502</c:v>
                      </c:pt>
                      <c:pt idx="398">
                        <c:v>45503</c:v>
                      </c:pt>
                      <c:pt idx="399">
                        <c:v>45504</c:v>
                      </c:pt>
                      <c:pt idx="400">
                        <c:v>45505</c:v>
                      </c:pt>
                      <c:pt idx="401">
                        <c:v>45506</c:v>
                      </c:pt>
                      <c:pt idx="402">
                        <c:v>45509</c:v>
                      </c:pt>
                      <c:pt idx="403">
                        <c:v>45510</c:v>
                      </c:pt>
                      <c:pt idx="404">
                        <c:v>45511</c:v>
                      </c:pt>
                      <c:pt idx="405">
                        <c:v>45512</c:v>
                      </c:pt>
                      <c:pt idx="406">
                        <c:v>45513</c:v>
                      </c:pt>
                      <c:pt idx="407">
                        <c:v>45516</c:v>
                      </c:pt>
                      <c:pt idx="408">
                        <c:v>45517</c:v>
                      </c:pt>
                      <c:pt idx="409">
                        <c:v>45518</c:v>
                      </c:pt>
                      <c:pt idx="410">
                        <c:v>45519</c:v>
                      </c:pt>
                      <c:pt idx="411">
                        <c:v>45520</c:v>
                      </c:pt>
                      <c:pt idx="412">
                        <c:v>45523</c:v>
                      </c:pt>
                      <c:pt idx="413">
                        <c:v>45524</c:v>
                      </c:pt>
                      <c:pt idx="414">
                        <c:v>45525</c:v>
                      </c:pt>
                      <c:pt idx="415">
                        <c:v>45526</c:v>
                      </c:pt>
                      <c:pt idx="416">
                        <c:v>45527</c:v>
                      </c:pt>
                      <c:pt idx="417">
                        <c:v>45530</c:v>
                      </c:pt>
                      <c:pt idx="418">
                        <c:v>45531</c:v>
                      </c:pt>
                      <c:pt idx="419">
                        <c:v>45532</c:v>
                      </c:pt>
                      <c:pt idx="420">
                        <c:v>45533</c:v>
                      </c:pt>
                      <c:pt idx="421">
                        <c:v>45534</c:v>
                      </c:pt>
                      <c:pt idx="422">
                        <c:v>45537</c:v>
                      </c:pt>
                      <c:pt idx="423">
                        <c:v>45538</c:v>
                      </c:pt>
                      <c:pt idx="424">
                        <c:v>45539</c:v>
                      </c:pt>
                      <c:pt idx="425">
                        <c:v>45540</c:v>
                      </c:pt>
                      <c:pt idx="426">
                        <c:v>45541</c:v>
                      </c:pt>
                      <c:pt idx="427">
                        <c:v>45544</c:v>
                      </c:pt>
                      <c:pt idx="428">
                        <c:v>45545</c:v>
                      </c:pt>
                      <c:pt idx="429">
                        <c:v>45546</c:v>
                      </c:pt>
                      <c:pt idx="430">
                        <c:v>45547</c:v>
                      </c:pt>
                      <c:pt idx="431">
                        <c:v>45548</c:v>
                      </c:pt>
                      <c:pt idx="432">
                        <c:v>45551</c:v>
                      </c:pt>
                      <c:pt idx="433">
                        <c:v>45552</c:v>
                      </c:pt>
                      <c:pt idx="434">
                        <c:v>45553</c:v>
                      </c:pt>
                      <c:pt idx="435">
                        <c:v>45554</c:v>
                      </c:pt>
                      <c:pt idx="436">
                        <c:v>45555</c:v>
                      </c:pt>
                      <c:pt idx="437">
                        <c:v>45558</c:v>
                      </c:pt>
                      <c:pt idx="438">
                        <c:v>45559</c:v>
                      </c:pt>
                      <c:pt idx="439">
                        <c:v>45560</c:v>
                      </c:pt>
                      <c:pt idx="440">
                        <c:v>45561</c:v>
                      </c:pt>
                      <c:pt idx="441">
                        <c:v>45562</c:v>
                      </c:pt>
                      <c:pt idx="442">
                        <c:v>45565</c:v>
                      </c:pt>
                      <c:pt idx="443">
                        <c:v>45566</c:v>
                      </c:pt>
                      <c:pt idx="444">
                        <c:v>45567</c:v>
                      </c:pt>
                      <c:pt idx="445">
                        <c:v>45568</c:v>
                      </c:pt>
                      <c:pt idx="446">
                        <c:v>45569</c:v>
                      </c:pt>
                      <c:pt idx="447">
                        <c:v>45572</c:v>
                      </c:pt>
                      <c:pt idx="448">
                        <c:v>45573</c:v>
                      </c:pt>
                      <c:pt idx="449">
                        <c:v>45574</c:v>
                      </c:pt>
                      <c:pt idx="450">
                        <c:v>45575</c:v>
                      </c:pt>
                      <c:pt idx="451">
                        <c:v>45576</c:v>
                      </c:pt>
                      <c:pt idx="452">
                        <c:v>45579</c:v>
                      </c:pt>
                      <c:pt idx="453">
                        <c:v>45580</c:v>
                      </c:pt>
                      <c:pt idx="454">
                        <c:v>45581</c:v>
                      </c:pt>
                      <c:pt idx="455">
                        <c:v>45582</c:v>
                      </c:pt>
                      <c:pt idx="456">
                        <c:v>45583</c:v>
                      </c:pt>
                      <c:pt idx="457">
                        <c:v>45586</c:v>
                      </c:pt>
                      <c:pt idx="458">
                        <c:v>45587</c:v>
                      </c:pt>
                      <c:pt idx="459">
                        <c:v>45588</c:v>
                      </c:pt>
                      <c:pt idx="460">
                        <c:v>45589</c:v>
                      </c:pt>
                      <c:pt idx="461">
                        <c:v>45590</c:v>
                      </c:pt>
                      <c:pt idx="462">
                        <c:v>45593</c:v>
                      </c:pt>
                      <c:pt idx="463">
                        <c:v>45594</c:v>
                      </c:pt>
                      <c:pt idx="464">
                        <c:v>45595</c:v>
                      </c:pt>
                      <c:pt idx="465">
                        <c:v>45596</c:v>
                      </c:pt>
                      <c:pt idx="466">
                        <c:v>45597</c:v>
                      </c:pt>
                      <c:pt idx="467">
                        <c:v>45600</c:v>
                      </c:pt>
                      <c:pt idx="468">
                        <c:v>45601</c:v>
                      </c:pt>
                      <c:pt idx="469">
                        <c:v>45602</c:v>
                      </c:pt>
                      <c:pt idx="470">
                        <c:v>45603</c:v>
                      </c:pt>
                      <c:pt idx="471">
                        <c:v>45604</c:v>
                      </c:pt>
                      <c:pt idx="472">
                        <c:v>45608</c:v>
                      </c:pt>
                      <c:pt idx="473">
                        <c:v>45609</c:v>
                      </c:pt>
                      <c:pt idx="474">
                        <c:v>45610</c:v>
                      </c:pt>
                      <c:pt idx="475">
                        <c:v>45611</c:v>
                      </c:pt>
                      <c:pt idx="476">
                        <c:v>45614</c:v>
                      </c:pt>
                      <c:pt idx="477">
                        <c:v>45615</c:v>
                      </c:pt>
                      <c:pt idx="478">
                        <c:v>45616</c:v>
                      </c:pt>
                      <c:pt idx="479">
                        <c:v>45617</c:v>
                      </c:pt>
                      <c:pt idx="480">
                        <c:v>45618</c:v>
                      </c:pt>
                      <c:pt idx="481">
                        <c:v>45621</c:v>
                      </c:pt>
                      <c:pt idx="482">
                        <c:v>45622</c:v>
                      </c:pt>
                      <c:pt idx="483">
                        <c:v>45623</c:v>
                      </c:pt>
                      <c:pt idx="484">
                        <c:v>45624</c:v>
                      </c:pt>
                      <c:pt idx="485">
                        <c:v>45625</c:v>
                      </c:pt>
                      <c:pt idx="486">
                        <c:v>45628</c:v>
                      </c:pt>
                      <c:pt idx="487">
                        <c:v>45629</c:v>
                      </c:pt>
                      <c:pt idx="488">
                        <c:v>45630</c:v>
                      </c:pt>
                      <c:pt idx="489">
                        <c:v>45631</c:v>
                      </c:pt>
                      <c:pt idx="490">
                        <c:v>45632</c:v>
                      </c:pt>
                      <c:pt idx="491">
                        <c:v>45635</c:v>
                      </c:pt>
                      <c:pt idx="492">
                        <c:v>45636</c:v>
                      </c:pt>
                      <c:pt idx="493">
                        <c:v>45637</c:v>
                      </c:pt>
                      <c:pt idx="494">
                        <c:v>45638</c:v>
                      </c:pt>
                      <c:pt idx="495">
                        <c:v>45639</c:v>
                      </c:pt>
                      <c:pt idx="496">
                        <c:v>45642</c:v>
                      </c:pt>
                      <c:pt idx="497">
                        <c:v>45643</c:v>
                      </c:pt>
                      <c:pt idx="498">
                        <c:v>45644</c:v>
                      </c:pt>
                      <c:pt idx="499">
                        <c:v>45645</c:v>
                      </c:pt>
                      <c:pt idx="500">
                        <c:v>45646</c:v>
                      </c:pt>
                      <c:pt idx="501">
                        <c:v>45649</c:v>
                      </c:pt>
                      <c:pt idx="502">
                        <c:v>45650</c:v>
                      </c:pt>
                      <c:pt idx="503">
                        <c:v>45653</c:v>
                      </c:pt>
                      <c:pt idx="504">
                        <c:v>45656</c:v>
                      </c:pt>
                      <c:pt idx="505">
                        <c:v>45657</c:v>
                      </c:pt>
                      <c:pt idx="506">
                        <c:v>45659</c:v>
                      </c:pt>
                      <c:pt idx="507">
                        <c:v>45660</c:v>
                      </c:pt>
                      <c:pt idx="508">
                        <c:v>45663</c:v>
                      </c:pt>
                      <c:pt idx="509">
                        <c:v>45664</c:v>
                      </c:pt>
                      <c:pt idx="510">
                        <c:v>45665</c:v>
                      </c:pt>
                      <c:pt idx="511">
                        <c:v>45666</c:v>
                      </c:pt>
                      <c:pt idx="512">
                        <c:v>45667</c:v>
                      </c:pt>
                      <c:pt idx="513">
                        <c:v>45670</c:v>
                      </c:pt>
                      <c:pt idx="514">
                        <c:v>45671</c:v>
                      </c:pt>
                      <c:pt idx="515">
                        <c:v>45672</c:v>
                      </c:pt>
                      <c:pt idx="516">
                        <c:v>45673</c:v>
                      </c:pt>
                      <c:pt idx="517">
                        <c:v>45674</c:v>
                      </c:pt>
                      <c:pt idx="518">
                        <c:v>45677</c:v>
                      </c:pt>
                      <c:pt idx="519">
                        <c:v>45678</c:v>
                      </c:pt>
                      <c:pt idx="520">
                        <c:v>45679</c:v>
                      </c:pt>
                      <c:pt idx="521">
                        <c:v>45680</c:v>
                      </c:pt>
                      <c:pt idx="522">
                        <c:v>45681</c:v>
                      </c:pt>
                      <c:pt idx="523">
                        <c:v>45684</c:v>
                      </c:pt>
                      <c:pt idx="524">
                        <c:v>45685</c:v>
                      </c:pt>
                      <c:pt idx="525">
                        <c:v>45686</c:v>
                      </c:pt>
                      <c:pt idx="526">
                        <c:v>45687</c:v>
                      </c:pt>
                      <c:pt idx="527">
                        <c:v>45688</c:v>
                      </c:pt>
                      <c:pt idx="528">
                        <c:v>45691</c:v>
                      </c:pt>
                      <c:pt idx="529">
                        <c:v>45692</c:v>
                      </c:pt>
                      <c:pt idx="530">
                        <c:v>45693</c:v>
                      </c:pt>
                      <c:pt idx="531">
                        <c:v>45694</c:v>
                      </c:pt>
                      <c:pt idx="532">
                        <c:v>45695</c:v>
                      </c:pt>
                      <c:pt idx="533">
                        <c:v>45698</c:v>
                      </c:pt>
                      <c:pt idx="534">
                        <c:v>45699</c:v>
                      </c:pt>
                      <c:pt idx="535">
                        <c:v>45700</c:v>
                      </c:pt>
                      <c:pt idx="536">
                        <c:v>45701</c:v>
                      </c:pt>
                      <c:pt idx="537">
                        <c:v>45702</c:v>
                      </c:pt>
                      <c:pt idx="538">
                        <c:v>45705</c:v>
                      </c:pt>
                      <c:pt idx="539">
                        <c:v>45706</c:v>
                      </c:pt>
                      <c:pt idx="540">
                        <c:v>45707</c:v>
                      </c:pt>
                      <c:pt idx="541">
                        <c:v>45708</c:v>
                      </c:pt>
                      <c:pt idx="542">
                        <c:v>45709</c:v>
                      </c:pt>
                      <c:pt idx="543">
                        <c:v>45712</c:v>
                      </c:pt>
                      <c:pt idx="544">
                        <c:v>45713</c:v>
                      </c:pt>
                      <c:pt idx="545">
                        <c:v>45714</c:v>
                      </c:pt>
                      <c:pt idx="546">
                        <c:v>45715</c:v>
                      </c:pt>
                      <c:pt idx="547">
                        <c:v>45716</c:v>
                      </c:pt>
                      <c:pt idx="548">
                        <c:v>45719</c:v>
                      </c:pt>
                      <c:pt idx="549">
                        <c:v>45720</c:v>
                      </c:pt>
                      <c:pt idx="550">
                        <c:v>45721</c:v>
                      </c:pt>
                      <c:pt idx="551">
                        <c:v>45722</c:v>
                      </c:pt>
                      <c:pt idx="552">
                        <c:v>45723</c:v>
                      </c:pt>
                      <c:pt idx="553">
                        <c:v>45726</c:v>
                      </c:pt>
                      <c:pt idx="554">
                        <c:v>45727</c:v>
                      </c:pt>
                      <c:pt idx="555">
                        <c:v>45728</c:v>
                      </c:pt>
                      <c:pt idx="556">
                        <c:v>45729</c:v>
                      </c:pt>
                      <c:pt idx="557">
                        <c:v>45730</c:v>
                      </c:pt>
                      <c:pt idx="558">
                        <c:v>45733</c:v>
                      </c:pt>
                      <c:pt idx="559">
                        <c:v>45734</c:v>
                      </c:pt>
                      <c:pt idx="560">
                        <c:v>45735</c:v>
                      </c:pt>
                      <c:pt idx="561">
                        <c:v>45736</c:v>
                      </c:pt>
                      <c:pt idx="562">
                        <c:v>45737</c:v>
                      </c:pt>
                      <c:pt idx="563">
                        <c:v>45740</c:v>
                      </c:pt>
                      <c:pt idx="564">
                        <c:v>45741</c:v>
                      </c:pt>
                      <c:pt idx="565">
                        <c:v>45742</c:v>
                      </c:pt>
                      <c:pt idx="566">
                        <c:v>45743</c:v>
                      </c:pt>
                      <c:pt idx="567">
                        <c:v>45744</c:v>
                      </c:pt>
                      <c:pt idx="568">
                        <c:v>45747</c:v>
                      </c:pt>
                      <c:pt idx="569">
                        <c:v>45748</c:v>
                      </c:pt>
                      <c:pt idx="570">
                        <c:v>45749</c:v>
                      </c:pt>
                      <c:pt idx="571">
                        <c:v>45750</c:v>
                      </c:pt>
                      <c:pt idx="572">
                        <c:v>45751</c:v>
                      </c:pt>
                      <c:pt idx="573">
                        <c:v>45754</c:v>
                      </c:pt>
                      <c:pt idx="574">
                        <c:v>45755</c:v>
                      </c:pt>
                      <c:pt idx="575">
                        <c:v>45756</c:v>
                      </c:pt>
                      <c:pt idx="576">
                        <c:v>45757</c:v>
                      </c:pt>
                      <c:pt idx="577">
                        <c:v>45761</c:v>
                      </c:pt>
                      <c:pt idx="578">
                        <c:v>45762</c:v>
                      </c:pt>
                      <c:pt idx="579">
                        <c:v>45763</c:v>
                      </c:pt>
                      <c:pt idx="580">
                        <c:v>45764</c:v>
                      </c:pt>
                      <c:pt idx="581">
                        <c:v>45768</c:v>
                      </c:pt>
                      <c:pt idx="582">
                        <c:v>45771</c:v>
                      </c:pt>
                      <c:pt idx="583">
                        <c:v>45772</c:v>
                      </c:pt>
                      <c:pt idx="584">
                        <c:v>45775</c:v>
                      </c:pt>
                      <c:pt idx="585">
                        <c:v>45776</c:v>
                      </c:pt>
                      <c:pt idx="586">
                        <c:v>45784</c:v>
                      </c:pt>
                      <c:pt idx="587">
                        <c:v>45785</c:v>
                      </c:pt>
                      <c:pt idx="588">
                        <c:v>45789</c:v>
                      </c:pt>
                      <c:pt idx="589">
                        <c:v>45790</c:v>
                      </c:pt>
                      <c:pt idx="590">
                        <c:v>45796</c:v>
                      </c:pt>
                      <c:pt idx="591">
                        <c:v>45797</c:v>
                      </c:pt>
                      <c:pt idx="592">
                        <c:v>45798</c:v>
                      </c:pt>
                      <c:pt idx="593">
                        <c:v>45799</c:v>
                      </c:pt>
                      <c:pt idx="594">
                        <c:v>45800</c:v>
                      </c:pt>
                      <c:pt idx="595">
                        <c:v>45804</c:v>
                      </c:pt>
                      <c:pt idx="596">
                        <c:v>45805</c:v>
                      </c:pt>
                      <c:pt idx="597">
                        <c:v>45806</c:v>
                      </c:pt>
                      <c:pt idx="598">
                        <c:v>45807</c:v>
                      </c:pt>
                      <c:pt idx="599">
                        <c:v>45810</c:v>
                      </c:pt>
                      <c:pt idx="600">
                        <c:v>45811</c:v>
                      </c:pt>
                      <c:pt idx="601">
                        <c:v>45812</c:v>
                      </c:pt>
                      <c:pt idx="602">
                        <c:v>45813</c:v>
                      </c:pt>
                      <c:pt idx="603">
                        <c:v>45814</c:v>
                      </c:pt>
                      <c:pt idx="604">
                        <c:v>45817</c:v>
                      </c:pt>
                      <c:pt idx="605">
                        <c:v>45818</c:v>
                      </c:pt>
                      <c:pt idx="606">
                        <c:v>45819</c:v>
                      </c:pt>
                      <c:pt idx="607">
                        <c:v>45821</c:v>
                      </c:pt>
                      <c:pt idx="608">
                        <c:v>45824</c:v>
                      </c:pt>
                      <c:pt idx="609">
                        <c:v>45825</c:v>
                      </c:pt>
                      <c:pt idx="610">
                        <c:v>45826</c:v>
                      </c:pt>
                      <c:pt idx="611">
                        <c:v>45828</c:v>
                      </c:pt>
                      <c:pt idx="612">
                        <c:v>45831</c:v>
                      </c:pt>
                      <c:pt idx="613">
                        <c:v>45832</c:v>
                      </c:pt>
                      <c:pt idx="614">
                        <c:v>45833</c:v>
                      </c:pt>
                      <c:pt idx="615">
                        <c:v>45835</c:v>
                      </c:pt>
                      <c:pt idx="616">
                        <c:v>45838</c:v>
                      </c:pt>
                      <c:pt idx="617">
                        <c:v>45839</c:v>
                      </c:pt>
                      <c:pt idx="618">
                        <c:v>45840</c:v>
                      </c:pt>
                      <c:pt idx="619">
                        <c:v>45841</c:v>
                      </c:pt>
                      <c:pt idx="620">
                        <c:v>45845</c:v>
                      </c:pt>
                      <c:pt idx="621">
                        <c:v>45846</c:v>
                      </c:pt>
                      <c:pt idx="622">
                        <c:v>45847</c:v>
                      </c:pt>
                      <c:pt idx="623">
                        <c:v>45848</c:v>
                      </c:pt>
                      <c:pt idx="624">
                        <c:v>45849</c:v>
                      </c:pt>
                      <c:pt idx="625">
                        <c:v>45852</c:v>
                      </c:pt>
                      <c:pt idx="626">
                        <c:v>45853</c:v>
                      </c:pt>
                      <c:pt idx="627">
                        <c:v>45854</c:v>
                      </c:pt>
                      <c:pt idx="628">
                        <c:v>45855</c:v>
                      </c:pt>
                      <c:pt idx="629">
                        <c:v>45856</c:v>
                      </c:pt>
                      <c:pt idx="630">
                        <c:v>45859</c:v>
                      </c:pt>
                      <c:pt idx="631">
                        <c:v>45860</c:v>
                      </c:pt>
                      <c:pt idx="632">
                        <c:v>45861</c:v>
                      </c:pt>
                      <c:pt idx="633">
                        <c:v>45862</c:v>
                      </c:pt>
                      <c:pt idx="634">
                        <c:v>45863</c:v>
                      </c:pt>
                      <c:pt idx="635">
                        <c:v>45866</c:v>
                      </c:pt>
                      <c:pt idx="636">
                        <c:v>45867</c:v>
                      </c:pt>
                      <c:pt idx="637">
                        <c:v>45868</c:v>
                      </c:pt>
                      <c:pt idx="638">
                        <c:v>45869</c:v>
                      </c:pt>
                      <c:pt idx="639">
                        <c:v>45870</c:v>
                      </c:pt>
                      <c:pt idx="640">
                        <c:v>45873</c:v>
                      </c:pt>
                      <c:pt idx="641">
                        <c:v>45874</c:v>
                      </c:pt>
                      <c:pt idx="642">
                        <c:v>45875</c:v>
                      </c:pt>
                      <c:pt idx="643">
                        <c:v>45876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Info!$L$4:$L$241</c15:sqref>
                        </c15:formulaRef>
                      </c:ext>
                    </c:extLst>
                    <c:numCache>
                      <c:formatCode>General</c:formatCode>
                      <c:ptCount val="238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  <c:pt idx="37">
                        <c:v>8</c:v>
                      </c:pt>
                      <c:pt idx="38">
                        <c:v>8</c:v>
                      </c:pt>
                      <c:pt idx="39">
                        <c:v>8</c:v>
                      </c:pt>
                      <c:pt idx="40">
                        <c:v>8</c:v>
                      </c:pt>
                      <c:pt idx="41">
                        <c:v>8</c:v>
                      </c:pt>
                      <c:pt idx="42">
                        <c:v>8</c:v>
                      </c:pt>
                      <c:pt idx="43">
                        <c:v>8</c:v>
                      </c:pt>
                      <c:pt idx="44">
                        <c:v>8</c:v>
                      </c:pt>
                      <c:pt idx="45">
                        <c:v>8</c:v>
                      </c:pt>
                      <c:pt idx="46">
                        <c:v>8</c:v>
                      </c:pt>
                      <c:pt idx="47">
                        <c:v>8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8</c:v>
                      </c:pt>
                      <c:pt idx="54">
                        <c:v>8</c:v>
                      </c:pt>
                      <c:pt idx="55">
                        <c:v>8</c:v>
                      </c:pt>
                      <c:pt idx="56">
                        <c:v>8</c:v>
                      </c:pt>
                      <c:pt idx="57">
                        <c:v>8</c:v>
                      </c:pt>
                      <c:pt idx="58">
                        <c:v>8</c:v>
                      </c:pt>
                      <c:pt idx="59">
                        <c:v>8</c:v>
                      </c:pt>
                      <c:pt idx="60">
                        <c:v>8</c:v>
                      </c:pt>
                      <c:pt idx="61">
                        <c:v>8</c:v>
                      </c:pt>
                      <c:pt idx="62">
                        <c:v>8</c:v>
                      </c:pt>
                      <c:pt idx="63">
                        <c:v>8</c:v>
                      </c:pt>
                      <c:pt idx="64">
                        <c:v>8</c:v>
                      </c:pt>
                      <c:pt idx="65">
                        <c:v>8</c:v>
                      </c:pt>
                      <c:pt idx="66">
                        <c:v>8</c:v>
                      </c:pt>
                      <c:pt idx="67">
                        <c:v>8</c:v>
                      </c:pt>
                      <c:pt idx="68">
                        <c:v>8</c:v>
                      </c:pt>
                      <c:pt idx="69">
                        <c:v>8</c:v>
                      </c:pt>
                      <c:pt idx="70">
                        <c:v>8</c:v>
                      </c:pt>
                      <c:pt idx="71">
                        <c:v>8</c:v>
                      </c:pt>
                      <c:pt idx="72">
                        <c:v>8</c:v>
                      </c:pt>
                      <c:pt idx="73">
                        <c:v>8</c:v>
                      </c:pt>
                      <c:pt idx="74">
                        <c:v>8</c:v>
                      </c:pt>
                      <c:pt idx="75">
                        <c:v>8</c:v>
                      </c:pt>
                      <c:pt idx="76">
                        <c:v>8</c:v>
                      </c:pt>
                      <c:pt idx="77">
                        <c:v>8</c:v>
                      </c:pt>
                      <c:pt idx="78">
                        <c:v>8</c:v>
                      </c:pt>
                      <c:pt idx="79">
                        <c:v>8</c:v>
                      </c:pt>
                      <c:pt idx="80">
                        <c:v>8</c:v>
                      </c:pt>
                      <c:pt idx="81">
                        <c:v>8</c:v>
                      </c:pt>
                      <c:pt idx="82">
                        <c:v>8</c:v>
                      </c:pt>
                      <c:pt idx="83">
                        <c:v>8</c:v>
                      </c:pt>
                      <c:pt idx="84">
                        <c:v>8</c:v>
                      </c:pt>
                      <c:pt idx="85">
                        <c:v>8</c:v>
                      </c:pt>
                      <c:pt idx="86">
                        <c:v>8</c:v>
                      </c:pt>
                      <c:pt idx="87">
                        <c:v>8</c:v>
                      </c:pt>
                      <c:pt idx="88">
                        <c:v>8</c:v>
                      </c:pt>
                      <c:pt idx="89">
                        <c:v>8</c:v>
                      </c:pt>
                      <c:pt idx="90">
                        <c:v>8</c:v>
                      </c:pt>
                      <c:pt idx="91">
                        <c:v>8</c:v>
                      </c:pt>
                      <c:pt idx="92">
                        <c:v>8</c:v>
                      </c:pt>
                      <c:pt idx="93">
                        <c:v>8</c:v>
                      </c:pt>
                      <c:pt idx="94">
                        <c:v>8</c:v>
                      </c:pt>
                      <c:pt idx="95">
                        <c:v>8</c:v>
                      </c:pt>
                      <c:pt idx="96">
                        <c:v>8</c:v>
                      </c:pt>
                      <c:pt idx="97">
                        <c:v>8</c:v>
                      </c:pt>
                      <c:pt idx="98">
                        <c:v>8</c:v>
                      </c:pt>
                      <c:pt idx="99">
                        <c:v>8</c:v>
                      </c:pt>
                      <c:pt idx="100">
                        <c:v>8</c:v>
                      </c:pt>
                      <c:pt idx="101">
                        <c:v>8</c:v>
                      </c:pt>
                      <c:pt idx="102">
                        <c:v>8</c:v>
                      </c:pt>
                      <c:pt idx="103">
                        <c:v>8</c:v>
                      </c:pt>
                      <c:pt idx="104">
                        <c:v>8</c:v>
                      </c:pt>
                      <c:pt idx="105">
                        <c:v>8</c:v>
                      </c:pt>
                      <c:pt idx="106">
                        <c:v>8</c:v>
                      </c:pt>
                      <c:pt idx="107">
                        <c:v>8</c:v>
                      </c:pt>
                      <c:pt idx="108">
                        <c:v>8</c:v>
                      </c:pt>
                      <c:pt idx="109">
                        <c:v>8</c:v>
                      </c:pt>
                      <c:pt idx="110">
                        <c:v>8</c:v>
                      </c:pt>
                      <c:pt idx="111">
                        <c:v>8</c:v>
                      </c:pt>
                      <c:pt idx="112">
                        <c:v>8</c:v>
                      </c:pt>
                      <c:pt idx="113">
                        <c:v>8</c:v>
                      </c:pt>
                      <c:pt idx="114">
                        <c:v>8</c:v>
                      </c:pt>
                      <c:pt idx="115">
                        <c:v>8</c:v>
                      </c:pt>
                      <c:pt idx="116">
                        <c:v>8</c:v>
                      </c:pt>
                      <c:pt idx="117">
                        <c:v>8</c:v>
                      </c:pt>
                      <c:pt idx="118">
                        <c:v>8</c:v>
                      </c:pt>
                      <c:pt idx="119">
                        <c:v>8</c:v>
                      </c:pt>
                      <c:pt idx="120">
                        <c:v>8</c:v>
                      </c:pt>
                      <c:pt idx="121">
                        <c:v>8</c:v>
                      </c:pt>
                      <c:pt idx="122">
                        <c:v>8</c:v>
                      </c:pt>
                      <c:pt idx="123">
                        <c:v>8</c:v>
                      </c:pt>
                      <c:pt idx="124">
                        <c:v>8</c:v>
                      </c:pt>
                      <c:pt idx="125">
                        <c:v>8</c:v>
                      </c:pt>
                      <c:pt idx="126">
                        <c:v>8</c:v>
                      </c:pt>
                      <c:pt idx="127">
                        <c:v>8</c:v>
                      </c:pt>
                      <c:pt idx="128">
                        <c:v>8</c:v>
                      </c:pt>
                      <c:pt idx="129">
                        <c:v>8</c:v>
                      </c:pt>
                      <c:pt idx="130">
                        <c:v>8</c:v>
                      </c:pt>
                      <c:pt idx="131">
                        <c:v>8</c:v>
                      </c:pt>
                      <c:pt idx="132">
                        <c:v>8</c:v>
                      </c:pt>
                      <c:pt idx="133">
                        <c:v>8</c:v>
                      </c:pt>
                      <c:pt idx="134">
                        <c:v>8</c:v>
                      </c:pt>
                      <c:pt idx="135">
                        <c:v>8</c:v>
                      </c:pt>
                      <c:pt idx="136">
                        <c:v>8</c:v>
                      </c:pt>
                      <c:pt idx="137">
                        <c:v>8</c:v>
                      </c:pt>
                      <c:pt idx="138">
                        <c:v>8</c:v>
                      </c:pt>
                      <c:pt idx="139">
                        <c:v>8</c:v>
                      </c:pt>
                      <c:pt idx="140">
                        <c:v>8</c:v>
                      </c:pt>
                      <c:pt idx="141">
                        <c:v>8</c:v>
                      </c:pt>
                      <c:pt idx="142">
                        <c:v>8</c:v>
                      </c:pt>
                      <c:pt idx="143">
                        <c:v>8</c:v>
                      </c:pt>
                      <c:pt idx="144">
                        <c:v>8</c:v>
                      </c:pt>
                      <c:pt idx="145">
                        <c:v>8</c:v>
                      </c:pt>
                      <c:pt idx="146">
                        <c:v>8</c:v>
                      </c:pt>
                      <c:pt idx="147">
                        <c:v>8</c:v>
                      </c:pt>
                      <c:pt idx="148">
                        <c:v>8</c:v>
                      </c:pt>
                      <c:pt idx="149">
                        <c:v>8</c:v>
                      </c:pt>
                      <c:pt idx="150">
                        <c:v>8</c:v>
                      </c:pt>
                      <c:pt idx="151">
                        <c:v>8</c:v>
                      </c:pt>
                      <c:pt idx="152">
                        <c:v>8</c:v>
                      </c:pt>
                      <c:pt idx="153">
                        <c:v>8</c:v>
                      </c:pt>
                      <c:pt idx="154">
                        <c:v>8</c:v>
                      </c:pt>
                      <c:pt idx="155">
                        <c:v>8</c:v>
                      </c:pt>
                      <c:pt idx="156">
                        <c:v>8</c:v>
                      </c:pt>
                      <c:pt idx="157">
                        <c:v>8</c:v>
                      </c:pt>
                      <c:pt idx="158">
                        <c:v>8</c:v>
                      </c:pt>
                      <c:pt idx="159">
                        <c:v>8</c:v>
                      </c:pt>
                      <c:pt idx="160">
                        <c:v>8</c:v>
                      </c:pt>
                      <c:pt idx="161">
                        <c:v>8</c:v>
                      </c:pt>
                      <c:pt idx="162">
                        <c:v>8</c:v>
                      </c:pt>
                      <c:pt idx="163">
                        <c:v>8</c:v>
                      </c:pt>
                      <c:pt idx="164">
                        <c:v>8</c:v>
                      </c:pt>
                      <c:pt idx="165">
                        <c:v>8</c:v>
                      </c:pt>
                      <c:pt idx="166">
                        <c:v>8</c:v>
                      </c:pt>
                      <c:pt idx="167">
                        <c:v>8</c:v>
                      </c:pt>
                      <c:pt idx="168">
                        <c:v>8</c:v>
                      </c:pt>
                      <c:pt idx="169">
                        <c:v>8</c:v>
                      </c:pt>
                      <c:pt idx="170">
                        <c:v>8</c:v>
                      </c:pt>
                      <c:pt idx="171">
                        <c:v>8</c:v>
                      </c:pt>
                      <c:pt idx="172">
                        <c:v>8</c:v>
                      </c:pt>
                      <c:pt idx="173">
                        <c:v>8</c:v>
                      </c:pt>
                      <c:pt idx="174">
                        <c:v>8</c:v>
                      </c:pt>
                      <c:pt idx="175">
                        <c:v>8</c:v>
                      </c:pt>
                      <c:pt idx="176">
                        <c:v>8</c:v>
                      </c:pt>
                      <c:pt idx="177">
                        <c:v>8</c:v>
                      </c:pt>
                      <c:pt idx="178">
                        <c:v>8</c:v>
                      </c:pt>
                      <c:pt idx="179">
                        <c:v>8</c:v>
                      </c:pt>
                      <c:pt idx="180">
                        <c:v>8</c:v>
                      </c:pt>
                      <c:pt idx="181">
                        <c:v>8</c:v>
                      </c:pt>
                      <c:pt idx="182">
                        <c:v>8</c:v>
                      </c:pt>
                      <c:pt idx="183">
                        <c:v>8</c:v>
                      </c:pt>
                      <c:pt idx="184">
                        <c:v>8</c:v>
                      </c:pt>
                      <c:pt idx="185">
                        <c:v>8</c:v>
                      </c:pt>
                      <c:pt idx="186">
                        <c:v>8</c:v>
                      </c:pt>
                      <c:pt idx="187">
                        <c:v>8</c:v>
                      </c:pt>
                      <c:pt idx="188">
                        <c:v>8</c:v>
                      </c:pt>
                      <c:pt idx="189">
                        <c:v>8</c:v>
                      </c:pt>
                      <c:pt idx="190">
                        <c:v>8</c:v>
                      </c:pt>
                      <c:pt idx="191">
                        <c:v>8</c:v>
                      </c:pt>
                      <c:pt idx="192">
                        <c:v>8</c:v>
                      </c:pt>
                      <c:pt idx="193">
                        <c:v>8</c:v>
                      </c:pt>
                      <c:pt idx="194">
                        <c:v>8</c:v>
                      </c:pt>
                      <c:pt idx="195">
                        <c:v>8</c:v>
                      </c:pt>
                      <c:pt idx="196">
                        <c:v>8</c:v>
                      </c:pt>
                      <c:pt idx="197">
                        <c:v>8</c:v>
                      </c:pt>
                      <c:pt idx="198">
                        <c:v>8</c:v>
                      </c:pt>
                      <c:pt idx="199">
                        <c:v>8</c:v>
                      </c:pt>
                      <c:pt idx="200">
                        <c:v>8</c:v>
                      </c:pt>
                      <c:pt idx="201">
                        <c:v>8</c:v>
                      </c:pt>
                      <c:pt idx="202">
                        <c:v>8</c:v>
                      </c:pt>
                      <c:pt idx="203">
                        <c:v>8</c:v>
                      </c:pt>
                      <c:pt idx="204">
                        <c:v>8</c:v>
                      </c:pt>
                      <c:pt idx="205">
                        <c:v>8</c:v>
                      </c:pt>
                      <c:pt idx="206">
                        <c:v>8</c:v>
                      </c:pt>
                      <c:pt idx="207">
                        <c:v>8</c:v>
                      </c:pt>
                      <c:pt idx="208">
                        <c:v>8</c:v>
                      </c:pt>
                      <c:pt idx="209">
                        <c:v>8</c:v>
                      </c:pt>
                      <c:pt idx="210">
                        <c:v>8</c:v>
                      </c:pt>
                      <c:pt idx="211">
                        <c:v>8</c:v>
                      </c:pt>
                      <c:pt idx="212">
                        <c:v>8</c:v>
                      </c:pt>
                      <c:pt idx="213">
                        <c:v>8</c:v>
                      </c:pt>
                      <c:pt idx="214">
                        <c:v>8</c:v>
                      </c:pt>
                      <c:pt idx="215">
                        <c:v>8</c:v>
                      </c:pt>
                      <c:pt idx="216">
                        <c:v>8</c:v>
                      </c:pt>
                      <c:pt idx="217">
                        <c:v>8</c:v>
                      </c:pt>
                      <c:pt idx="218">
                        <c:v>8</c:v>
                      </c:pt>
                      <c:pt idx="219">
                        <c:v>8</c:v>
                      </c:pt>
                      <c:pt idx="220">
                        <c:v>8</c:v>
                      </c:pt>
                      <c:pt idx="221">
                        <c:v>8</c:v>
                      </c:pt>
                      <c:pt idx="222">
                        <c:v>8</c:v>
                      </c:pt>
                      <c:pt idx="223">
                        <c:v>8</c:v>
                      </c:pt>
                      <c:pt idx="224">
                        <c:v>8</c:v>
                      </c:pt>
                      <c:pt idx="225">
                        <c:v>8</c:v>
                      </c:pt>
                      <c:pt idx="226">
                        <c:v>8</c:v>
                      </c:pt>
                      <c:pt idx="227">
                        <c:v>8</c:v>
                      </c:pt>
                      <c:pt idx="228">
                        <c:v>8</c:v>
                      </c:pt>
                      <c:pt idx="229">
                        <c:v>8</c:v>
                      </c:pt>
                      <c:pt idx="230">
                        <c:v>8</c:v>
                      </c:pt>
                      <c:pt idx="231">
                        <c:v>8</c:v>
                      </c:pt>
                      <c:pt idx="232">
                        <c:v>8</c:v>
                      </c:pt>
                      <c:pt idx="233">
                        <c:v>8</c:v>
                      </c:pt>
                      <c:pt idx="234">
                        <c:v>8</c:v>
                      </c:pt>
                      <c:pt idx="235">
                        <c:v>8</c:v>
                      </c:pt>
                      <c:pt idx="236">
                        <c:v>8</c:v>
                      </c:pt>
                      <c:pt idx="237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92D-4057-B674-50A82F31B8AB}"/>
                  </c:ext>
                </c:extLst>
              </c15:ser>
            </c15:filteredLineSeries>
          </c:ext>
        </c:extLst>
      </c:lineChart>
      <c:dateAx>
        <c:axId val="279852912"/>
        <c:scaling>
          <c:orientation val="minMax"/>
          <c:min val="44896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46256"/>
        <c:crosses val="autoZero"/>
        <c:auto val="0"/>
        <c:lblOffset val="100"/>
        <c:baseTimeUnit val="days"/>
        <c:majorUnit val="1"/>
        <c:majorTimeUnit val="months"/>
        <c:minorUnit val="1"/>
        <c:minorTimeUnit val="months"/>
      </c:dateAx>
      <c:valAx>
        <c:axId val="279846256"/>
        <c:scaling>
          <c:orientation val="minMax"/>
          <c:max val="120"/>
          <c:min val="-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/>
                  <a:t>EFP Premium/ DIscount (cents)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52912"/>
        <c:crosses val="autoZero"/>
        <c:crossBetween val="between"/>
        <c:majorUnit val="10"/>
        <c:min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466070357185658"/>
          <c:y val="0.30612653698920322"/>
          <c:w val="0.43224880046499892"/>
          <c:h val="0.16831788118074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702</xdr:row>
      <xdr:rowOff>81606</xdr:rowOff>
    </xdr:from>
    <xdr:to>
      <xdr:col>17</xdr:col>
      <xdr:colOff>677089</xdr:colOff>
      <xdr:row>748</xdr:row>
      <xdr:rowOff>121695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D69CE12-E419-4488-8D07-ACC4D7883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217714</xdr:colOff>
      <xdr:row>788</xdr:row>
      <xdr:rowOff>58078</xdr:rowOff>
    </xdr:from>
    <xdr:to>
      <xdr:col>21</xdr:col>
      <xdr:colOff>1023358</xdr:colOff>
      <xdr:row>823</xdr:row>
      <xdr:rowOff>189047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BB46B3-AA15-4570-8332-5F7D8E6C4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148296</xdr:colOff>
      <xdr:row>702</xdr:row>
      <xdr:rowOff>179842</xdr:rowOff>
    </xdr:from>
    <xdr:to>
      <xdr:col>36</xdr:col>
      <xdr:colOff>724124</xdr:colOff>
      <xdr:row>748</xdr:row>
      <xdr:rowOff>170565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459BAC-BE79-4DCF-8929-A98218163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749</xdr:row>
      <xdr:rowOff>50273</xdr:rowOff>
    </xdr:from>
    <xdr:to>
      <xdr:col>18</xdr:col>
      <xdr:colOff>8660</xdr:colOff>
      <xdr:row>787</xdr:row>
      <xdr:rowOff>102228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52CCA4-E028-448E-98BB-5B4EB6593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251051</xdr:colOff>
      <xdr:row>749</xdr:row>
      <xdr:rowOff>42742</xdr:rowOff>
    </xdr:from>
    <xdr:to>
      <xdr:col>36</xdr:col>
      <xdr:colOff>616897</xdr:colOff>
      <xdr:row>787</xdr:row>
      <xdr:rowOff>77378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C31BBC-F9A9-40BD-9DC9-00700BEF7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0893-C974-4DBC-9E9F-04A4DC83F88D}">
  <sheetPr codeName="Sheet1"/>
  <dimension ref="A1:AQ719"/>
  <sheetViews>
    <sheetView showGridLines="0" tabSelected="1" zoomScale="55" zoomScaleNormal="55" workbookViewId="0">
      <pane ySplit="1" topLeftCell="A631" activePane="bottomLeft" state="frozen"/>
      <selection pane="bottomLeft" activeCell="D653" sqref="D653"/>
    </sheetView>
  </sheetViews>
  <sheetFormatPr defaultRowHeight="15" x14ac:dyDescent="0.2"/>
  <cols>
    <col min="1" max="1" width="13.71875" style="22" bestFit="1" customWidth="1"/>
    <col min="2" max="2" width="13.71875" bestFit="1" customWidth="1"/>
    <col min="3" max="3" width="9.953125" bestFit="1" customWidth="1"/>
    <col min="4" max="4" width="20.71484375" bestFit="1" customWidth="1"/>
    <col min="5" max="5" width="19.1015625" customWidth="1"/>
    <col min="6" max="6" width="17.75390625" style="12" customWidth="1"/>
    <col min="7" max="7" width="21.65625" bestFit="1" customWidth="1"/>
    <col min="8" max="8" width="13.71875" style="12" customWidth="1"/>
    <col min="9" max="9" width="22.1953125" bestFit="1" customWidth="1"/>
    <col min="10" max="12" width="7.93359375" bestFit="1" customWidth="1"/>
    <col min="13" max="13" width="18.0234375" bestFit="1" customWidth="1"/>
    <col min="14" max="14" width="15.33203125" customWidth="1"/>
    <col min="15" max="15" width="13.71875" bestFit="1" customWidth="1"/>
    <col min="16" max="16" width="7.93359375" bestFit="1" customWidth="1"/>
    <col min="17" max="17" width="14.9296875" bestFit="1" customWidth="1"/>
    <col min="18" max="18" width="11.56640625" bestFit="1" customWidth="1"/>
    <col min="19" max="19" width="10.0859375" style="12" bestFit="1" customWidth="1"/>
    <col min="20" max="20" width="21.65625" bestFit="1" customWidth="1"/>
    <col min="21" max="21" width="14.125" style="12" customWidth="1"/>
    <col min="22" max="22" width="22.1953125" bestFit="1" customWidth="1"/>
    <col min="23" max="25" width="22.1953125" style="15" customWidth="1"/>
    <col min="26" max="26" width="17.484375" bestFit="1" customWidth="1"/>
    <col min="31" max="31" width="17.21875" customWidth="1"/>
    <col min="32" max="32" width="14.125" style="15" bestFit="1" customWidth="1"/>
    <col min="33" max="33" width="18.83203125" bestFit="1" customWidth="1"/>
    <col min="34" max="34" width="18.83203125" style="15" customWidth="1"/>
    <col min="35" max="35" width="11.02734375" customWidth="1"/>
    <col min="36" max="36" width="7.93359375" style="15" customWidth="1"/>
    <col min="37" max="37" width="22.46484375" customWidth="1"/>
    <col min="39" max="39" width="13.71875" bestFit="1" customWidth="1"/>
    <col min="40" max="40" width="11.56640625" bestFit="1" customWidth="1"/>
    <col min="41" max="41" width="22.1953125" bestFit="1" customWidth="1"/>
    <col min="42" max="42" width="15.33203125" bestFit="1" customWidth="1"/>
    <col min="43" max="43" width="11.56640625" bestFit="1" customWidth="1"/>
  </cols>
  <sheetData>
    <row r="1" spans="1:43" s="74" customFormat="1" ht="27.75" x14ac:dyDescent="0.2">
      <c r="A1" s="74" t="s">
        <v>1</v>
      </c>
      <c r="B1" s="74" t="s">
        <v>0</v>
      </c>
      <c r="C1" s="74" t="s">
        <v>2</v>
      </c>
      <c r="D1" s="74" t="s">
        <v>8</v>
      </c>
      <c r="E1" s="74" t="s">
        <v>9</v>
      </c>
      <c r="F1" s="74" t="s">
        <v>4</v>
      </c>
      <c r="G1" s="74" t="s">
        <v>13</v>
      </c>
      <c r="H1" s="74" t="s">
        <v>14</v>
      </c>
      <c r="I1" s="74" t="s">
        <v>19</v>
      </c>
      <c r="J1" s="74" t="s">
        <v>20</v>
      </c>
      <c r="K1" s="74" t="s">
        <v>21</v>
      </c>
      <c r="L1" s="74" t="s">
        <v>22</v>
      </c>
      <c r="N1" s="74" t="s">
        <v>1</v>
      </c>
      <c r="O1" s="74" t="s">
        <v>0</v>
      </c>
      <c r="P1" s="74" t="s">
        <v>2</v>
      </c>
      <c r="Q1" s="74" t="s">
        <v>5</v>
      </c>
      <c r="R1" s="74" t="s">
        <v>3</v>
      </c>
      <c r="S1" s="74" t="s">
        <v>4</v>
      </c>
      <c r="T1" s="74" t="s">
        <v>13</v>
      </c>
      <c r="U1" s="74" t="s">
        <v>14</v>
      </c>
      <c r="V1" s="74" t="s">
        <v>23</v>
      </c>
      <c r="W1" s="74" t="s">
        <v>24</v>
      </c>
      <c r="X1" s="74" t="s">
        <v>26</v>
      </c>
      <c r="Y1" s="74" t="s">
        <v>25</v>
      </c>
      <c r="Z1" s="74" t="s">
        <v>10</v>
      </c>
      <c r="AA1" s="74" t="s">
        <v>11</v>
      </c>
      <c r="AB1" s="74" t="s">
        <v>12</v>
      </c>
      <c r="AE1" s="74" t="s">
        <v>36</v>
      </c>
      <c r="AF1" s="74" t="s">
        <v>27</v>
      </c>
      <c r="AG1" s="74" t="s">
        <v>29</v>
      </c>
      <c r="AH1" s="74" t="s">
        <v>30</v>
      </c>
      <c r="AI1" s="75" t="s">
        <v>38</v>
      </c>
      <c r="AK1" s="74" t="s">
        <v>37</v>
      </c>
      <c r="AL1" s="74" t="s">
        <v>28</v>
      </c>
      <c r="AM1" s="74" t="s">
        <v>31</v>
      </c>
      <c r="AN1" s="74" t="s">
        <v>35</v>
      </c>
      <c r="AO1" s="74" t="s">
        <v>33</v>
      </c>
      <c r="AP1" s="74" t="s">
        <v>34</v>
      </c>
      <c r="AQ1" s="74" t="s">
        <v>32</v>
      </c>
    </row>
    <row r="2" spans="1:43" x14ac:dyDescent="0.2">
      <c r="A2"/>
      <c r="AE2" s="44"/>
      <c r="AG2" s="44"/>
      <c r="AH2" s="44"/>
    </row>
    <row r="3" spans="1:43" x14ac:dyDescent="0.2">
      <c r="A3"/>
      <c r="AE3" s="44"/>
      <c r="AG3" s="44"/>
      <c r="AH3" s="44"/>
    </row>
    <row r="4" spans="1:43" x14ac:dyDescent="0.2">
      <c r="A4" s="24">
        <v>44896</v>
      </c>
      <c r="B4" s="2" cm="1">
        <f t="array" ref="B4">_xll.BADDPERIODS(A4, "PER=WD", "NUMBEROFPERIODS=2", "BUSDAYADJ=-2", "CDR=GQ", "CDR=P9")</f>
        <v>44900</v>
      </c>
      <c r="C4" cm="1">
        <f t="array" ref="C4">_xll.BDH("XAU Curncy","PX_LAST",A4,A4)</f>
        <v>1803.1</v>
      </c>
      <c r="D4" t="str" cm="1">
        <f t="array" ref="D4">_xll.BDP("GCG23 Comdty",$M$32)</f>
        <v>01/02/2023</v>
      </c>
      <c r="E4">
        <f t="shared" ref="E4:E23" si="0">_xlfn.DAYS(D4,B4)</f>
        <v>58</v>
      </c>
      <c r="F4" s="14">
        <v>4.6199999999999998E-2</v>
      </c>
      <c r="G4" s="3">
        <f t="shared" ref="G4:G23" si="1">C4*(E4/360)*F4</f>
        <v>13.421074333333333</v>
      </c>
      <c r="H4" s="12">
        <v>13.95</v>
      </c>
      <c r="I4" s="5">
        <f t="shared" ref="I4:I23" si="2">H4-G4</f>
        <v>0.52892566666666596</v>
      </c>
      <c r="J4">
        <v>4</v>
      </c>
      <c r="K4">
        <v>6</v>
      </c>
      <c r="L4">
        <v>8</v>
      </c>
      <c r="AE4" s="44"/>
      <c r="AG4" s="44"/>
      <c r="AH4" s="44"/>
    </row>
    <row r="5" spans="1:43" x14ac:dyDescent="0.2">
      <c r="A5" s="24">
        <v>44897</v>
      </c>
      <c r="B5" s="2" cm="1">
        <f t="array" ref="B5">_xll.BADDPERIODS(A5, "PER=WD", "NUMBEROFPERIODS=2", "BUSDAYADJ=-2", "CDR=GQ", "CDR=P9")</f>
        <v>44901</v>
      </c>
      <c r="C5" cm="1">
        <f t="array" ref="C5">_xll.BDH("XAU Curncy","PX_LAST",A5,A5)</f>
        <v>1797.63</v>
      </c>
      <c r="D5" s="15" t="str" cm="1">
        <f t="array" ref="D5">_xll.BDP("GCG23 Comdty",$M$32)</f>
        <v>01/02/2023</v>
      </c>
      <c r="E5">
        <f t="shared" si="0"/>
        <v>57</v>
      </c>
      <c r="F5" s="14">
        <v>4.5999999999999999E-2</v>
      </c>
      <c r="G5" s="3">
        <f t="shared" si="1"/>
        <v>13.092738499999999</v>
      </c>
      <c r="H5" s="12">
        <v>13.75</v>
      </c>
      <c r="I5" s="5">
        <f t="shared" si="2"/>
        <v>0.65726150000000061</v>
      </c>
      <c r="J5">
        <v>4</v>
      </c>
      <c r="K5">
        <v>6</v>
      </c>
      <c r="L5">
        <v>8</v>
      </c>
      <c r="AE5" s="44"/>
      <c r="AG5" s="44"/>
      <c r="AH5" s="44"/>
    </row>
    <row r="6" spans="1:43" x14ac:dyDescent="0.2">
      <c r="A6" s="24">
        <v>44900</v>
      </c>
      <c r="B6" s="2" cm="1">
        <f t="array" ref="B6">_xll.BADDPERIODS(A6, "PER=WD", "NUMBEROFPERIODS=2", "BUSDAYADJ=-2", "CDR=GQ", "CDR=P9")</f>
        <v>44902</v>
      </c>
      <c r="C6" cm="1">
        <f t="array" ref="C6">_xll.BDH("XAU Curncy","PX_LAST",A6,A6)</f>
        <v>1768.68</v>
      </c>
      <c r="D6" s="15" t="str" cm="1">
        <f t="array" ref="D6">_xll.BDP("GCG23 Comdty",$M$32)</f>
        <v>01/02/2023</v>
      </c>
      <c r="E6">
        <f t="shared" si="0"/>
        <v>56</v>
      </c>
      <c r="F6" s="14">
        <v>4.6300000000000001E-2</v>
      </c>
      <c r="G6" s="3">
        <f t="shared" si="1"/>
        <v>12.7384264</v>
      </c>
      <c r="H6" s="12">
        <v>12.8</v>
      </c>
      <c r="I6" s="5">
        <f t="shared" si="2"/>
        <v>6.1573600000000894E-2</v>
      </c>
      <c r="J6">
        <v>4</v>
      </c>
      <c r="K6">
        <v>6</v>
      </c>
      <c r="L6">
        <v>8</v>
      </c>
      <c r="AE6" s="44"/>
      <c r="AG6" s="44"/>
      <c r="AH6" s="44"/>
    </row>
    <row r="7" spans="1:43" x14ac:dyDescent="0.2">
      <c r="A7" s="24">
        <v>44901</v>
      </c>
      <c r="B7" s="2" cm="1">
        <f t="array" ref="B7">_xll.BADDPERIODS(A7, "PER=WD", "NUMBEROFPERIODS=2", "BUSDAYADJ=-2", "CDR=GQ", "CDR=P9")</f>
        <v>44903</v>
      </c>
      <c r="C7" cm="1">
        <f t="array" ref="C7">_xll.BDH("XAU Curncy","PX_LAST",A7,A7)</f>
        <v>1771.04</v>
      </c>
      <c r="D7" s="15" t="str" cm="1">
        <f t="array" ref="D7">_xll.BDP("GCG23 Comdty",$M$32)</f>
        <v>01/02/2023</v>
      </c>
      <c r="E7">
        <f t="shared" si="0"/>
        <v>55</v>
      </c>
      <c r="F7" s="14">
        <v>4.5999999999999999E-2</v>
      </c>
      <c r="G7" s="3">
        <f t="shared" si="1"/>
        <v>12.446475555555557</v>
      </c>
      <c r="H7" s="12">
        <v>11.9</v>
      </c>
      <c r="I7" s="5">
        <f t="shared" si="2"/>
        <v>-0.54647555555555627</v>
      </c>
      <c r="J7">
        <v>4</v>
      </c>
      <c r="K7">
        <v>6</v>
      </c>
      <c r="L7">
        <v>8</v>
      </c>
      <c r="AE7" s="44"/>
      <c r="AG7" s="44"/>
      <c r="AH7" s="44"/>
    </row>
    <row r="8" spans="1:43" x14ac:dyDescent="0.2">
      <c r="A8" s="24">
        <v>44902</v>
      </c>
      <c r="B8" s="2" cm="1">
        <f t="array" ref="B8">_xll.BADDPERIODS(A8, "PER=WD", "NUMBEROFPERIODS=2", "BUSDAYADJ=-2", "CDR=GQ", "CDR=P9")</f>
        <v>44904</v>
      </c>
      <c r="C8" cm="1">
        <f t="array" ref="C8">_xll.BDH("XAU Curncy","PX_LAST",A8,A8)</f>
        <v>1786.27</v>
      </c>
      <c r="D8" s="15" t="str" cm="1">
        <f t="array" ref="D8">_xll.BDP("GCG23 Comdty",$M$32)</f>
        <v>01/02/2023</v>
      </c>
      <c r="E8">
        <f t="shared" si="0"/>
        <v>54</v>
      </c>
      <c r="F8" s="14">
        <v>4.5999999999999999E-2</v>
      </c>
      <c r="G8" s="3">
        <f t="shared" si="1"/>
        <v>12.325263</v>
      </c>
      <c r="H8" s="12">
        <v>12.25</v>
      </c>
      <c r="I8" s="5">
        <f t="shared" si="2"/>
        <v>-7.5262999999999636E-2</v>
      </c>
      <c r="J8">
        <v>4</v>
      </c>
      <c r="K8">
        <v>6</v>
      </c>
      <c r="L8">
        <v>8</v>
      </c>
      <c r="AE8" s="44"/>
      <c r="AG8" s="44"/>
      <c r="AH8" s="44"/>
    </row>
    <row r="9" spans="1:43" x14ac:dyDescent="0.2">
      <c r="A9" s="24">
        <v>44903</v>
      </c>
      <c r="B9" s="2" cm="1">
        <f t="array" ref="B9">_xll.BADDPERIODS(A9, "PER=WD", "NUMBEROFPERIODS=2", "BUSDAYADJ=-2", "CDR=GQ", "CDR=P9")</f>
        <v>44907</v>
      </c>
      <c r="C9" cm="1">
        <f t="array" ref="C9">_xll.BDH("XAU Curncy","PX_LAST",A9,A9)</f>
        <v>1789.14</v>
      </c>
      <c r="D9" s="15" t="str" cm="1">
        <f t="array" ref="D9">_xll.BDP("GCG23 Comdty",$M$32)</f>
        <v>01/02/2023</v>
      </c>
      <c r="E9">
        <f t="shared" si="0"/>
        <v>51</v>
      </c>
      <c r="F9" s="14">
        <v>4.6399999999999997E-2</v>
      </c>
      <c r="G9" s="3">
        <f t="shared" si="1"/>
        <v>11.760613599999999</v>
      </c>
      <c r="H9" s="12">
        <v>12</v>
      </c>
      <c r="I9" s="5">
        <f t="shared" si="2"/>
        <v>0.23938640000000078</v>
      </c>
      <c r="J9">
        <v>4</v>
      </c>
      <c r="K9">
        <v>6</v>
      </c>
      <c r="L9">
        <v>8</v>
      </c>
      <c r="AE9" s="44"/>
      <c r="AG9" s="44"/>
      <c r="AH9" s="44"/>
    </row>
    <row r="10" spans="1:43" x14ac:dyDescent="0.2">
      <c r="A10" s="24">
        <v>44904</v>
      </c>
      <c r="B10" s="2" cm="1">
        <f t="array" ref="B10">_xll.BADDPERIODS(A10, "PER=WD", "NUMBEROFPERIODS=2", "BUSDAYADJ=-2", "CDR=GQ", "CDR=P9")</f>
        <v>44908</v>
      </c>
      <c r="C10" cm="1">
        <f t="array" ref="C10">_xll.BDH("XAU Curncy","PX_LAST",A10,A10)</f>
        <v>1797.32</v>
      </c>
      <c r="D10" s="15" t="str" cm="1">
        <f t="array" ref="D10">_xll.BDP("GCG23 Comdty",$M$32)</f>
        <v>01/02/2023</v>
      </c>
      <c r="E10">
        <f t="shared" si="0"/>
        <v>50</v>
      </c>
      <c r="F10" s="14">
        <v>4.65E-2</v>
      </c>
      <c r="G10" s="3">
        <f t="shared" si="1"/>
        <v>11.607691666666668</v>
      </c>
      <c r="H10" s="12">
        <v>11.8</v>
      </c>
      <c r="I10" s="5">
        <f t="shared" si="2"/>
        <v>0.19230833333333308</v>
      </c>
      <c r="J10">
        <v>4</v>
      </c>
      <c r="K10">
        <v>6</v>
      </c>
      <c r="L10">
        <v>8</v>
      </c>
      <c r="AE10" s="44"/>
      <c r="AG10" s="44"/>
      <c r="AH10" s="44"/>
    </row>
    <row r="11" spans="1:43" x14ac:dyDescent="0.2">
      <c r="A11" s="24">
        <v>44907</v>
      </c>
      <c r="B11" s="2" cm="1">
        <f t="array" ref="B11">_xll.BADDPERIODS(A11, "PER=WD", "NUMBEROFPERIODS=2", "BUSDAYADJ=-2", "CDR=GQ", "CDR=P9")</f>
        <v>44909</v>
      </c>
      <c r="C11" cm="1">
        <f t="array" ref="C11">_xll.BDH("XAU Curncy","PX_LAST",A11,A11)</f>
        <v>1781.44</v>
      </c>
      <c r="D11" s="15" t="str" cm="1">
        <f t="array" ref="D11">_xll.BDP("GCG23 Comdty",$M$32)</f>
        <v>01/02/2023</v>
      </c>
      <c r="E11">
        <f t="shared" si="0"/>
        <v>49</v>
      </c>
      <c r="F11" s="14">
        <v>4.6800000000000001E-2</v>
      </c>
      <c r="G11" s="3">
        <f t="shared" si="1"/>
        <v>11.3477728</v>
      </c>
      <c r="H11" s="12">
        <v>11.4</v>
      </c>
      <c r="I11" s="5">
        <f t="shared" si="2"/>
        <v>5.2227200000000806E-2</v>
      </c>
      <c r="J11">
        <v>4</v>
      </c>
      <c r="K11">
        <v>6</v>
      </c>
      <c r="L11">
        <v>8</v>
      </c>
      <c r="AE11" s="44"/>
      <c r="AG11" s="44"/>
      <c r="AH11" s="44"/>
    </row>
    <row r="12" spans="1:43" x14ac:dyDescent="0.2">
      <c r="A12" s="24">
        <v>44908</v>
      </c>
      <c r="B12" s="2" cm="1">
        <f t="array" ref="B12">_xll.BADDPERIODS(A12, "PER=WD", "NUMBEROFPERIODS=2", "BUSDAYADJ=-2", "CDR=GQ", "CDR=P9")</f>
        <v>44910</v>
      </c>
      <c r="C12" cm="1">
        <f t="array" ref="C12">_xll.BDH("XAU Curncy","PX_LAST",A12,A12)</f>
        <v>1810.8</v>
      </c>
      <c r="D12" s="15" t="str" cm="1">
        <f t="array" ref="D12">_xll.BDP("GCG23 Comdty",$M$32)</f>
        <v>01/02/2023</v>
      </c>
      <c r="E12">
        <f t="shared" si="0"/>
        <v>48</v>
      </c>
      <c r="F12" s="14">
        <v>4.6800000000000001E-2</v>
      </c>
      <c r="G12" s="3">
        <f t="shared" si="1"/>
        <v>11.299392000000001</v>
      </c>
      <c r="H12" s="12">
        <v>11.4</v>
      </c>
      <c r="I12" s="5">
        <f t="shared" si="2"/>
        <v>0.10060799999999936</v>
      </c>
      <c r="J12">
        <v>4</v>
      </c>
      <c r="K12">
        <v>6</v>
      </c>
      <c r="L12">
        <v>8</v>
      </c>
      <c r="AE12" s="44"/>
      <c r="AG12" s="44"/>
      <c r="AH12" s="44"/>
    </row>
    <row r="13" spans="1:43" x14ac:dyDescent="0.2">
      <c r="A13" s="24">
        <v>44909</v>
      </c>
      <c r="B13" s="2" cm="1">
        <f t="array" ref="B13">_xll.BADDPERIODS(A13, "PER=WD", "NUMBEROFPERIODS=2", "BUSDAYADJ=-2", "CDR=GQ", "CDR=P9")</f>
        <v>44911</v>
      </c>
      <c r="C13" cm="1">
        <f t="array" ref="C13">_xll.BDH("XAU Curncy","PX_LAST",A13,A13)</f>
        <v>1807.32</v>
      </c>
      <c r="D13" s="15" t="str" cm="1">
        <f t="array" ref="D13">_xll.BDP("GCG23 Comdty",$M$32)</f>
        <v>01/02/2023</v>
      </c>
      <c r="E13">
        <f t="shared" si="0"/>
        <v>47</v>
      </c>
      <c r="F13" s="14">
        <v>4.6699999999999998E-2</v>
      </c>
      <c r="G13" s="3">
        <f t="shared" si="1"/>
        <v>11.019129633333334</v>
      </c>
      <c r="H13" s="12">
        <v>10.5</v>
      </c>
      <c r="I13" s="5">
        <f t="shared" si="2"/>
        <v>-0.51912963333333373</v>
      </c>
      <c r="J13">
        <v>4</v>
      </c>
      <c r="K13">
        <v>6</v>
      </c>
      <c r="L13">
        <v>8</v>
      </c>
      <c r="AE13" s="44"/>
      <c r="AG13" s="44"/>
      <c r="AH13" s="44"/>
    </row>
    <row r="14" spans="1:43" x14ac:dyDescent="0.2">
      <c r="A14" s="24">
        <v>44910</v>
      </c>
      <c r="B14" s="2" cm="1">
        <f t="array" ref="B14">_xll.BADDPERIODS(A14, "PER=WD", "NUMBEROFPERIODS=2", "BUSDAYADJ=-2", "CDR=GQ", "CDR=P9")</f>
        <v>44914</v>
      </c>
      <c r="C14" cm="1">
        <f t="array" ref="C14">_xll.BDH("XAU Curncy","PX_LAST",A14,A14)</f>
        <v>1776.85</v>
      </c>
      <c r="D14" s="15" t="str" cm="1">
        <f t="array" ref="D14">_xll.BDP("GCG23 Comdty",$M$32)</f>
        <v>01/02/2023</v>
      </c>
      <c r="E14">
        <f t="shared" si="0"/>
        <v>44</v>
      </c>
      <c r="F14" s="14">
        <v>4.6600000000000003E-2</v>
      </c>
      <c r="G14" s="3">
        <f t="shared" si="1"/>
        <v>10.120147888888887</v>
      </c>
      <c r="H14" s="12">
        <v>10</v>
      </c>
      <c r="I14" s="5">
        <f t="shared" si="2"/>
        <v>-0.12014788888888717</v>
      </c>
      <c r="J14">
        <v>4</v>
      </c>
      <c r="K14">
        <v>6</v>
      </c>
      <c r="L14">
        <v>8</v>
      </c>
      <c r="AE14" s="44"/>
      <c r="AG14" s="44"/>
      <c r="AH14" s="44"/>
    </row>
    <row r="15" spans="1:43" x14ac:dyDescent="0.2">
      <c r="A15" s="24">
        <v>44911</v>
      </c>
      <c r="B15" s="2" cm="1">
        <f t="array" ref="B15">_xll.BADDPERIODS(A15, "PER=WD", "NUMBEROFPERIODS=2", "BUSDAYADJ=-2", "CDR=GQ", "CDR=P9")</f>
        <v>44915</v>
      </c>
      <c r="C15" cm="1">
        <f t="array" ref="C15">_xll.BDH("XAU Curncy","PX_LAST",A15,A15)</f>
        <v>1793.08</v>
      </c>
      <c r="D15" s="15" t="str" cm="1">
        <f t="array" ref="D15">_xll.BDP("GCG23 Comdty",$M$32)</f>
        <v>01/02/2023</v>
      </c>
      <c r="E15">
        <f t="shared" si="0"/>
        <v>43</v>
      </c>
      <c r="F15" s="14">
        <v>4.65E-2</v>
      </c>
      <c r="G15" s="3">
        <f t="shared" si="1"/>
        <v>9.959065166666667</v>
      </c>
      <c r="H15" s="12">
        <v>9.75</v>
      </c>
      <c r="I15" s="5">
        <f t="shared" si="2"/>
        <v>-0.20906516666666697</v>
      </c>
      <c r="J15">
        <v>4</v>
      </c>
      <c r="K15">
        <v>6</v>
      </c>
      <c r="L15">
        <v>8</v>
      </c>
      <c r="AE15" s="44"/>
      <c r="AG15" s="44"/>
      <c r="AH15" s="44"/>
    </row>
    <row r="16" spans="1:43" x14ac:dyDescent="0.2">
      <c r="A16" s="24">
        <v>44914</v>
      </c>
      <c r="B16" s="2" cm="1">
        <f t="array" ref="B16">_xll.BADDPERIODS(A16, "PER=WD", "NUMBEROFPERIODS=2", "BUSDAYADJ=-2", "CDR=GQ", "CDR=P9")</f>
        <v>44916</v>
      </c>
      <c r="C16" cm="1">
        <f t="array" ref="C16">_xll.BDH("XAU Curncy","PX_LAST",A16,A16)</f>
        <v>1787.62</v>
      </c>
      <c r="D16" s="15" t="str" cm="1">
        <f t="array" ref="D16">_xll.BDP("GCG23 Comdty",$M$32)</f>
        <v>01/02/2023</v>
      </c>
      <c r="E16">
        <f t="shared" si="0"/>
        <v>42</v>
      </c>
      <c r="F16" s="14">
        <v>4.6300000000000001E-2</v>
      </c>
      <c r="G16" s="3">
        <f t="shared" si="1"/>
        <v>9.6561273666666665</v>
      </c>
      <c r="H16" s="12">
        <v>9.5500000000000007</v>
      </c>
      <c r="I16" s="5">
        <f t="shared" si="2"/>
        <v>-0.10612736666666578</v>
      </c>
      <c r="J16">
        <v>4</v>
      </c>
      <c r="K16">
        <v>6</v>
      </c>
      <c r="L16">
        <v>8</v>
      </c>
      <c r="AE16" s="44"/>
      <c r="AG16" s="44"/>
      <c r="AH16" s="44"/>
    </row>
    <row r="17" spans="1:43" x14ac:dyDescent="0.2">
      <c r="A17" s="24">
        <v>44915</v>
      </c>
      <c r="B17" s="2" cm="1">
        <f t="array" ref="B17">_xll.BADDPERIODS(A17, "PER=WD", "NUMBEROFPERIODS=2", "BUSDAYADJ=-2", "CDR=GQ", "CDR=P9")</f>
        <v>44917</v>
      </c>
      <c r="C17" cm="1">
        <f t="array" ref="C17">_xll.BDH("XAU Curncy","PX_LAST",A17,A17)</f>
        <v>1817.94</v>
      </c>
      <c r="D17" s="15" t="str" cm="1">
        <f t="array" ref="D17">_xll.BDP("GCG23 Comdty",$M$32)</f>
        <v>01/02/2023</v>
      </c>
      <c r="E17">
        <f t="shared" si="0"/>
        <v>41</v>
      </c>
      <c r="F17" s="14">
        <v>4.5600000000000002E-2</v>
      </c>
      <c r="G17" s="3">
        <f t="shared" si="1"/>
        <v>9.4411684000000005</v>
      </c>
      <c r="H17" s="12">
        <v>9.25</v>
      </c>
      <c r="I17" s="5">
        <f t="shared" si="2"/>
        <v>-0.19116840000000046</v>
      </c>
      <c r="J17">
        <v>4</v>
      </c>
      <c r="K17">
        <v>6</v>
      </c>
      <c r="L17">
        <v>8</v>
      </c>
      <c r="AE17" s="44"/>
      <c r="AG17" s="44">
        <f>100</f>
        <v>100</v>
      </c>
      <c r="AH17" s="44"/>
    </row>
    <row r="18" spans="1:43" x14ac:dyDescent="0.2">
      <c r="A18" s="24">
        <v>44916</v>
      </c>
      <c r="B18" s="2" cm="1">
        <f t="array" ref="B18">_xll.BADDPERIODS(A18, "PER=WD", "NUMBEROFPERIODS=2", "BUSDAYADJ=-2", "CDR=GQ", "CDR=P9")</f>
        <v>44918</v>
      </c>
      <c r="C18" cm="1">
        <f t="array" ref="C18">_xll.BDH("XAU Curncy","PX_LAST",A18,A18)</f>
        <v>1814.39</v>
      </c>
      <c r="D18" s="15" t="str" cm="1">
        <f t="array" ref="D18">_xll.BDP("GCG23 Comdty",$M$32)</f>
        <v>01/02/2023</v>
      </c>
      <c r="E18">
        <f t="shared" si="0"/>
        <v>40</v>
      </c>
      <c r="F18" s="14">
        <v>4.58E-2</v>
      </c>
      <c r="G18" s="3">
        <f t="shared" si="1"/>
        <v>9.2332291111111111</v>
      </c>
      <c r="H18" s="12">
        <v>9.5</v>
      </c>
      <c r="I18" s="5">
        <f t="shared" si="2"/>
        <v>0.26677088888888889</v>
      </c>
      <c r="J18">
        <v>4</v>
      </c>
      <c r="K18">
        <v>6</v>
      </c>
      <c r="L18">
        <v>8</v>
      </c>
      <c r="AE18" s="44"/>
      <c r="AG18" s="44"/>
      <c r="AH18" s="44"/>
    </row>
    <row r="19" spans="1:43" x14ac:dyDescent="0.2">
      <c r="A19" s="24">
        <v>44917</v>
      </c>
      <c r="B19" s="2" cm="1">
        <f t="array" ref="B19">_xll.BADDPERIODS(A19, "PER=WD", "NUMBEROFPERIODS=2", "BUSDAYADJ=-2", "CDR=GQ", "CDR=P9")</f>
        <v>44923</v>
      </c>
      <c r="C19" cm="1">
        <f t="array" ref="C19">_xll.BDH("XAU Curncy","PX_LAST",A19,A19)</f>
        <v>1792.52</v>
      </c>
      <c r="D19" s="15" t="str" cm="1">
        <f t="array" ref="D19">_xll.BDP("GCG23 Comdty",$M$32)</f>
        <v>01/02/2023</v>
      </c>
      <c r="E19">
        <f t="shared" si="0"/>
        <v>35</v>
      </c>
      <c r="F19" s="14">
        <v>4.4999999999999998E-2</v>
      </c>
      <c r="G19" s="3">
        <f t="shared" si="1"/>
        <v>7.8422749999999999</v>
      </c>
      <c r="H19" s="12">
        <v>8.5500000000000007</v>
      </c>
      <c r="I19" s="5">
        <f t="shared" si="2"/>
        <v>0.70772500000000083</v>
      </c>
      <c r="J19">
        <v>4</v>
      </c>
      <c r="K19">
        <v>6</v>
      </c>
      <c r="L19">
        <v>8</v>
      </c>
      <c r="AE19" s="44"/>
      <c r="AG19" s="44"/>
      <c r="AH19" s="44"/>
    </row>
    <row r="20" spans="1:43" x14ac:dyDescent="0.2">
      <c r="A20" s="24">
        <v>44918</v>
      </c>
      <c r="B20" s="2" cm="1">
        <f t="array" ref="B20">_xll.BADDPERIODS(A20, "PER=WD", "NUMBEROFPERIODS=2", "BUSDAYADJ=-2", "CDR=GQ", "CDR=P9")</f>
        <v>44924</v>
      </c>
      <c r="C20" cm="1">
        <f t="array" ref="C20">_xll.BDH("XAU Curncy","PX_LAST",A20,A20)</f>
        <v>1798.2</v>
      </c>
      <c r="D20" s="15" t="str" cm="1">
        <f t="array" ref="D20">_xll.BDP("GCG23 Comdty",$M$32)</f>
        <v>01/02/2023</v>
      </c>
      <c r="E20">
        <f t="shared" si="0"/>
        <v>34</v>
      </c>
      <c r="F20" s="14">
        <v>4.4999999999999998E-2</v>
      </c>
      <c r="G20" s="3">
        <f t="shared" si="1"/>
        <v>7.6423500000000004</v>
      </c>
      <c r="H20" s="12">
        <v>8</v>
      </c>
      <c r="I20" s="5">
        <f t="shared" si="2"/>
        <v>0.35764999999999958</v>
      </c>
      <c r="J20">
        <v>4</v>
      </c>
      <c r="K20">
        <v>6</v>
      </c>
      <c r="L20">
        <v>8</v>
      </c>
      <c r="AE20" s="44"/>
      <c r="AG20" s="44"/>
      <c r="AH20" s="44"/>
    </row>
    <row r="21" spans="1:43" x14ac:dyDescent="0.2">
      <c r="A21" s="24">
        <v>44923</v>
      </c>
      <c r="B21" s="2" cm="1">
        <f t="array" ref="B21">_xll.BADDPERIODS(A21, "PER=WD", "NUMBEROFPERIODS=2", "BUSDAYADJ=-2", "CDR=GQ", "CDR=P9")</f>
        <v>44925</v>
      </c>
      <c r="C21" cm="1">
        <f t="array" ref="C21">_xll.BDH("XAU Curncy","PX_LAST",A21,A21)</f>
        <v>1804.35</v>
      </c>
      <c r="D21" s="15" t="str" cm="1">
        <f t="array" ref="D21">_xll.BDP("GCG23 Comdty",$M$32)</f>
        <v>01/02/2023</v>
      </c>
      <c r="E21">
        <f t="shared" si="0"/>
        <v>33</v>
      </c>
      <c r="F21" s="14">
        <v>4.4499999999999998E-2</v>
      </c>
      <c r="G21" s="3">
        <f t="shared" si="1"/>
        <v>7.3602443749999988</v>
      </c>
      <c r="H21" s="12">
        <v>7.1</v>
      </c>
      <c r="I21" s="5">
        <f t="shared" si="2"/>
        <v>-0.2602443749999992</v>
      </c>
      <c r="J21">
        <v>4</v>
      </c>
      <c r="K21">
        <v>6</v>
      </c>
      <c r="L21">
        <v>8</v>
      </c>
      <c r="AE21" s="44"/>
      <c r="AG21" s="44"/>
      <c r="AH21" s="44"/>
    </row>
    <row r="22" spans="1:43" x14ac:dyDescent="0.2">
      <c r="A22" s="24">
        <v>44924</v>
      </c>
      <c r="B22" s="2" cm="1">
        <f t="array" ref="B22">_xll.BADDPERIODS(A22, "PER=WD", "NUMBEROFPERIODS=2", "BUSDAYADJ=-2", "CDR=GQ", "CDR=P9")</f>
        <v>44929</v>
      </c>
      <c r="C22" cm="1">
        <f t="array" ref="C22">_xll.BDH("XAU Curncy","PX_LAST",A22,A22)</f>
        <v>1814.91</v>
      </c>
      <c r="D22" s="15" t="str" cm="1">
        <f t="array" ref="D22">_xll.BDP("GCG23 Comdty",$M$32)</f>
        <v>01/02/2023</v>
      </c>
      <c r="E22">
        <f t="shared" si="0"/>
        <v>29</v>
      </c>
      <c r="F22" s="14">
        <v>4.3999999999999997E-2</v>
      </c>
      <c r="G22" s="3">
        <f t="shared" si="1"/>
        <v>6.4328476666666665</v>
      </c>
      <c r="H22" s="12">
        <v>6.6</v>
      </c>
      <c r="I22" s="5">
        <f t="shared" si="2"/>
        <v>0.16715233333333313</v>
      </c>
      <c r="J22">
        <v>4</v>
      </c>
      <c r="K22">
        <v>6</v>
      </c>
      <c r="L22">
        <v>8</v>
      </c>
      <c r="AE22" s="44"/>
      <c r="AG22" s="44"/>
      <c r="AH22" s="44"/>
    </row>
    <row r="23" spans="1:43" x14ac:dyDescent="0.2">
      <c r="A23" s="24">
        <v>44925</v>
      </c>
      <c r="B23" s="2" cm="1">
        <f t="array" ref="B23">_xll.BADDPERIODS(A23, "PER=WD", "NUMBEROFPERIODS=2", "BUSDAYADJ=-2", "CDR=GQ", "CDR=P9")</f>
        <v>44930</v>
      </c>
      <c r="C23" cm="1">
        <f t="array" ref="C23">_xll.BDH("XAU Curncy","PX_LAST",A23,A23)</f>
        <v>1824.02</v>
      </c>
      <c r="D23" s="15" t="str" cm="1">
        <f t="array" ref="D23">_xll.BDP("GCG23 Comdty",$M$32)</f>
        <v>01/02/2023</v>
      </c>
      <c r="E23">
        <f t="shared" si="0"/>
        <v>28</v>
      </c>
      <c r="F23" s="14">
        <v>4.3999999999999997E-2</v>
      </c>
      <c r="G23" s="3">
        <f t="shared" si="1"/>
        <v>6.242201777777777</v>
      </c>
      <c r="H23" s="12">
        <v>6.3</v>
      </c>
      <c r="I23" s="5">
        <f t="shared" si="2"/>
        <v>5.7798222222222861E-2</v>
      </c>
      <c r="J23">
        <v>4</v>
      </c>
      <c r="K23">
        <v>6</v>
      </c>
      <c r="L23">
        <v>8</v>
      </c>
      <c r="AE23" s="44"/>
      <c r="AG23" s="44"/>
      <c r="AH23" s="44"/>
    </row>
    <row r="24" spans="1:43" x14ac:dyDescent="0.2">
      <c r="A24" s="24">
        <v>44929</v>
      </c>
      <c r="B24" s="2" cm="1">
        <f t="array" ref="B24">_xll.BADDPERIODS(A24, "PER=WD", "NUMBEROFPERIODS=2", "BUSDAYADJ=-2", "CDR=GQ", "CDR=P9")</f>
        <v>44931</v>
      </c>
      <c r="C24" cm="1">
        <f t="array" ref="C24">_xll.BDH("XAU Curncy","PX_LAST",A24,A24)</f>
        <v>1839.48</v>
      </c>
      <c r="D24" s="15" t="str" cm="1">
        <f t="array" ref="D24">_xll.BDP("GCG23 Comdty",$M$32)</f>
        <v>01/02/2023</v>
      </c>
      <c r="E24">
        <f t="shared" ref="E24:E29" si="3">_xlfn.DAYS(D24,B24)</f>
        <v>27</v>
      </c>
      <c r="F24" s="14">
        <v>4.3999999999999997E-2</v>
      </c>
      <c r="G24" s="3">
        <f t="shared" ref="G24:G29" si="4">C24*(E24/360)*F24</f>
        <v>6.0702839999999991</v>
      </c>
      <c r="H24" s="12">
        <v>6.1</v>
      </c>
      <c r="I24" s="5">
        <f t="shared" ref="I24:I29" si="5">H24-G24</f>
        <v>2.971600000000052E-2</v>
      </c>
      <c r="J24">
        <v>4</v>
      </c>
      <c r="K24">
        <v>6</v>
      </c>
      <c r="L24">
        <v>8</v>
      </c>
      <c r="N24" s="1">
        <v>44929</v>
      </c>
      <c r="O24" s="2" cm="1">
        <f t="array" ref="O24">_xll.BADDPERIODS(N24, "PER=WD", "NUMBEROFPERIODS=2", "BUSDAYADJ=-2", "CDR=GQ", "CDR=P9")</f>
        <v>44931</v>
      </c>
      <c r="P24" cm="1">
        <f t="array" ref="P24">_xll.BDH("XAG Curncy","PX_LAST",N24,N24)</f>
        <v>24.007200000000001</v>
      </c>
      <c r="Q24" t="str" cm="1">
        <f t="array" ref="Q24">_xll.BDP("SIH23 Comdty",$M$32)</f>
        <v>01/03/2023</v>
      </c>
      <c r="R24">
        <f t="shared" ref="R24:R29" si="6">_xlfn.DAYS(Q24,O24)</f>
        <v>55</v>
      </c>
      <c r="S24" s="13">
        <v>4.2500000000000003E-2</v>
      </c>
      <c r="T24" s="11">
        <f t="shared" ref="T24:T29" si="7">P24*(R24/360)*S24</f>
        <v>0.15588008333333336</v>
      </c>
      <c r="U24" s="12">
        <v>0.19500000000000001</v>
      </c>
      <c r="V24" s="6">
        <f>100*(U24-T24)</f>
        <v>3.9119916666666645</v>
      </c>
      <c r="W24" s="15">
        <v>15</v>
      </c>
      <c r="X24" s="15">
        <v>20</v>
      </c>
      <c r="Y24" s="15">
        <v>25</v>
      </c>
      <c r="Z24" s="4">
        <f>100*T24</f>
        <v>15.588008333333336</v>
      </c>
      <c r="AA24" s="4">
        <f>U24*100</f>
        <v>19.5</v>
      </c>
      <c r="AB24" s="4">
        <f>V24</f>
        <v>3.9119916666666645</v>
      </c>
      <c r="AE24" s="44" cm="1">
        <f t="array" ref="AE24">_xll.BDH("COMXGOLD Comdty","PX_Last", N24)</f>
        <v>23179858.673</v>
      </c>
      <c r="AF24" s="15" t="str" cm="1">
        <f t="array" ref="AF24">_xll.BDS("GCA Comdty","FUT_CHAIN", "CHAIN_DATE",A24,"endrow=1")</f>
        <v>GCF23 Comdty</v>
      </c>
      <c r="AG24" s="44" cm="1">
        <f t="array" ref="AG24">_xll.BDH(AF24,"FUT_AGGTE_OPEN_INT",A24)</f>
        <v>449393</v>
      </c>
      <c r="AH24" s="44">
        <f>AG24*$AG$17</f>
        <v>44939300</v>
      </c>
      <c r="AI24" s="48">
        <f>AE24/AH24</f>
        <v>0.51580373243463962</v>
      </c>
      <c r="AJ24" s="45"/>
      <c r="AK24" s="44" cm="1">
        <f t="array" ref="AK24">_xll.BDH("COMXSILV Comdty","PX_Last", N24)</f>
        <v>300779.78000000003</v>
      </c>
      <c r="AL24" t="str" cm="1">
        <f t="array" ref="AL24">_xll.BDS("SIA Comdty","FUT_CHAIN", "CHAIN_DATE",A24,"endrow=1")</f>
        <v>SIF23 Comdty</v>
      </c>
      <c r="AM24" s="47" cm="1">
        <f t="array" ref="AM24">_xll.BDH(AL24,"FUT_AGGTE_OPEN_INT",A24)</f>
        <v>131990</v>
      </c>
      <c r="AN24" s="45">
        <f>(AO24/AP24)/100</f>
        <v>455.76146677778627</v>
      </c>
      <c r="AO24" s="46">
        <f>AK24*100000</f>
        <v>30077978000.000004</v>
      </c>
      <c r="AP24" s="46">
        <f>(AM24*5000)/1000</f>
        <v>659950</v>
      </c>
      <c r="AQ24" s="46"/>
    </row>
    <row r="25" spans="1:43" x14ac:dyDescent="0.2">
      <c r="A25" s="24">
        <v>44930</v>
      </c>
      <c r="B25" s="2" cm="1">
        <f t="array" ref="B25">_xll.BADDPERIODS(A25, "PER=WD", "NUMBEROFPERIODS=2", "BUSDAYADJ=-2", "CDR=GQ", "CDR=P9")</f>
        <v>44932</v>
      </c>
      <c r="C25" cm="1">
        <f t="array" ref="C25">_xll.BDH("XAU Curncy","PX_LAST",A25,A25)</f>
        <v>1854.56</v>
      </c>
      <c r="D25" s="15" t="str" cm="1">
        <f t="array" ref="D25">_xll.BDP("GCG23 Comdty",$M$32)</f>
        <v>01/02/2023</v>
      </c>
      <c r="E25">
        <f t="shared" si="3"/>
        <v>26</v>
      </c>
      <c r="F25" s="14">
        <v>4.4499999999999998E-2</v>
      </c>
      <c r="G25" s="3">
        <f t="shared" si="4"/>
        <v>5.9603497777777772</v>
      </c>
      <c r="H25" s="12">
        <v>5.9</v>
      </c>
      <c r="I25" s="5">
        <f t="shared" si="5"/>
        <v>-6.0349777777776836E-2</v>
      </c>
      <c r="J25">
        <v>4</v>
      </c>
      <c r="K25">
        <v>6</v>
      </c>
      <c r="L25">
        <v>8</v>
      </c>
      <c r="N25" s="1">
        <v>44930</v>
      </c>
      <c r="O25" s="2" cm="1">
        <f t="array" ref="O25">_xll.BADDPERIODS(N25, "PER=WD", "NUMBEROFPERIODS=2", "BUSDAYADJ=-2", "CDR=GQ", "CDR=P9")</f>
        <v>44932</v>
      </c>
      <c r="P25" cm="1">
        <f t="array" ref="P25">_xll.BDH("XAG Curncy","PX_LAST",N25,N25)</f>
        <v>23.759699999999999</v>
      </c>
      <c r="Q25" s="15" t="str" cm="1">
        <f t="array" ref="Q25">_xll.BDP("SIH23 Comdty",$M$32)</f>
        <v>01/03/2023</v>
      </c>
      <c r="R25">
        <f t="shared" si="6"/>
        <v>54</v>
      </c>
      <c r="S25" s="13">
        <v>4.2500000000000003E-2</v>
      </c>
      <c r="T25" s="11">
        <f t="shared" si="7"/>
        <v>0.15146808749999999</v>
      </c>
      <c r="U25" s="12">
        <v>0.16250000000000001</v>
      </c>
      <c r="V25" s="6">
        <f t="shared" ref="V25:V86" si="8">100*(U25-T25)</f>
        <v>1.1031912500000018</v>
      </c>
      <c r="W25" s="15">
        <v>15</v>
      </c>
      <c r="X25" s="15">
        <v>20</v>
      </c>
      <c r="Y25" s="15">
        <v>25</v>
      </c>
      <c r="Z25" s="4">
        <f t="shared" ref="Z25:Z38" si="9">100*T25</f>
        <v>15.146808749999998</v>
      </c>
      <c r="AA25" s="4">
        <f t="shared" ref="AA25:AA38" si="10">U25*100</f>
        <v>16.25</v>
      </c>
      <c r="AB25" s="4">
        <f t="shared" ref="AB25:AB86" si="11">V25</f>
        <v>1.1031912500000018</v>
      </c>
      <c r="AE25" s="44" cm="1">
        <f t="array" ref="AE25">_xll.BDH("COMXGOLD Comdty","PX_Last", N25)</f>
        <v>23179757.713</v>
      </c>
      <c r="AF25" s="15" t="str" cm="1">
        <f t="array" ref="AF25">_xll.BDS("GCA Comdty","FUT_CHAIN", "CHAIN_DATE",A25,"endrow=1")</f>
        <v>GCF23 Comdty</v>
      </c>
      <c r="AG25" s="44" cm="1">
        <f t="array" ref="AG25">_xll.BDH(AF25,"FUT_AGGTE_OPEN_INT",A25)</f>
        <v>457408</v>
      </c>
      <c r="AH25" s="44">
        <f t="shared" ref="AH25:AH88" si="12">AG25*$AG$17</f>
        <v>45740800</v>
      </c>
      <c r="AI25" s="48">
        <f t="shared" ref="AI25:AI88" si="13">AE25/AH25</f>
        <v>0.50676327727105774</v>
      </c>
      <c r="AJ25" s="45"/>
      <c r="AK25" s="44" cm="1">
        <f t="array" ref="AK25">_xll.BDH("COMXSILV Comdty","PX_Last", N25)</f>
        <v>301908.46999999997</v>
      </c>
      <c r="AL25" s="15" t="str" cm="1">
        <f t="array" ref="AL25">_xll.BDS("SIA Comdty","FUT_CHAIN", "CHAIN_DATE",A25,"endrow=1")</f>
        <v>SIF23 Comdty</v>
      </c>
      <c r="AM25" s="47" cm="1">
        <f t="array" ref="AM25">_xll.BDH(AL25,"FUT_AGGTE_OPEN_INT",A25)</f>
        <v>133209</v>
      </c>
      <c r="AN25" s="45">
        <f t="shared" ref="AN25:AN88" si="14">(AO25/AP25)/100</f>
        <v>453.28539362955945</v>
      </c>
      <c r="AO25" s="46">
        <f t="shared" ref="AO25:AO88" si="15">AK25*100000</f>
        <v>30190846999.999996</v>
      </c>
      <c r="AP25" s="46">
        <f t="shared" ref="AP25:AP88" si="16">(AM25*5000)/1000</f>
        <v>666045</v>
      </c>
      <c r="AQ25" s="46"/>
    </row>
    <row r="26" spans="1:43" x14ac:dyDescent="0.2">
      <c r="A26" s="24">
        <v>44931</v>
      </c>
      <c r="B26" s="2" cm="1">
        <f t="array" ref="B26">_xll.BADDPERIODS(A26, "PER=WD", "NUMBEROFPERIODS=2", "BUSDAYADJ=-2", "CDR=GQ", "CDR=P9")</f>
        <v>44935</v>
      </c>
      <c r="C26" cm="1">
        <f t="array" ref="C26">_xll.BDH("XAU Curncy","PX_LAST",A26,A26)</f>
        <v>1832.89</v>
      </c>
      <c r="D26" s="15" t="str" cm="1">
        <f t="array" ref="D26">_xll.BDP("GCG23 Comdty",$M$32)</f>
        <v>01/02/2023</v>
      </c>
      <c r="E26">
        <f t="shared" si="3"/>
        <v>23</v>
      </c>
      <c r="F26" s="14">
        <v>4.4499999999999998E-2</v>
      </c>
      <c r="G26" s="3">
        <f t="shared" si="4"/>
        <v>5.2110080972222219</v>
      </c>
      <c r="H26" s="12">
        <v>4.9000000000000004</v>
      </c>
      <c r="I26" s="5">
        <f t="shared" si="5"/>
        <v>-0.31100809722222156</v>
      </c>
      <c r="J26">
        <v>4</v>
      </c>
      <c r="K26">
        <v>6</v>
      </c>
      <c r="L26">
        <v>8</v>
      </c>
      <c r="N26" s="1">
        <v>44931</v>
      </c>
      <c r="O26" s="2" cm="1">
        <f t="array" ref="O26">_xll.BADDPERIODS(N26, "PER=WD", "NUMBEROFPERIODS=2", "BUSDAYADJ=-2", "CDR=GQ", "CDR=P9")</f>
        <v>44935</v>
      </c>
      <c r="P26" cm="1">
        <f t="array" ref="P26">_xll.BDH("XAG Curncy","PX_LAST",N26,N26)</f>
        <v>23.2438</v>
      </c>
      <c r="Q26" s="15" t="str" cm="1">
        <f t="array" ref="Q26">_xll.BDP("SIH23 Comdty",$M$32)</f>
        <v>01/03/2023</v>
      </c>
      <c r="R26">
        <f t="shared" si="6"/>
        <v>51</v>
      </c>
      <c r="S26" s="13">
        <v>4.2500000000000003E-2</v>
      </c>
      <c r="T26" s="11">
        <f t="shared" si="7"/>
        <v>0.13994704583333334</v>
      </c>
      <c r="U26" s="12">
        <v>0.14624999999999999</v>
      </c>
      <c r="V26" s="6">
        <f t="shared" si="8"/>
        <v>0.63029541666666522</v>
      </c>
      <c r="W26" s="15">
        <v>15</v>
      </c>
      <c r="X26" s="15">
        <v>20</v>
      </c>
      <c r="Y26" s="15">
        <v>25</v>
      </c>
      <c r="Z26" s="4">
        <f t="shared" si="9"/>
        <v>13.994704583333334</v>
      </c>
      <c r="AA26" s="4">
        <f t="shared" si="10"/>
        <v>14.625</v>
      </c>
      <c r="AB26" s="4">
        <f t="shared" si="11"/>
        <v>0.63029541666666522</v>
      </c>
      <c r="AE26" s="44" cm="1">
        <f t="array" ref="AE26">_xll.BDH("COMXGOLD Comdty","PX_Last", N26)</f>
        <v>23171710.772999998</v>
      </c>
      <c r="AF26" s="15" t="str" cm="1">
        <f t="array" ref="AF26">_xll.BDS("GCA Comdty","FUT_CHAIN", "CHAIN_DATE",A26,"endrow=1")</f>
        <v>GCF23 Comdty</v>
      </c>
      <c r="AG26" s="44" cm="1">
        <f t="array" ref="AG26">_xll.BDH(AF26,"FUT_AGGTE_OPEN_INT",A26)</f>
        <v>453485</v>
      </c>
      <c r="AH26" s="44">
        <f t="shared" si="12"/>
        <v>45348500</v>
      </c>
      <c r="AI26" s="48">
        <f t="shared" si="13"/>
        <v>0.51096972938465435</v>
      </c>
      <c r="AJ26" s="45"/>
      <c r="AK26" s="44" cm="1">
        <f t="array" ref="AK26">_xll.BDH("COMXSILV Comdty","PX_Last", N26)</f>
        <v>300281.90999999997</v>
      </c>
      <c r="AL26" s="15" t="str" cm="1">
        <f t="array" ref="AL26">_xll.BDS("SIA Comdty","FUT_CHAIN", "CHAIN_DATE",A26,"endrow=1")</f>
        <v>SIF23 Comdty</v>
      </c>
      <c r="AM26" s="47" cm="1">
        <f t="array" ref="AM26">_xll.BDH(AL26,"FUT_AGGTE_OPEN_INT",A26)</f>
        <v>131136</v>
      </c>
      <c r="AN26" s="45">
        <f t="shared" si="14"/>
        <v>457.97021412884328</v>
      </c>
      <c r="AO26" s="46">
        <f t="shared" si="15"/>
        <v>30028190999.999996</v>
      </c>
      <c r="AP26" s="46">
        <f t="shared" si="16"/>
        <v>655680</v>
      </c>
      <c r="AQ26" s="46"/>
    </row>
    <row r="27" spans="1:43" x14ac:dyDescent="0.2">
      <c r="A27" s="24">
        <v>44932</v>
      </c>
      <c r="B27" s="2" cm="1">
        <f t="array" ref="B27">_xll.BADDPERIODS(A27, "PER=WD", "NUMBEROFPERIODS=2", "BUSDAYADJ=-2", "CDR=GQ", "CDR=P9")</f>
        <v>44936</v>
      </c>
      <c r="C27" cm="1">
        <f t="array" ref="C27">_xll.BDH("XAU Curncy","PX_LAST",A27,A27)</f>
        <v>1865.69</v>
      </c>
      <c r="D27" s="15" t="str" cm="1">
        <f t="array" ref="D27">_xll.BDP("GCG23 Comdty",$M$32)</f>
        <v>01/02/2023</v>
      </c>
      <c r="E27">
        <f t="shared" si="3"/>
        <v>22</v>
      </c>
      <c r="F27" s="14">
        <v>4.3499999999999997E-2</v>
      </c>
      <c r="G27" s="3">
        <f t="shared" si="4"/>
        <v>4.9596259166666661</v>
      </c>
      <c r="H27" s="12">
        <v>5</v>
      </c>
      <c r="I27" s="5">
        <f t="shared" si="5"/>
        <v>4.0374083333333921E-2</v>
      </c>
      <c r="J27">
        <v>4</v>
      </c>
      <c r="K27">
        <v>6</v>
      </c>
      <c r="L27">
        <v>8</v>
      </c>
      <c r="N27" s="1">
        <v>44932</v>
      </c>
      <c r="O27" s="2" cm="1">
        <f t="array" ref="O27">_xll.BADDPERIODS(N27, "PER=WD", "NUMBEROFPERIODS=2", "BUSDAYADJ=-2", "CDR=GQ", "CDR=P9")</f>
        <v>44936</v>
      </c>
      <c r="P27" cm="1">
        <f t="array" ref="P27">_xll.BDH("XAG Curncy","PX_LAST",N27,N27)</f>
        <v>23.830500000000001</v>
      </c>
      <c r="Q27" s="15" t="str" cm="1">
        <f t="array" ref="Q27">_xll.BDP("SIH23 Comdty",$M$32)</f>
        <v>01/03/2023</v>
      </c>
      <c r="R27">
        <f t="shared" si="6"/>
        <v>50</v>
      </c>
      <c r="S27" s="13">
        <v>4.2500000000000003E-2</v>
      </c>
      <c r="T27" s="11">
        <f t="shared" si="7"/>
        <v>0.14066614583333337</v>
      </c>
      <c r="U27" s="12">
        <v>0.16250000000000001</v>
      </c>
      <c r="V27" s="6">
        <f t="shared" si="8"/>
        <v>2.1833854166666637</v>
      </c>
      <c r="W27" s="15">
        <v>15</v>
      </c>
      <c r="X27" s="15">
        <v>20</v>
      </c>
      <c r="Y27" s="15">
        <v>25</v>
      </c>
      <c r="Z27" s="4">
        <f t="shared" si="9"/>
        <v>14.066614583333337</v>
      </c>
      <c r="AA27" s="4">
        <f t="shared" si="10"/>
        <v>16.25</v>
      </c>
      <c r="AB27" s="4">
        <f t="shared" si="11"/>
        <v>2.1833854166666637</v>
      </c>
      <c r="AE27" s="44" cm="1">
        <f t="array" ref="AE27">_xll.BDH("COMXGOLD Comdty","PX_Last", N27)</f>
        <v>22990025.489999998</v>
      </c>
      <c r="AF27" s="15" t="str" cm="1">
        <f t="array" ref="AF27">_xll.BDS("GCA Comdty","FUT_CHAIN", "CHAIN_DATE",A27,"endrow=1")</f>
        <v>GCF23 Comdty</v>
      </c>
      <c r="AG27" s="44" cm="1">
        <f t="array" ref="AG27">_xll.BDH(AF27,"FUT_AGGTE_OPEN_INT",A27)</f>
        <v>463250</v>
      </c>
      <c r="AH27" s="44">
        <f t="shared" si="12"/>
        <v>46325000</v>
      </c>
      <c r="AI27" s="48">
        <f t="shared" si="13"/>
        <v>0.49627685893146245</v>
      </c>
      <c r="AJ27" s="45"/>
      <c r="AK27" s="44" cm="1">
        <f t="array" ref="AK27">_xll.BDH("COMXSILV Comdty","PX_Last", N27)</f>
        <v>300618.06</v>
      </c>
      <c r="AL27" s="15" t="str" cm="1">
        <f t="array" ref="AL27">_xll.BDS("SIA Comdty","FUT_CHAIN", "CHAIN_DATE",A27,"endrow=1")</f>
        <v>SIF23 Comdty</v>
      </c>
      <c r="AM27" s="47" cm="1">
        <f t="array" ref="AM27">_xll.BDH(AL27,"FUT_AGGTE_OPEN_INT",A27)</f>
        <v>132541</v>
      </c>
      <c r="AN27" s="45">
        <f t="shared" si="14"/>
        <v>453.62274315117588</v>
      </c>
      <c r="AO27" s="46">
        <f t="shared" si="15"/>
        <v>30061806000</v>
      </c>
      <c r="AP27" s="46">
        <f t="shared" si="16"/>
        <v>662705</v>
      </c>
      <c r="AQ27" s="46"/>
    </row>
    <row r="28" spans="1:43" x14ac:dyDescent="0.2">
      <c r="A28" s="24">
        <v>44935</v>
      </c>
      <c r="B28" s="2" cm="1">
        <f t="array" ref="B28">_xll.BADDPERIODS(A28, "PER=WD", "NUMBEROFPERIODS=2", "BUSDAYADJ=-2", "CDR=GQ", "CDR=P9")</f>
        <v>44937</v>
      </c>
      <c r="C28" cm="1">
        <f t="array" ref="C28">_xll.BDH("XAU Curncy","PX_LAST",A28,A28)</f>
        <v>1871.81</v>
      </c>
      <c r="D28" s="15" t="str" cm="1">
        <f t="array" ref="D28">_xll.BDP("GCG23 Comdty",$M$32)</f>
        <v>01/02/2023</v>
      </c>
      <c r="E28">
        <f t="shared" si="3"/>
        <v>21</v>
      </c>
      <c r="F28" s="14">
        <v>4.3999999999999997E-2</v>
      </c>
      <c r="G28" s="3">
        <f t="shared" si="4"/>
        <v>4.8043123333333329</v>
      </c>
      <c r="H28" s="12">
        <v>4.75</v>
      </c>
      <c r="I28" s="5">
        <f t="shared" si="5"/>
        <v>-5.4312333333332852E-2</v>
      </c>
      <c r="J28">
        <v>4</v>
      </c>
      <c r="K28">
        <v>6</v>
      </c>
      <c r="L28">
        <v>8</v>
      </c>
      <c r="N28" s="1">
        <v>44935</v>
      </c>
      <c r="O28" s="2" cm="1">
        <f t="array" ref="O28">_xll.BADDPERIODS(N28, "PER=WD", "NUMBEROFPERIODS=2", "BUSDAYADJ=-2", "CDR=GQ", "CDR=P9")</f>
        <v>44937</v>
      </c>
      <c r="P28" cm="1">
        <f t="array" ref="P28">_xll.BDH("XAG Curncy","PX_LAST",N28,N28)</f>
        <v>23.650600000000001</v>
      </c>
      <c r="Q28" s="15" t="str" cm="1">
        <f t="array" ref="Q28">_xll.BDP("SIH23 Comdty",$M$32)</f>
        <v>01/03/2023</v>
      </c>
      <c r="R28">
        <f t="shared" si="6"/>
        <v>49</v>
      </c>
      <c r="S28" s="13">
        <v>4.2500000000000003E-2</v>
      </c>
      <c r="T28" s="11">
        <f t="shared" si="7"/>
        <v>0.13681215138888889</v>
      </c>
      <c r="U28" s="12">
        <v>0.15</v>
      </c>
      <c r="V28" s="6">
        <f t="shared" si="8"/>
        <v>1.3187848611111108</v>
      </c>
      <c r="W28" s="15">
        <v>15</v>
      </c>
      <c r="X28" s="15">
        <v>20</v>
      </c>
      <c r="Y28" s="15">
        <v>25</v>
      </c>
      <c r="Z28" s="4">
        <f t="shared" si="9"/>
        <v>13.681215138888888</v>
      </c>
      <c r="AA28" s="4">
        <f t="shared" si="10"/>
        <v>15</v>
      </c>
      <c r="AB28" s="4">
        <f t="shared" si="11"/>
        <v>1.3187848611111108</v>
      </c>
      <c r="AE28" s="44" cm="1">
        <f t="array" ref="AE28">_xll.BDH("COMXGOLD Comdty","PX_Last", N28)</f>
        <v>22880069.07</v>
      </c>
      <c r="AF28" s="15" t="str" cm="1">
        <f t="array" ref="AF28">_xll.BDS("GCA Comdty","FUT_CHAIN", "CHAIN_DATE",A28,"endrow=1")</f>
        <v>GCF23 Comdty</v>
      </c>
      <c r="AG28" s="44" cm="1">
        <f t="array" ref="AG28">_xll.BDH(AF28,"FUT_AGGTE_OPEN_INT",A28)</f>
        <v>476352</v>
      </c>
      <c r="AH28" s="44">
        <f t="shared" si="12"/>
        <v>47635200</v>
      </c>
      <c r="AI28" s="48">
        <f t="shared" si="13"/>
        <v>0.48031852642583639</v>
      </c>
      <c r="AJ28" s="45"/>
      <c r="AK28" s="44" cm="1">
        <f t="array" ref="AK28">_xll.BDH("COMXSILV Comdty","PX_Last", N28)</f>
        <v>299434.71999999997</v>
      </c>
      <c r="AL28" s="15" t="str" cm="1">
        <f t="array" ref="AL28">_xll.BDS("SIA Comdty","FUT_CHAIN", "CHAIN_DATE",A28,"endrow=1")</f>
        <v>SIF23 Comdty</v>
      </c>
      <c r="AM28" s="47" cm="1">
        <f t="array" ref="AM28">_xll.BDH(AL28,"FUT_AGGTE_OPEN_INT",A28)</f>
        <v>132893</v>
      </c>
      <c r="AN28" s="45">
        <f t="shared" si="14"/>
        <v>450.64031965566278</v>
      </c>
      <c r="AO28" s="46">
        <f t="shared" si="15"/>
        <v>29943471999.999996</v>
      </c>
      <c r="AP28" s="46">
        <f t="shared" si="16"/>
        <v>664465</v>
      </c>
      <c r="AQ28" s="46"/>
    </row>
    <row r="29" spans="1:43" x14ac:dyDescent="0.2">
      <c r="A29" s="24">
        <v>44936</v>
      </c>
      <c r="B29" s="2" cm="1">
        <f t="array" ref="B29">_xll.BADDPERIODS(A29, "PER=WD", "NUMBEROFPERIODS=2", "BUSDAYADJ=-2", "CDR=GQ", "CDR=P9")</f>
        <v>44938</v>
      </c>
      <c r="C29" cm="1">
        <f t="array" ref="C29">_xll.BDH("XAU Curncy","PX_LAST",A29,A29)</f>
        <v>1877.03</v>
      </c>
      <c r="D29" s="15" t="str" cm="1">
        <f t="array" ref="D29">_xll.BDP("GCG23 Comdty",$M$32)</f>
        <v>01/02/2023</v>
      </c>
      <c r="E29">
        <f t="shared" si="3"/>
        <v>20</v>
      </c>
      <c r="F29" s="14">
        <v>4.3999999999999997E-2</v>
      </c>
      <c r="G29" s="3">
        <f t="shared" si="4"/>
        <v>4.5882955555555549</v>
      </c>
      <c r="H29" s="12">
        <v>4.3</v>
      </c>
      <c r="I29" s="5">
        <f t="shared" si="5"/>
        <v>-0.28829555555555508</v>
      </c>
      <c r="J29">
        <v>4</v>
      </c>
      <c r="K29">
        <v>6</v>
      </c>
      <c r="L29">
        <v>8</v>
      </c>
      <c r="N29" s="1">
        <v>44936</v>
      </c>
      <c r="O29" s="2" cm="1">
        <f t="array" ref="O29">_xll.BADDPERIODS(N29, "PER=WD", "NUMBEROFPERIODS=2", "BUSDAYADJ=-2", "CDR=GQ", "CDR=P9")</f>
        <v>44938</v>
      </c>
      <c r="P29" cm="1">
        <f t="array" ref="P29">_xll.BDH("XAG Curncy","PX_LAST",N29,N29)</f>
        <v>23.603200000000001</v>
      </c>
      <c r="Q29" s="15" t="str" cm="1">
        <f t="array" ref="Q29">_xll.BDP("SIH23 Comdty",$M$32)</f>
        <v>01/03/2023</v>
      </c>
      <c r="R29">
        <f t="shared" si="6"/>
        <v>48</v>
      </c>
      <c r="S29" s="13">
        <v>4.2500000000000003E-2</v>
      </c>
      <c r="T29" s="11">
        <f t="shared" si="7"/>
        <v>0.13375146666666668</v>
      </c>
      <c r="U29" s="12">
        <v>0.13500000000000001</v>
      </c>
      <c r="V29" s="6">
        <f t="shared" si="8"/>
        <v>0.12485333333333293</v>
      </c>
      <c r="W29" s="15">
        <v>15</v>
      </c>
      <c r="X29" s="15">
        <v>20</v>
      </c>
      <c r="Y29" s="15">
        <v>25</v>
      </c>
      <c r="Z29" s="4">
        <f t="shared" si="9"/>
        <v>13.375146666666668</v>
      </c>
      <c r="AA29" s="4">
        <f t="shared" si="10"/>
        <v>13.5</v>
      </c>
      <c r="AB29" s="4">
        <f t="shared" si="11"/>
        <v>0.12485333333333293</v>
      </c>
      <c r="AE29" s="44" cm="1">
        <f t="array" ref="AE29">_xll.BDH("COMXGOLD Comdty","PX_Last", N29)</f>
        <v>22996504.984000001</v>
      </c>
      <c r="AF29" s="15" t="str" cm="1">
        <f t="array" ref="AF29">_xll.BDS("GCA Comdty","FUT_CHAIN", "CHAIN_DATE",A29,"endrow=1")</f>
        <v>GCF23 Comdty</v>
      </c>
      <c r="AG29" s="44" cm="1">
        <f t="array" ref="AG29">_xll.BDH(AF29,"FUT_AGGTE_OPEN_INT",A29)</f>
        <v>481519</v>
      </c>
      <c r="AH29" s="44">
        <f t="shared" si="12"/>
        <v>48151900</v>
      </c>
      <c r="AI29" s="48">
        <f t="shared" si="13"/>
        <v>0.47758250420024967</v>
      </c>
      <c r="AJ29" s="45"/>
      <c r="AK29" s="44" cm="1">
        <f t="array" ref="AK29">_xll.BDH("COMXSILV Comdty","PX_Last", N29)</f>
        <v>298840.63</v>
      </c>
      <c r="AL29" s="15" t="str" cm="1">
        <f t="array" ref="AL29">_xll.BDS("SIA Comdty","FUT_CHAIN", "CHAIN_DATE",A29,"endrow=1")</f>
        <v>SIF23 Comdty</v>
      </c>
      <c r="AM29" s="47" cm="1">
        <f t="array" ref="AM29">_xll.BDH(AL29,"FUT_AGGTE_OPEN_INT",A29)</f>
        <v>129961</v>
      </c>
      <c r="AN29" s="45">
        <f t="shared" si="14"/>
        <v>459.89278321958125</v>
      </c>
      <c r="AO29" s="46">
        <f t="shared" si="15"/>
        <v>29884063000</v>
      </c>
      <c r="AP29" s="46">
        <f t="shared" si="16"/>
        <v>649805</v>
      </c>
      <c r="AQ29" s="46"/>
    </row>
    <row r="30" spans="1:43" x14ac:dyDescent="0.2">
      <c r="A30" s="24">
        <v>44937</v>
      </c>
      <c r="B30" s="2" cm="1">
        <f t="array" ref="B30">_xll.BADDPERIODS(A30, "PER=WD", "NUMBEROFPERIODS=2", "BUSDAYADJ=-2", "CDR=GQ", "CDR=P9")</f>
        <v>44939</v>
      </c>
      <c r="C30" cm="1">
        <f t="array" ref="C30">_xll.BDH("XAU Curncy","PX_LAST",A30,A30)</f>
        <v>1875.69</v>
      </c>
      <c r="D30" s="15" t="str" cm="1">
        <f t="array" ref="D30">_xll.BDP("GCG23 Comdty",$M$32)</f>
        <v>01/02/2023</v>
      </c>
      <c r="E30">
        <f t="shared" ref="E30:E37" si="17">_xlfn.DAYS(D30,B30)</f>
        <v>19</v>
      </c>
      <c r="F30" s="14">
        <v>4.3999999999999997E-2</v>
      </c>
      <c r="G30" s="3">
        <f t="shared" ref="G30:G37" si="18">C30*(E30/360)*F30</f>
        <v>4.3557689999999996</v>
      </c>
      <c r="H30" s="12">
        <v>3.9</v>
      </c>
      <c r="I30" s="5">
        <f t="shared" ref="I30:I37" si="19">H30-G30</f>
        <v>-0.45576899999999965</v>
      </c>
      <c r="J30">
        <v>4</v>
      </c>
      <c r="K30">
        <v>6</v>
      </c>
      <c r="L30">
        <v>8</v>
      </c>
      <c r="N30" s="1">
        <v>44937</v>
      </c>
      <c r="O30" s="2" cm="1">
        <f t="array" ref="O30">_xll.BADDPERIODS(N30, "PER=WD", "NUMBEROFPERIODS=2", "BUSDAYADJ=-2", "CDR=GQ", "CDR=P9")</f>
        <v>44939</v>
      </c>
      <c r="P30" cm="1">
        <f t="array" ref="P30">_xll.BDH("XAG Curncy","PX_LAST",N30,N30)</f>
        <v>23.415700000000001</v>
      </c>
      <c r="Q30" s="15" t="str" cm="1">
        <f t="array" ref="Q30">_xll.BDP("SIH23 Comdty",$M$32)</f>
        <v>01/03/2023</v>
      </c>
      <c r="R30">
        <f t="shared" ref="R30:R37" si="20">_xlfn.DAYS(Q30,O30)</f>
        <v>47</v>
      </c>
      <c r="S30" s="13">
        <v>4.2500000000000003E-2</v>
      </c>
      <c r="T30" s="11">
        <f t="shared" ref="T30:T37" si="21">P30*(R30/360)*S30</f>
        <v>0.12992461319444448</v>
      </c>
      <c r="U30" s="12">
        <v>0.125</v>
      </c>
      <c r="V30" s="6">
        <f t="shared" si="8"/>
        <v>-0.49246131944444826</v>
      </c>
      <c r="W30" s="15">
        <v>15</v>
      </c>
      <c r="X30" s="15">
        <v>20</v>
      </c>
      <c r="Y30" s="15">
        <v>25</v>
      </c>
      <c r="Z30" s="4">
        <f t="shared" si="9"/>
        <v>12.992461319444448</v>
      </c>
      <c r="AA30" s="4">
        <f t="shared" si="10"/>
        <v>12.5</v>
      </c>
      <c r="AB30" s="4">
        <f t="shared" si="11"/>
        <v>-0.49246131944444826</v>
      </c>
      <c r="AE30" s="44" cm="1">
        <f t="array" ref="AE30">_xll.BDH("COMXGOLD Comdty","PX_Last", N30)</f>
        <v>22996504.984000001</v>
      </c>
      <c r="AF30" s="15" t="str" cm="1">
        <f t="array" ref="AF30">_xll.BDS("GCA Comdty","FUT_CHAIN", "CHAIN_DATE",A30,"endrow=1")</f>
        <v>GCF23 Comdty</v>
      </c>
      <c r="AG30" s="44" cm="1">
        <f t="array" ref="AG30">_xll.BDH(AF30,"FUT_AGGTE_OPEN_INT",A30)</f>
        <v>484992</v>
      </c>
      <c r="AH30" s="44">
        <f t="shared" si="12"/>
        <v>48499200</v>
      </c>
      <c r="AI30" s="48">
        <f t="shared" si="13"/>
        <v>0.47416256317629984</v>
      </c>
      <c r="AJ30" s="45"/>
      <c r="AK30" s="44" cm="1">
        <f t="array" ref="AK30">_xll.BDH("COMXSILV Comdty","PX_Last", N30)</f>
        <v>298154.84000000003</v>
      </c>
      <c r="AL30" s="15" t="str" cm="1">
        <f t="array" ref="AL30">_xll.BDS("SIA Comdty","FUT_CHAIN", "CHAIN_DATE",A30,"endrow=1")</f>
        <v>SIF23 Comdty</v>
      </c>
      <c r="AM30" s="47" cm="1">
        <f t="array" ref="AM30">_xll.BDH(AL30,"FUT_AGGTE_OPEN_INT",A30)</f>
        <v>129287</v>
      </c>
      <c r="AN30" s="45">
        <f t="shared" si="14"/>
        <v>461.22941981792451</v>
      </c>
      <c r="AO30" s="46">
        <f t="shared" si="15"/>
        <v>29815484000.000004</v>
      </c>
      <c r="AP30" s="46">
        <f t="shared" si="16"/>
        <v>646435</v>
      </c>
      <c r="AQ30" s="46"/>
    </row>
    <row r="31" spans="1:43" x14ac:dyDescent="0.2">
      <c r="A31" s="24">
        <v>44938</v>
      </c>
      <c r="B31" s="2" cm="1">
        <f t="array" ref="B31">_xll.BADDPERIODS(A31, "PER=WD", "NUMBEROFPERIODS=2", "BUSDAYADJ=-2", "CDR=GQ", "CDR=P9")</f>
        <v>44943</v>
      </c>
      <c r="C31" cm="1">
        <f t="array" ref="C31">_xll.BDH("XAU Curncy","PX_LAST",A31,A31)</f>
        <v>1897.09</v>
      </c>
      <c r="D31" s="15" t="str" cm="1">
        <f t="array" ref="D31">_xll.BDP("GCG23 Comdty",$M$32)</f>
        <v>01/02/2023</v>
      </c>
      <c r="E31">
        <f t="shared" si="17"/>
        <v>15</v>
      </c>
      <c r="F31" s="13">
        <v>4.3999999999999997E-2</v>
      </c>
      <c r="G31" s="3">
        <f t="shared" si="18"/>
        <v>3.4779983333333324</v>
      </c>
      <c r="H31" s="12">
        <v>3.05</v>
      </c>
      <c r="I31" s="5">
        <f t="shared" si="19"/>
        <v>-0.42799833333333259</v>
      </c>
      <c r="J31">
        <v>4</v>
      </c>
      <c r="K31">
        <v>6</v>
      </c>
      <c r="L31">
        <v>8</v>
      </c>
      <c r="M31" t="s">
        <v>6</v>
      </c>
      <c r="N31" s="1">
        <v>44938</v>
      </c>
      <c r="O31" s="2" cm="1">
        <f t="array" ref="O31">_xll.BADDPERIODS(N31, "PER=WD", "NUMBEROFPERIODS=2", "BUSDAYADJ=-2", "CDR=GQ", "CDR=P9")</f>
        <v>44943</v>
      </c>
      <c r="P31" cm="1">
        <f t="array" ref="P31">_xll.BDH("XAG Curncy","PX_LAST",N31,N31)</f>
        <v>23.777699999999999</v>
      </c>
      <c r="Q31" s="15" t="str" cm="1">
        <f t="array" ref="Q31">_xll.BDP("SIH23 Comdty",$M$32)</f>
        <v>01/03/2023</v>
      </c>
      <c r="R31">
        <f t="shared" si="20"/>
        <v>43</v>
      </c>
      <c r="S31" s="13">
        <v>4.2500000000000003E-2</v>
      </c>
      <c r="T31" s="11">
        <f t="shared" si="21"/>
        <v>0.12070485208333336</v>
      </c>
      <c r="U31" s="12">
        <v>0.125</v>
      </c>
      <c r="V31" s="6">
        <f t="shared" si="8"/>
        <v>0.42951479166666445</v>
      </c>
      <c r="W31" s="15">
        <v>15</v>
      </c>
      <c r="X31" s="15">
        <v>20</v>
      </c>
      <c r="Y31" s="15">
        <v>25</v>
      </c>
      <c r="Z31" s="4">
        <f t="shared" si="9"/>
        <v>12.070485208333336</v>
      </c>
      <c r="AA31" s="4">
        <f t="shared" si="10"/>
        <v>12.5</v>
      </c>
      <c r="AB31" s="4">
        <f t="shared" si="11"/>
        <v>0.42951479166666445</v>
      </c>
      <c r="AE31" s="44" cm="1">
        <f t="array" ref="AE31">_xll.BDH("COMXGOLD Comdty","PX_Last", N31)</f>
        <v>23000796.807999998</v>
      </c>
      <c r="AF31" s="15" t="str" cm="1">
        <f t="array" ref="AF31">_xll.BDS("GCA Comdty","FUT_CHAIN", "CHAIN_DATE",A31,"endrow=1")</f>
        <v>GCF23 Comdty</v>
      </c>
      <c r="AG31" s="44" cm="1">
        <f t="array" ref="AG31">_xll.BDH(AF31,"FUT_AGGTE_OPEN_INT",A31)</f>
        <v>486838</v>
      </c>
      <c r="AH31" s="44">
        <f t="shared" si="12"/>
        <v>48683800</v>
      </c>
      <c r="AI31" s="48">
        <f t="shared" si="13"/>
        <v>0.4724527832256315</v>
      </c>
      <c r="AJ31" s="45"/>
      <c r="AK31" s="44" cm="1">
        <f t="array" ref="AK31">_xll.BDH("COMXSILV Comdty","PX_Last", N31)</f>
        <v>296131.40999999997</v>
      </c>
      <c r="AL31" s="15" t="str" cm="1">
        <f t="array" ref="AL31">_xll.BDS("SIA Comdty","FUT_CHAIN", "CHAIN_DATE",A31,"endrow=1")</f>
        <v>SIF23 Comdty</v>
      </c>
      <c r="AM31" s="47" cm="1">
        <f t="array" ref="AM31">_xll.BDH(AL31,"FUT_AGGTE_OPEN_INT",A31)</f>
        <v>129761</v>
      </c>
      <c r="AN31" s="45">
        <f t="shared" si="14"/>
        <v>456.42590608888639</v>
      </c>
      <c r="AO31" s="46">
        <f t="shared" si="15"/>
        <v>29613140999.999996</v>
      </c>
      <c r="AP31" s="46">
        <f t="shared" si="16"/>
        <v>648805</v>
      </c>
      <c r="AQ31" s="46"/>
    </row>
    <row r="32" spans="1:43" x14ac:dyDescent="0.2">
      <c r="A32" s="24">
        <v>44939</v>
      </c>
      <c r="B32" s="2" cm="1">
        <f t="array" ref="B32">_xll.BADDPERIODS(A32, "PER=WD", "NUMBEROFPERIODS=2", "BUSDAYADJ=-2", "CDR=GQ", "CDR=P9")</f>
        <v>44944</v>
      </c>
      <c r="C32" cm="1">
        <f t="array" ref="C32">_xll.BDH("XAU Curncy","PX_LAST",A32,A32)</f>
        <v>1920.23</v>
      </c>
      <c r="D32" s="15" t="str" cm="1">
        <f t="array" ref="D32">_xll.BDP("GCG23 Comdty",$M$32)</f>
        <v>01/02/2023</v>
      </c>
      <c r="E32">
        <f t="shared" si="17"/>
        <v>14</v>
      </c>
      <c r="F32" s="13">
        <v>4.3999999999999997E-2</v>
      </c>
      <c r="G32" s="3">
        <f t="shared" si="18"/>
        <v>3.2857268888888886</v>
      </c>
      <c r="H32" s="12">
        <v>3</v>
      </c>
      <c r="I32" s="5">
        <f t="shared" si="19"/>
        <v>-0.28572688888888864</v>
      </c>
      <c r="J32">
        <v>4</v>
      </c>
      <c r="K32">
        <v>6</v>
      </c>
      <c r="L32">
        <v>8</v>
      </c>
      <c r="M32" t="s">
        <v>7</v>
      </c>
      <c r="N32" s="1">
        <v>44939</v>
      </c>
      <c r="O32" s="2" cm="1">
        <f t="array" ref="O32">_xll.BADDPERIODS(N32, "PER=WD", "NUMBEROFPERIODS=2", "BUSDAYADJ=-2", "CDR=GQ", "CDR=P9")</f>
        <v>44944</v>
      </c>
      <c r="P32" cm="1">
        <f t="array" ref="P32">_xll.BDH("XAG Curncy","PX_LAST",N32,N32)</f>
        <v>24.264299999999999</v>
      </c>
      <c r="Q32" s="15" t="str" cm="1">
        <f t="array" ref="Q32">_xll.BDP("SIH23 Comdty",$M$32)</f>
        <v>01/03/2023</v>
      </c>
      <c r="R32">
        <f t="shared" si="20"/>
        <v>42</v>
      </c>
      <c r="S32" s="13">
        <v>4.2500000000000003E-2</v>
      </c>
      <c r="T32" s="11">
        <f t="shared" si="21"/>
        <v>0.12031048750000001</v>
      </c>
      <c r="U32" s="12">
        <v>0.14249999999999999</v>
      </c>
      <c r="V32" s="6">
        <f t="shared" si="8"/>
        <v>2.2189512499999982</v>
      </c>
      <c r="W32" s="15">
        <v>15</v>
      </c>
      <c r="X32" s="15">
        <v>20</v>
      </c>
      <c r="Y32" s="15">
        <v>25</v>
      </c>
      <c r="Z32" s="4">
        <f t="shared" si="9"/>
        <v>12.03104875</v>
      </c>
      <c r="AA32" s="4">
        <f t="shared" si="10"/>
        <v>14.249999999999998</v>
      </c>
      <c r="AB32" s="4">
        <f t="shared" si="11"/>
        <v>2.2189512499999982</v>
      </c>
      <c r="AE32" s="44" cm="1">
        <f t="array" ref="AE32">_xll.BDH("COMXGOLD Comdty","PX_Last", N32)</f>
        <v>22781209.077</v>
      </c>
      <c r="AF32" s="15" t="str" cm="1">
        <f t="array" ref="AF32">_xll.BDS("GCA Comdty","FUT_CHAIN", "CHAIN_DATE",A32,"endrow=1")</f>
        <v>GCF23 Comdty</v>
      </c>
      <c r="AG32" s="44" cm="1">
        <f t="array" ref="AG32">_xll.BDH(AF32,"FUT_AGGTE_OPEN_INT",A32)</f>
        <v>499412</v>
      </c>
      <c r="AH32" s="44">
        <f t="shared" si="12"/>
        <v>49941200</v>
      </c>
      <c r="AI32" s="48">
        <f t="shared" si="13"/>
        <v>0.45616062643668953</v>
      </c>
      <c r="AJ32" s="45"/>
      <c r="AK32" s="44" cm="1">
        <f t="array" ref="AK32">_xll.BDH("COMXSILV Comdty","PX_Last", N32)</f>
        <v>295559.13</v>
      </c>
      <c r="AL32" s="15" t="str" cm="1">
        <f t="array" ref="AL32">_xll.BDS("SIA Comdty","FUT_CHAIN", "CHAIN_DATE",A32,"endrow=1")</f>
        <v>SIF23 Comdty</v>
      </c>
      <c r="AM32" s="47" cm="1">
        <f t="array" ref="AM32">_xll.BDH(AL32,"FUT_AGGTE_OPEN_INT",A32)</f>
        <v>131834</v>
      </c>
      <c r="AN32" s="45">
        <f t="shared" si="14"/>
        <v>448.38073638059984</v>
      </c>
      <c r="AO32" s="46">
        <f t="shared" si="15"/>
        <v>29555913000</v>
      </c>
      <c r="AP32" s="46">
        <f t="shared" si="16"/>
        <v>659170</v>
      </c>
      <c r="AQ32" s="46"/>
    </row>
    <row r="33" spans="1:43" x14ac:dyDescent="0.2">
      <c r="A33" s="24">
        <v>44942</v>
      </c>
      <c r="B33" s="2" cm="1">
        <f t="array" ref="B33">_xll.BADDPERIODS(A33, "PER=WD", "NUMBEROFPERIODS=2", "BUSDAYADJ=-2", "CDR=GQ", "CDR=P9")</f>
        <v>44944</v>
      </c>
      <c r="C33" cm="1">
        <f t="array" ref="C33">_xll.BDH("XAU Curncy","PX_LAST",A33,A33)</f>
        <v>1916.02</v>
      </c>
      <c r="D33" s="15" t="str" cm="1">
        <f t="array" ref="D33">_xll.BDP("GCG23 Comdty",$M$32)</f>
        <v>01/02/2023</v>
      </c>
      <c r="E33">
        <f t="shared" si="17"/>
        <v>14</v>
      </c>
      <c r="F33" s="13">
        <v>4.3999999999999997E-2</v>
      </c>
      <c r="G33" s="3">
        <f t="shared" si="18"/>
        <v>3.2785231111111108</v>
      </c>
      <c r="H33" s="12">
        <v>2.9</v>
      </c>
      <c r="I33" s="5">
        <f t="shared" si="19"/>
        <v>-0.37852311111111092</v>
      </c>
      <c r="J33">
        <v>4</v>
      </c>
      <c r="K33">
        <v>6</v>
      </c>
      <c r="L33">
        <v>8</v>
      </c>
      <c r="N33" s="1">
        <v>44942</v>
      </c>
      <c r="O33" s="2" cm="1">
        <f t="array" ref="O33">_xll.BADDPERIODS(N33, "PER=WD", "NUMBEROFPERIODS=2", "BUSDAYADJ=-2", "CDR=GQ", "CDR=P9")</f>
        <v>44944</v>
      </c>
      <c r="P33" cm="1">
        <f t="array" ref="P33">_xll.BDH("XAG Curncy","PX_LAST",N33,N33)</f>
        <v>24.2545</v>
      </c>
      <c r="Q33" s="15" t="str" cm="1">
        <f t="array" ref="Q33">_xll.BDP("SIH23 Comdty",$M$32)</f>
        <v>01/03/2023</v>
      </c>
      <c r="R33">
        <f t="shared" si="20"/>
        <v>42</v>
      </c>
      <c r="S33" s="13">
        <v>4.2500000000000003E-2</v>
      </c>
      <c r="T33" s="11">
        <f t="shared" si="21"/>
        <v>0.12026189583333334</v>
      </c>
      <c r="U33" s="12">
        <v>0.155</v>
      </c>
      <c r="V33" s="6">
        <f t="shared" si="8"/>
        <v>3.4738104166666659</v>
      </c>
      <c r="W33" s="15">
        <v>15</v>
      </c>
      <c r="X33" s="15">
        <v>20</v>
      </c>
      <c r="Y33" s="15">
        <v>25</v>
      </c>
      <c r="Z33" s="4">
        <f t="shared" si="9"/>
        <v>12.026189583333334</v>
      </c>
      <c r="AA33" s="4">
        <f t="shared" si="10"/>
        <v>15.5</v>
      </c>
      <c r="AB33" s="4">
        <f t="shared" si="11"/>
        <v>3.4738104166666659</v>
      </c>
      <c r="AE33" s="44" t="str" cm="1">
        <f t="array" ref="AE33">_xll.BDH("COMXGOLD Comdty","PX_Last", N33)</f>
        <v>#N/A N/A</v>
      </c>
      <c r="AF33" s="15" t="str" cm="1">
        <f t="array" ref="AF33">_xll.BDS("GCA Comdty","FUT_CHAIN", "CHAIN_DATE",A33,"endrow=1")</f>
        <v>GCF23 Comdty</v>
      </c>
      <c r="AG33" s="44" t="str" cm="1">
        <f t="array" ref="AG33">_xll.BDH(AF33,"FUT_AGGTE_OPEN_INT",A33)</f>
        <v>#N/A N/A</v>
      </c>
      <c r="AH33" s="44" t="e">
        <f t="shared" si="12"/>
        <v>#VALUE!</v>
      </c>
      <c r="AI33" s="48" t="e">
        <f t="shared" si="13"/>
        <v>#VALUE!</v>
      </c>
      <c r="AJ33" s="45"/>
      <c r="AK33" s="44" t="str" cm="1">
        <f t="array" ref="AK33">_xll.BDH("COMXSILV Comdty","PX_Last", N33)</f>
        <v>#N/A N/A</v>
      </c>
      <c r="AL33" s="15" t="str" cm="1">
        <f t="array" ref="AL33">_xll.BDS("SIA Comdty","FUT_CHAIN", "CHAIN_DATE",A33,"endrow=1")</f>
        <v>SIF23 Comdty</v>
      </c>
      <c r="AM33" s="47" t="str" cm="1">
        <f t="array" ref="AM33">_xll.BDH(AL33,"FUT_AGGTE_OPEN_INT",A33)</f>
        <v>#N/A N/A</v>
      </c>
      <c r="AN33" s="45" t="e">
        <f t="shared" si="14"/>
        <v>#VALUE!</v>
      </c>
      <c r="AO33" s="46" t="e">
        <f t="shared" si="15"/>
        <v>#VALUE!</v>
      </c>
      <c r="AP33" s="46" t="e">
        <f t="shared" si="16"/>
        <v>#VALUE!</v>
      </c>
      <c r="AQ33" s="46"/>
    </row>
    <row r="34" spans="1:43" x14ac:dyDescent="0.2">
      <c r="A34" s="24">
        <v>44943</v>
      </c>
      <c r="B34" s="2" cm="1">
        <f t="array" ref="B34">_xll.BADDPERIODS(A34, "PER=WD", "NUMBEROFPERIODS=2", "BUSDAYADJ=-2", "CDR=GQ", "CDR=P9")</f>
        <v>44945</v>
      </c>
      <c r="C34" cm="1">
        <f t="array" ref="C34">_xll.BDH("XAU Curncy","PX_LAST",A34,A34)</f>
        <v>1908.69</v>
      </c>
      <c r="D34" s="15" t="str" cm="1">
        <f t="array" ref="D34">_xll.BDP("GCG23 Comdty",$M$32)</f>
        <v>01/02/2023</v>
      </c>
      <c r="E34">
        <f t="shared" si="17"/>
        <v>13</v>
      </c>
      <c r="F34" s="13">
        <v>4.3999999999999997E-2</v>
      </c>
      <c r="G34" s="3">
        <f t="shared" si="18"/>
        <v>3.032696333333333</v>
      </c>
      <c r="H34" s="12">
        <v>2.6</v>
      </c>
      <c r="I34" s="5">
        <f t="shared" si="19"/>
        <v>-0.43269633333333291</v>
      </c>
      <c r="J34">
        <v>4</v>
      </c>
      <c r="K34">
        <v>6</v>
      </c>
      <c r="L34">
        <v>8</v>
      </c>
      <c r="N34" s="1">
        <v>44943</v>
      </c>
      <c r="O34" s="2" cm="1">
        <f t="array" ref="O34">_xll.BADDPERIODS(N34, "PER=WD", "NUMBEROFPERIODS=2", "BUSDAYADJ=-2", "CDR=GQ", "CDR=P9")</f>
        <v>44945</v>
      </c>
      <c r="P34" cm="1">
        <f t="array" ref="P34">_xll.BDH("XAG Curncy","PX_LAST",N34,N34)</f>
        <v>23.928599999999999</v>
      </c>
      <c r="Q34" s="15" t="str" cm="1">
        <f t="array" ref="Q34">_xll.BDP("SIH23 Comdty",$M$32)</f>
        <v>01/03/2023</v>
      </c>
      <c r="R34">
        <f t="shared" si="20"/>
        <v>41</v>
      </c>
      <c r="S34" s="13">
        <v>4.2500000000000003E-2</v>
      </c>
      <c r="T34" s="11">
        <f t="shared" si="21"/>
        <v>0.11582107083333333</v>
      </c>
      <c r="U34" s="12">
        <v>0.14249999999999999</v>
      </c>
      <c r="V34" s="6">
        <f t="shared" si="8"/>
        <v>2.6678929166666658</v>
      </c>
      <c r="W34" s="15">
        <v>15</v>
      </c>
      <c r="X34" s="15">
        <v>20</v>
      </c>
      <c r="Y34" s="15">
        <v>25</v>
      </c>
      <c r="Z34" s="4">
        <f t="shared" si="9"/>
        <v>11.582107083333334</v>
      </c>
      <c r="AA34" s="4">
        <f t="shared" si="10"/>
        <v>14.249999999999998</v>
      </c>
      <c r="AB34" s="4">
        <f t="shared" si="11"/>
        <v>2.6678929166666658</v>
      </c>
      <c r="AE34" s="44" cm="1">
        <f t="array" ref="AE34">_xll.BDH("COMXGOLD Comdty","PX_Last", N34)</f>
        <v>22781209.077</v>
      </c>
      <c r="AF34" s="15" t="str" cm="1">
        <f t="array" ref="AF34">_xll.BDS("GCA Comdty","FUT_CHAIN", "CHAIN_DATE",A34,"endrow=1")</f>
        <v>GCF23 Comdty</v>
      </c>
      <c r="AG34" s="44" cm="1">
        <f t="array" ref="AG34">_xll.BDH(AF34,"FUT_AGGTE_OPEN_INT",A34)</f>
        <v>491818</v>
      </c>
      <c r="AH34" s="44">
        <f t="shared" si="12"/>
        <v>49181800</v>
      </c>
      <c r="AI34" s="48">
        <f t="shared" si="13"/>
        <v>0.46320405265769043</v>
      </c>
      <c r="AJ34" s="45"/>
      <c r="AK34" s="44" cm="1">
        <f t="array" ref="AK34">_xll.BDH("COMXSILV Comdty","PX_Last", N34)</f>
        <v>295343.03000000003</v>
      </c>
      <c r="AL34" s="15" t="str" cm="1">
        <f t="array" ref="AL34">_xll.BDS("SIA Comdty","FUT_CHAIN", "CHAIN_DATE",A34,"endrow=1")</f>
        <v>SIF23 Comdty</v>
      </c>
      <c r="AM34" s="47" cm="1">
        <f t="array" ref="AM34">_xll.BDH(AL34,"FUT_AGGTE_OPEN_INT",A34)</f>
        <v>131862</v>
      </c>
      <c r="AN34" s="45">
        <f t="shared" si="14"/>
        <v>447.95775886912082</v>
      </c>
      <c r="AO34" s="46">
        <f t="shared" si="15"/>
        <v>29534303000.000004</v>
      </c>
      <c r="AP34" s="46">
        <f t="shared" si="16"/>
        <v>659310</v>
      </c>
      <c r="AQ34" s="46"/>
    </row>
    <row r="35" spans="1:43" x14ac:dyDescent="0.2">
      <c r="A35" s="24">
        <v>44944</v>
      </c>
      <c r="B35" s="2" cm="1">
        <f t="array" ref="B35">_xll.BADDPERIODS(A35, "PER=WD", "NUMBEROFPERIODS=2", "BUSDAYADJ=-2", "CDR=GQ", "CDR=P9")</f>
        <v>44946</v>
      </c>
      <c r="C35" cm="1">
        <f t="array" ref="C35">_xll.BDH("XAU Curncy","PX_LAST",A35,A35)</f>
        <v>1904.11</v>
      </c>
      <c r="D35" s="15" t="str" cm="1">
        <f t="array" ref="D35">_xll.BDP("GCG23 Comdty",$M$32)</f>
        <v>01/02/2023</v>
      </c>
      <c r="E35">
        <f t="shared" si="17"/>
        <v>12</v>
      </c>
      <c r="F35" s="13">
        <v>4.3999999999999997E-2</v>
      </c>
      <c r="G35" s="3">
        <f t="shared" si="18"/>
        <v>2.7926946666666663</v>
      </c>
      <c r="H35" s="12">
        <v>2</v>
      </c>
      <c r="I35" s="5">
        <f t="shared" si="19"/>
        <v>-0.79269466666666633</v>
      </c>
      <c r="J35">
        <v>4</v>
      </c>
      <c r="K35">
        <v>6</v>
      </c>
      <c r="L35">
        <v>8</v>
      </c>
      <c r="N35" s="1">
        <v>44944</v>
      </c>
      <c r="O35" s="2" cm="1">
        <f t="array" ref="O35">_xll.BADDPERIODS(N35, "PER=WD", "NUMBEROFPERIODS=2", "BUSDAYADJ=-2", "CDR=GQ", "CDR=P9")</f>
        <v>44946</v>
      </c>
      <c r="P35" cm="1">
        <f t="array" ref="P35">_xll.BDH("XAG Curncy","PX_LAST",N35,N35)</f>
        <v>23.464500000000001</v>
      </c>
      <c r="Q35" s="15" t="str" cm="1">
        <f t="array" ref="Q35">_xll.BDP("SIH23 Comdty",$M$32)</f>
        <v>01/03/2023</v>
      </c>
      <c r="R35">
        <f t="shared" si="20"/>
        <v>40</v>
      </c>
      <c r="S35" s="13">
        <v>4.2500000000000003E-2</v>
      </c>
      <c r="T35" s="11">
        <f t="shared" si="21"/>
        <v>0.11080458333333335</v>
      </c>
      <c r="U35" s="12">
        <v>0.14000000000000001</v>
      </c>
      <c r="V35" s="6">
        <f t="shared" si="8"/>
        <v>2.9195416666666669</v>
      </c>
      <c r="W35" s="15">
        <v>15</v>
      </c>
      <c r="X35" s="15">
        <v>20</v>
      </c>
      <c r="Y35" s="15">
        <v>25</v>
      </c>
      <c r="Z35" s="4">
        <f t="shared" si="9"/>
        <v>11.080458333333334</v>
      </c>
      <c r="AA35" s="4">
        <f t="shared" si="10"/>
        <v>14.000000000000002</v>
      </c>
      <c r="AB35" s="4">
        <f t="shared" si="11"/>
        <v>2.9195416666666669</v>
      </c>
      <c r="AE35" s="44" cm="1">
        <f t="array" ref="AE35">_xll.BDH("COMXGOLD Comdty","PX_Last", N35)</f>
        <v>22781209.077</v>
      </c>
      <c r="AF35" s="15" t="str" cm="1">
        <f t="array" ref="AF35">_xll.BDS("GCA Comdty","FUT_CHAIN", "CHAIN_DATE",A35,"endrow=1")</f>
        <v>GCF23 Comdty</v>
      </c>
      <c r="AG35" s="44" cm="1">
        <f t="array" ref="AG35">_xll.BDH(AF35,"FUT_AGGTE_OPEN_INT",A35)</f>
        <v>487132</v>
      </c>
      <c r="AH35" s="44">
        <f t="shared" si="12"/>
        <v>48713200</v>
      </c>
      <c r="AI35" s="48">
        <f t="shared" si="13"/>
        <v>0.46765987611160836</v>
      </c>
      <c r="AJ35" s="45"/>
      <c r="AK35" s="44" cm="1">
        <f t="array" ref="AK35">_xll.BDH("COMXSILV Comdty","PX_Last", N35)</f>
        <v>295292.21999999997</v>
      </c>
      <c r="AL35" s="15" t="str" cm="1">
        <f t="array" ref="AL35">_xll.BDS("SIA Comdty","FUT_CHAIN", "CHAIN_DATE",A35,"endrow=1")</f>
        <v>SIF23 Comdty</v>
      </c>
      <c r="AM35" s="47" cm="1">
        <f t="array" ref="AM35">_xll.BDH(AL35,"FUT_AGGTE_OPEN_INT",A35)</f>
        <v>132920</v>
      </c>
      <c r="AN35" s="45">
        <f t="shared" si="14"/>
        <v>444.31570869696048</v>
      </c>
      <c r="AO35" s="46">
        <f t="shared" si="15"/>
        <v>29529221999.999996</v>
      </c>
      <c r="AP35" s="46">
        <f t="shared" si="16"/>
        <v>664600</v>
      </c>
      <c r="AQ35" s="46"/>
    </row>
    <row r="36" spans="1:43" x14ac:dyDescent="0.2">
      <c r="A36" s="24">
        <v>44945</v>
      </c>
      <c r="B36" s="2" cm="1">
        <f t="array" ref="B36">_xll.BADDPERIODS(A36, "PER=WD", "NUMBEROFPERIODS=2", "BUSDAYADJ=-2", "CDR=GQ", "CDR=P9")</f>
        <v>44949</v>
      </c>
      <c r="C36" cm="1">
        <f t="array" ref="C36">_xll.BDH("XAU Curncy","PX_LAST",A36,A36)</f>
        <v>1932.24</v>
      </c>
      <c r="D36" s="15" t="str" cm="1">
        <f t="array" ref="D36">_xll.BDP("GCG23 Comdty",$M$32)</f>
        <v>01/02/2023</v>
      </c>
      <c r="E36">
        <f t="shared" si="17"/>
        <v>9</v>
      </c>
      <c r="F36" s="13">
        <v>4.3999999999999997E-2</v>
      </c>
      <c r="G36" s="3">
        <f t="shared" si="18"/>
        <v>2.125464</v>
      </c>
      <c r="H36" s="12">
        <v>1.3</v>
      </c>
      <c r="I36" s="5">
        <f t="shared" si="19"/>
        <v>-0.82546399999999998</v>
      </c>
      <c r="J36">
        <v>4</v>
      </c>
      <c r="K36">
        <v>6</v>
      </c>
      <c r="L36">
        <v>8</v>
      </c>
      <c r="N36" s="1">
        <v>44945</v>
      </c>
      <c r="O36" s="2" cm="1">
        <f t="array" ref="O36">_xll.BADDPERIODS(N36, "PER=WD", "NUMBEROFPERIODS=2", "BUSDAYADJ=-2", "CDR=GQ", "CDR=P9")</f>
        <v>44949</v>
      </c>
      <c r="P36" cm="1">
        <f t="array" ref="P36">_xll.BDH("XAG Curncy","PX_LAST",N36,N36)</f>
        <v>23.847899999999999</v>
      </c>
      <c r="Q36" s="15" t="str" cm="1">
        <f t="array" ref="Q36">_xll.BDP("SIH23 Comdty",$M$32)</f>
        <v>01/03/2023</v>
      </c>
      <c r="R36">
        <f t="shared" si="20"/>
        <v>37</v>
      </c>
      <c r="S36" s="13">
        <v>4.2999999999999997E-2</v>
      </c>
      <c r="T36" s="11">
        <f t="shared" si="21"/>
        <v>0.10539446916666666</v>
      </c>
      <c r="U36" s="12">
        <v>0.1225</v>
      </c>
      <c r="V36" s="6">
        <f t="shared" si="8"/>
        <v>1.710553083333334</v>
      </c>
      <c r="W36" s="15">
        <v>15</v>
      </c>
      <c r="X36" s="15">
        <v>20</v>
      </c>
      <c r="Y36" s="15">
        <v>25</v>
      </c>
      <c r="Z36" s="4">
        <f t="shared" si="9"/>
        <v>10.539446916666666</v>
      </c>
      <c r="AA36" s="4">
        <f t="shared" si="10"/>
        <v>12.25</v>
      </c>
      <c r="AB36" s="4">
        <f t="shared" si="11"/>
        <v>1.710553083333334</v>
      </c>
      <c r="AE36" s="44" cm="1">
        <f t="array" ref="AE36">_xll.BDH("COMXGOLD Comdty","PX_Last", N36)</f>
        <v>22873418.145</v>
      </c>
      <c r="AF36" s="15" t="str" cm="1">
        <f t="array" ref="AF36">_xll.BDS("GCA Comdty","FUT_CHAIN", "CHAIN_DATE",A36,"endrow=1")</f>
        <v>GCF23 Comdty</v>
      </c>
      <c r="AG36" s="44" cm="1">
        <f t="array" ref="AG36">_xll.BDH(AF36,"FUT_AGGTE_OPEN_INT",A36)</f>
        <v>493286</v>
      </c>
      <c r="AH36" s="44">
        <f t="shared" si="12"/>
        <v>49328600</v>
      </c>
      <c r="AI36" s="48">
        <f t="shared" si="13"/>
        <v>0.46369485744578193</v>
      </c>
      <c r="AJ36" s="45"/>
      <c r="AK36" s="44" cm="1">
        <f t="array" ref="AK36">_xll.BDH("COMXSILV Comdty","PX_Last", N36)</f>
        <v>294538.59000000003</v>
      </c>
      <c r="AL36" s="15" t="str" cm="1">
        <f t="array" ref="AL36">_xll.BDS("SIA Comdty","FUT_CHAIN", "CHAIN_DATE",A36,"endrow=1")</f>
        <v>SIF23 Comdty</v>
      </c>
      <c r="AM36" s="47" cm="1">
        <f t="array" ref="AM36">_xll.BDH(AL36,"FUT_AGGTE_OPEN_INT",A36)</f>
        <v>132641</v>
      </c>
      <c r="AN36" s="45">
        <f t="shared" si="14"/>
        <v>444.11394666807405</v>
      </c>
      <c r="AO36" s="46">
        <f t="shared" si="15"/>
        <v>29453859000.000004</v>
      </c>
      <c r="AP36" s="46">
        <f t="shared" si="16"/>
        <v>663205</v>
      </c>
      <c r="AQ36" s="46"/>
    </row>
    <row r="37" spans="1:43" x14ac:dyDescent="0.2">
      <c r="A37" s="24">
        <v>44946</v>
      </c>
      <c r="B37" s="2" cm="1">
        <f t="array" ref="B37">_xll.BADDPERIODS(A37, "PER=WD", "NUMBEROFPERIODS=2", "BUSDAYADJ=-2", "CDR=GQ", "CDR=P9")</f>
        <v>44950</v>
      </c>
      <c r="C37" cm="1">
        <f t="array" ref="C37">_xll.BDH("XAU Curncy","PX_LAST",A37,A37)</f>
        <v>1926.08</v>
      </c>
      <c r="D37" s="15" t="str" cm="1">
        <f t="array" ref="D37">_xll.BDP("GCG23 Comdty",$M$32)</f>
        <v>01/02/2023</v>
      </c>
      <c r="E37">
        <f t="shared" si="17"/>
        <v>8</v>
      </c>
      <c r="F37" s="13">
        <v>4.3999999999999997E-2</v>
      </c>
      <c r="G37" s="3">
        <f t="shared" si="18"/>
        <v>1.8832782222222222</v>
      </c>
      <c r="H37" s="12">
        <v>1.3</v>
      </c>
      <c r="I37" s="5">
        <f t="shared" si="19"/>
        <v>-0.58327822222222214</v>
      </c>
      <c r="J37">
        <v>4</v>
      </c>
      <c r="K37">
        <v>6</v>
      </c>
      <c r="L37">
        <v>8</v>
      </c>
      <c r="N37" s="1">
        <v>44946</v>
      </c>
      <c r="O37" s="2" cm="1">
        <f t="array" ref="O37">_xll.BADDPERIODS(N37, "PER=WD", "NUMBEROFPERIODS=2", "BUSDAYADJ=-2", "CDR=GQ", "CDR=P9")</f>
        <v>44950</v>
      </c>
      <c r="P37" cm="1">
        <f t="array" ref="P37">_xll.BDH("XAG Curncy","PX_LAST",N37,N37)</f>
        <v>23.933</v>
      </c>
      <c r="Q37" s="15" t="str" cm="1">
        <f t="array" ref="Q37">_xll.BDP("SIH23 Comdty",$M$32)</f>
        <v>01/03/2023</v>
      </c>
      <c r="R37">
        <f t="shared" si="20"/>
        <v>36</v>
      </c>
      <c r="S37" s="13">
        <v>4.2999999999999997E-2</v>
      </c>
      <c r="T37" s="11">
        <f t="shared" si="21"/>
        <v>0.10291189999999999</v>
      </c>
      <c r="U37" s="12">
        <v>0.12</v>
      </c>
      <c r="V37" s="6">
        <f t="shared" si="8"/>
        <v>1.7088100000000008</v>
      </c>
      <c r="W37" s="15">
        <v>15</v>
      </c>
      <c r="X37" s="15">
        <v>20</v>
      </c>
      <c r="Y37" s="15">
        <v>25</v>
      </c>
      <c r="Z37" s="4">
        <f t="shared" si="9"/>
        <v>10.291189999999999</v>
      </c>
      <c r="AA37" s="4">
        <f t="shared" si="10"/>
        <v>12</v>
      </c>
      <c r="AB37" s="4">
        <f t="shared" si="11"/>
        <v>1.7088100000000008</v>
      </c>
      <c r="AE37" s="44" cm="1">
        <f t="array" ref="AE37">_xll.BDH("COMXGOLD Comdty","PX_Last", N37)</f>
        <v>22709480.195999999</v>
      </c>
      <c r="AF37" s="15" t="str" cm="1">
        <f t="array" ref="AF37">_xll.BDS("GCA Comdty","FUT_CHAIN", "CHAIN_DATE",A37,"endrow=1")</f>
        <v>GCF23 Comdty</v>
      </c>
      <c r="AG37" s="44" cm="1">
        <f t="array" ref="AG37">_xll.BDH(AF37,"FUT_AGGTE_OPEN_INT",A37)</f>
        <v>497500</v>
      </c>
      <c r="AH37" s="44">
        <f t="shared" si="12"/>
        <v>49750000</v>
      </c>
      <c r="AI37" s="48">
        <f t="shared" si="13"/>
        <v>0.45647196373869342</v>
      </c>
      <c r="AJ37" s="45"/>
      <c r="AK37" s="44" cm="1">
        <f t="array" ref="AK37">_xll.BDH("COMXSILV Comdty","PX_Last", N37)</f>
        <v>293748.81</v>
      </c>
      <c r="AL37" s="15" t="str" cm="1">
        <f t="array" ref="AL37">_xll.BDS("SIA Comdty","FUT_CHAIN", "CHAIN_DATE",A37,"endrow=1")</f>
        <v>SIF23 Comdty</v>
      </c>
      <c r="AM37" s="47" cm="1">
        <f t="array" ref="AM37">_xll.BDH(AL37,"FUT_AGGTE_OPEN_INT",A37)</f>
        <v>132414</v>
      </c>
      <c r="AN37" s="45">
        <f t="shared" si="14"/>
        <v>443.68240518374188</v>
      </c>
      <c r="AO37" s="46">
        <f t="shared" si="15"/>
        <v>29374881000</v>
      </c>
      <c r="AP37" s="46">
        <f t="shared" si="16"/>
        <v>662070</v>
      </c>
      <c r="AQ37" s="46"/>
    </row>
    <row r="38" spans="1:43" x14ac:dyDescent="0.2">
      <c r="A38" s="24">
        <v>44949</v>
      </c>
      <c r="B38" s="2" cm="1">
        <f t="array" ref="B38">_xll.BADDPERIODS(A38, "PER=WD", "NUMBEROFPERIODS=2", "BUSDAYADJ=-2", "CDR=GQ", "CDR=P9")</f>
        <v>44951</v>
      </c>
      <c r="C38" cm="1">
        <f t="array" ref="C38">_xll.BDH("XAU Curncy","PX_LAST",A38,A38)</f>
        <v>1931.04</v>
      </c>
      <c r="D38" s="15" t="str" cm="1">
        <f t="array" ref="D38">_xll.BDP("GCG23 Comdty",$M$32)</f>
        <v>01/02/2023</v>
      </c>
      <c r="E38">
        <f t="shared" ref="E38:E46" si="22">_xlfn.DAYS(D38,B38)</f>
        <v>7</v>
      </c>
      <c r="F38" s="13">
        <v>4.3999999999999997E-2</v>
      </c>
      <c r="G38" s="3">
        <f t="shared" ref="G38:G46" si="23">C38*(E38/360)*F38</f>
        <v>1.652112</v>
      </c>
      <c r="H38" s="12">
        <v>1.3</v>
      </c>
      <c r="I38" s="5">
        <f t="shared" ref="I38:I46" si="24">H38-G38</f>
        <v>-0.35211199999999998</v>
      </c>
      <c r="J38">
        <v>4</v>
      </c>
      <c r="K38">
        <v>6</v>
      </c>
      <c r="L38">
        <v>8</v>
      </c>
      <c r="N38" s="1">
        <v>44949</v>
      </c>
      <c r="O38" s="2" cm="1">
        <f t="array" ref="O38">_xll.BADDPERIODS(N38, "PER=WD", "NUMBEROFPERIODS=2", "BUSDAYADJ=-2", "CDR=GQ", "CDR=P9")</f>
        <v>44951</v>
      </c>
      <c r="P38" cm="1">
        <f t="array" ref="P38">_xll.BDH("XAG Curncy","PX_LAST",N38,N38)</f>
        <v>23.457999999999998</v>
      </c>
      <c r="Q38" s="15" t="str" cm="1">
        <f t="array" ref="Q38">_xll.BDP("SIH23 Comdty",$M$32)</f>
        <v>01/03/2023</v>
      </c>
      <c r="R38">
        <f t="shared" ref="R38:R46" si="25">_xlfn.DAYS(Q38,O38)</f>
        <v>35</v>
      </c>
      <c r="S38" s="13">
        <v>4.3999999999999997E-2</v>
      </c>
      <c r="T38" s="11">
        <f t="shared" ref="T38:T46" si="26">P38*(R38/360)*S38</f>
        <v>0.10034811111111111</v>
      </c>
      <c r="U38" s="12">
        <v>0.115</v>
      </c>
      <c r="V38" s="6">
        <f t="shared" si="8"/>
        <v>1.4651888888888895</v>
      </c>
      <c r="W38" s="15">
        <v>15</v>
      </c>
      <c r="X38" s="15">
        <v>20</v>
      </c>
      <c r="Y38" s="15">
        <v>25</v>
      </c>
      <c r="Z38" s="4">
        <f t="shared" si="9"/>
        <v>10.034811111111111</v>
      </c>
      <c r="AA38" s="4">
        <f t="shared" si="10"/>
        <v>11.5</v>
      </c>
      <c r="AB38" s="4">
        <f t="shared" si="11"/>
        <v>1.4651888888888895</v>
      </c>
      <c r="AE38" s="44" cm="1">
        <f t="array" ref="AE38">_xll.BDH("COMXGOLD Comdty","PX_Last", N38)</f>
        <v>22487606.147999998</v>
      </c>
      <c r="AF38" s="15" t="str" cm="1">
        <f t="array" ref="AF38">_xll.BDS("GCA Comdty","FUT_CHAIN", "CHAIN_DATE",A38,"endrow=1")</f>
        <v>GCF23 Comdty</v>
      </c>
      <c r="AG38" s="44" cm="1">
        <f t="array" ref="AG38">_xll.BDH(AF38,"FUT_AGGTE_OPEN_INT",A38)</f>
        <v>502492</v>
      </c>
      <c r="AH38" s="44">
        <f t="shared" si="12"/>
        <v>50249200</v>
      </c>
      <c r="AI38" s="48">
        <f t="shared" si="13"/>
        <v>0.44752167493213818</v>
      </c>
      <c r="AJ38" s="45"/>
      <c r="AK38" s="44" cm="1">
        <f t="array" ref="AK38">_xll.BDH("COMXSILV Comdty","PX_Last", N38)</f>
        <v>292740.46999999997</v>
      </c>
      <c r="AL38" s="15" t="str" cm="1">
        <f t="array" ref="AL38">_xll.BDS("SIA Comdty","FUT_CHAIN", "CHAIN_DATE",A38,"endrow=1")</f>
        <v>SIF23 Comdty</v>
      </c>
      <c r="AM38" s="47" cm="1">
        <f t="array" ref="AM38">_xll.BDH(AL38,"FUT_AGGTE_OPEN_INT",A38)</f>
        <v>134669</v>
      </c>
      <c r="AN38" s="45">
        <f t="shared" si="14"/>
        <v>434.75554136438222</v>
      </c>
      <c r="AO38" s="46">
        <f t="shared" si="15"/>
        <v>29274046999.999996</v>
      </c>
      <c r="AP38" s="46">
        <f t="shared" si="16"/>
        <v>673345</v>
      </c>
      <c r="AQ38" s="46"/>
    </row>
    <row r="39" spans="1:43" x14ac:dyDescent="0.2">
      <c r="A39" s="24">
        <v>44950</v>
      </c>
      <c r="B39" s="2" cm="1">
        <f t="array" ref="B39">_xll.BADDPERIODS(A39, "PER=WD", "NUMBEROFPERIODS=2", "BUSDAYADJ=-2", "CDR=GQ", "CDR=P9")</f>
        <v>44952</v>
      </c>
      <c r="C39" cm="1">
        <f t="array" ref="C39">_xll.BDH("XAU Curncy","PX_LAST",A39,A39)</f>
        <v>1937.36</v>
      </c>
      <c r="D39" s="15" t="str" cm="1">
        <f t="array" ref="D39">_xll.BDP("GCG23 Comdty",$M$32)</f>
        <v>01/02/2023</v>
      </c>
      <c r="E39">
        <f t="shared" si="22"/>
        <v>6</v>
      </c>
      <c r="F39" s="13">
        <v>4.3999999999999997E-2</v>
      </c>
      <c r="G39" s="3">
        <f t="shared" si="23"/>
        <v>1.4207306666666666</v>
      </c>
      <c r="H39" s="12">
        <v>1</v>
      </c>
      <c r="I39" s="5">
        <f t="shared" si="24"/>
        <v>-0.42073066666666659</v>
      </c>
      <c r="J39">
        <v>4</v>
      </c>
      <c r="K39">
        <v>6</v>
      </c>
      <c r="L39">
        <v>8</v>
      </c>
      <c r="N39" s="1">
        <v>44950</v>
      </c>
      <c r="O39" s="2" cm="1">
        <f t="array" ref="O39">_xll.BADDPERIODS(N39, "PER=WD", "NUMBEROFPERIODS=2", "BUSDAYADJ=-2", "CDR=GQ", "CDR=P9")</f>
        <v>44952</v>
      </c>
      <c r="P39" cm="1">
        <f t="array" ref="P39">_xll.BDH("XAG Curncy","PX_LAST",N39,N39)</f>
        <v>23.675999999999998</v>
      </c>
      <c r="Q39" s="15" t="str" cm="1">
        <f t="array" ref="Q39">_xll.BDP("SIH23 Comdty",$M$32)</f>
        <v>01/03/2023</v>
      </c>
      <c r="R39">
        <f t="shared" si="25"/>
        <v>34</v>
      </c>
      <c r="S39" s="13">
        <v>4.2999999999999997E-2</v>
      </c>
      <c r="T39" s="11">
        <f t="shared" si="26"/>
        <v>9.6150866666666654E-2</v>
      </c>
      <c r="U39" s="12">
        <v>0.1</v>
      </c>
      <c r="V39" s="6">
        <f t="shared" si="8"/>
        <v>0.38491333333333516</v>
      </c>
      <c r="W39" s="15">
        <v>15</v>
      </c>
      <c r="X39" s="15">
        <v>20</v>
      </c>
      <c r="Y39" s="15">
        <v>25</v>
      </c>
      <c r="Z39" s="4">
        <f t="shared" ref="Z39:Z46" si="27">100*T39</f>
        <v>9.6150866666666648</v>
      </c>
      <c r="AA39" s="4">
        <f t="shared" ref="AA39:AA46" si="28">U39*100</f>
        <v>10</v>
      </c>
      <c r="AB39" s="4">
        <f t="shared" si="11"/>
        <v>0.38491333333333516</v>
      </c>
      <c r="AE39" s="44" cm="1">
        <f t="array" ref="AE39">_xll.BDH("COMXGOLD Comdty","PX_Last", N39)</f>
        <v>22326851.147999998</v>
      </c>
      <c r="AF39" s="15" t="str" cm="1">
        <f t="array" ref="AF39">_xll.BDS("GCA Comdty","FUT_CHAIN", "CHAIN_DATE",A39,"endrow=1")</f>
        <v>GCF23 Comdty</v>
      </c>
      <c r="AG39" s="44" cm="1">
        <f t="array" ref="AG39">_xll.BDH(AF39,"FUT_AGGTE_OPEN_INT",A39)</f>
        <v>499927</v>
      </c>
      <c r="AH39" s="44">
        <f t="shared" si="12"/>
        <v>49992700</v>
      </c>
      <c r="AI39" s="48">
        <f t="shared" si="13"/>
        <v>0.44660222688512519</v>
      </c>
      <c r="AJ39" s="45"/>
      <c r="AK39" s="44" cm="1">
        <f t="array" ref="AK39">_xll.BDH("COMXSILV Comdty","PX_Last", N39)</f>
        <v>292788.25</v>
      </c>
      <c r="AL39" s="15" t="str" cm="1">
        <f t="array" ref="AL39">_xll.BDS("SIA Comdty","FUT_CHAIN", "CHAIN_DATE",A39,"endrow=1")</f>
        <v>SIF23 Comdty</v>
      </c>
      <c r="AM39" s="47" cm="1">
        <f t="array" ref="AM39">_xll.BDH(AL39,"FUT_AGGTE_OPEN_INT",A39)</f>
        <v>134922</v>
      </c>
      <c r="AN39" s="45">
        <f t="shared" si="14"/>
        <v>434.01113235795498</v>
      </c>
      <c r="AO39" s="46">
        <f t="shared" si="15"/>
        <v>29278825000</v>
      </c>
      <c r="AP39" s="46">
        <f t="shared" si="16"/>
        <v>674610</v>
      </c>
      <c r="AQ39" s="46"/>
    </row>
    <row r="40" spans="1:43" x14ac:dyDescent="0.2">
      <c r="A40" s="24">
        <v>44951</v>
      </c>
      <c r="B40" s="2" cm="1">
        <f t="array" ref="B40">_xll.BADDPERIODS(A40, "PER=WD", "NUMBEROFPERIODS=2", "BUSDAYADJ=-2", "CDR=GQ", "CDR=P9")</f>
        <v>44953</v>
      </c>
      <c r="C40" cm="1">
        <f t="array" ref="C40">_xll.BDH("XAU Curncy","PX_LAST",A40,A40)</f>
        <v>1946.11</v>
      </c>
      <c r="D40" s="15" t="str" cm="1">
        <f t="array" ref="D40">_xll.BDP("GCG23 Comdty",$M$32)</f>
        <v>01/02/2023</v>
      </c>
      <c r="E40">
        <f t="shared" si="22"/>
        <v>5</v>
      </c>
      <c r="F40" s="13">
        <v>4.3999999999999997E-2</v>
      </c>
      <c r="G40" s="3">
        <f t="shared" si="23"/>
        <v>1.1892894444444442</v>
      </c>
      <c r="H40" s="12">
        <v>0.7</v>
      </c>
      <c r="I40" s="5">
        <f t="shared" si="24"/>
        <v>-0.48928944444444422</v>
      </c>
      <c r="J40">
        <v>4</v>
      </c>
      <c r="K40">
        <v>6</v>
      </c>
      <c r="L40">
        <v>8</v>
      </c>
      <c r="N40" s="1">
        <v>44951</v>
      </c>
      <c r="O40" s="2" cm="1">
        <f t="array" ref="O40">_xll.BADDPERIODS(N40, "PER=WD", "NUMBEROFPERIODS=2", "BUSDAYADJ=-2", "CDR=GQ", "CDR=P9")</f>
        <v>44953</v>
      </c>
      <c r="P40" cm="1">
        <f t="array" ref="P40">_xll.BDH("XAG Curncy","PX_LAST",N40,N40)</f>
        <v>23.913</v>
      </c>
      <c r="Q40" s="15" t="str" cm="1">
        <f t="array" ref="Q40">_xll.BDP("SIH23 Comdty",$M$32)</f>
        <v>01/03/2023</v>
      </c>
      <c r="R40">
        <f t="shared" si="25"/>
        <v>33</v>
      </c>
      <c r="S40" s="13">
        <v>4.2999999999999997E-2</v>
      </c>
      <c r="T40" s="11">
        <f t="shared" si="26"/>
        <v>9.4257074999999982E-2</v>
      </c>
      <c r="U40" s="12">
        <v>0.1</v>
      </c>
      <c r="V40" s="6">
        <f t="shared" si="8"/>
        <v>0.57429250000000232</v>
      </c>
      <c r="W40" s="15">
        <v>15</v>
      </c>
      <c r="X40" s="15">
        <v>20</v>
      </c>
      <c r="Y40" s="15">
        <v>25</v>
      </c>
      <c r="Z40" s="4">
        <f t="shared" si="27"/>
        <v>9.4257074999999979</v>
      </c>
      <c r="AA40" s="4">
        <f t="shared" si="28"/>
        <v>10</v>
      </c>
      <c r="AB40" s="4">
        <f t="shared" si="11"/>
        <v>0.57429250000000232</v>
      </c>
      <c r="AE40" s="44" cm="1">
        <f t="array" ref="AE40">_xll.BDH("COMXGOLD Comdty","PX_Last", N40)</f>
        <v>22314858.824999999</v>
      </c>
      <c r="AF40" s="15" t="str" cm="1">
        <f t="array" ref="AF40">_xll.BDS("GCA Comdty","FUT_CHAIN", "CHAIN_DATE",A40,"endrow=1")</f>
        <v>GCF23 Comdty</v>
      </c>
      <c r="AG40" s="44" cm="1">
        <f t="array" ref="AG40">_xll.BDH(AF40,"FUT_AGGTE_OPEN_INT",A40)</f>
        <v>507068</v>
      </c>
      <c r="AH40" s="44">
        <f t="shared" si="12"/>
        <v>50706800</v>
      </c>
      <c r="AI40" s="48">
        <f t="shared" si="13"/>
        <v>0.44007625850970677</v>
      </c>
      <c r="AJ40" s="45"/>
      <c r="AK40" s="44" cm="1">
        <f t="array" ref="AK40">_xll.BDH("COMXSILV Comdty","PX_Last", N40)</f>
        <v>293182.90999999997</v>
      </c>
      <c r="AL40" s="15" t="str" cm="1">
        <f t="array" ref="AL40">_xll.BDS("SIA Comdty","FUT_CHAIN", "CHAIN_DATE",A40,"endrow=1")</f>
        <v>SIF23 Comdty</v>
      </c>
      <c r="AM40" s="47" cm="1">
        <f t="array" ref="AM40">_xll.BDH(AL40,"FUT_AGGTE_OPEN_INT",A40)</f>
        <v>135090</v>
      </c>
      <c r="AN40" s="45">
        <f t="shared" si="14"/>
        <v>434.05568139758674</v>
      </c>
      <c r="AO40" s="46">
        <f t="shared" si="15"/>
        <v>29318290999.999996</v>
      </c>
      <c r="AP40" s="46">
        <f t="shared" si="16"/>
        <v>675450</v>
      </c>
      <c r="AQ40" s="46"/>
    </row>
    <row r="41" spans="1:43" x14ac:dyDescent="0.2">
      <c r="A41" s="24">
        <v>44952</v>
      </c>
      <c r="B41" s="16" cm="1">
        <f t="array" ref="B41">_xll.BADDPERIODS(A41, "PER=WD", "NUMBEROFPERIODS=2", "BUSDAYADJ=-2", "CDR=GQ", "CDR=P9")</f>
        <v>44956</v>
      </c>
      <c r="C41" cm="1">
        <f t="array" ref="C41">_xll.BDH("XAU Curncy","PX_LAST",A41,A41)</f>
        <v>1929.21</v>
      </c>
      <c r="D41" s="15" t="str" cm="1">
        <f t="array" ref="D41">_xll.BDP("GCG23 Comdty",$M$32)</f>
        <v>01/02/2023</v>
      </c>
      <c r="E41">
        <f t="shared" si="22"/>
        <v>2</v>
      </c>
      <c r="F41" s="13">
        <v>4.3999999999999997E-2</v>
      </c>
      <c r="G41" s="3">
        <f t="shared" si="23"/>
        <v>0.47158466666666665</v>
      </c>
      <c r="H41" s="12">
        <v>0.2</v>
      </c>
      <c r="I41" s="5">
        <f t="shared" si="24"/>
        <v>-0.27158466666666664</v>
      </c>
      <c r="J41">
        <v>4</v>
      </c>
      <c r="K41">
        <v>6</v>
      </c>
      <c r="L41">
        <v>8</v>
      </c>
      <c r="N41" s="2">
        <v>44952</v>
      </c>
      <c r="O41" s="2" cm="1">
        <f t="array" ref="O41">_xll.BADDPERIODS(N41, "PER=WD", "NUMBEROFPERIODS=2", "BUSDAYADJ=-2", "CDR=GQ", "CDR=P9")</f>
        <v>44956</v>
      </c>
      <c r="P41" cm="1">
        <f t="array" ref="P41">_xll.BDH("XAG Curncy","PX_LAST",N41,N41)</f>
        <v>23.912500000000001</v>
      </c>
      <c r="Q41" s="15" t="str" cm="1">
        <f t="array" ref="Q41">_xll.BDP("SIH23 Comdty",$M$32)</f>
        <v>01/03/2023</v>
      </c>
      <c r="R41">
        <f t="shared" si="25"/>
        <v>30</v>
      </c>
      <c r="S41" s="13">
        <v>4.2999999999999997E-2</v>
      </c>
      <c r="T41" s="11">
        <f t="shared" si="26"/>
        <v>8.5686458333333326E-2</v>
      </c>
      <c r="U41" s="12">
        <v>0.12</v>
      </c>
      <c r="V41" s="6">
        <f t="shared" si="8"/>
        <v>3.4313541666666669</v>
      </c>
      <c r="W41" s="15">
        <v>15</v>
      </c>
      <c r="X41" s="15">
        <v>20</v>
      </c>
      <c r="Y41" s="15">
        <v>25</v>
      </c>
      <c r="Z41" s="4">
        <f t="shared" si="27"/>
        <v>8.5686458333333331</v>
      </c>
      <c r="AA41" s="4">
        <f t="shared" si="28"/>
        <v>12</v>
      </c>
      <c r="AB41" s="4">
        <f t="shared" si="11"/>
        <v>3.4313541666666669</v>
      </c>
      <c r="AE41" s="44" cm="1">
        <f t="array" ref="AE41">_xll.BDH("COMXGOLD Comdty","PX_Last", N41)</f>
        <v>22313251.274999999</v>
      </c>
      <c r="AF41" s="15" t="str" cm="1">
        <f t="array" ref="AF41">_xll.BDS("GCA Comdty","FUT_CHAIN", "CHAIN_DATE",A41,"endrow=1")</f>
        <v>GCF23 Comdty</v>
      </c>
      <c r="AG41" s="44" cm="1">
        <f t="array" ref="AG41">_xll.BDH(AF41,"FUT_AGGTE_OPEN_INT",A41)</f>
        <v>492098</v>
      </c>
      <c r="AH41" s="44">
        <f t="shared" si="12"/>
        <v>49209800</v>
      </c>
      <c r="AI41" s="48">
        <f t="shared" si="13"/>
        <v>0.45343104981121646</v>
      </c>
      <c r="AJ41" s="45"/>
      <c r="AK41" s="44" cm="1">
        <f t="array" ref="AK41">_xll.BDH("COMXSILV Comdty","PX_Last", N41)</f>
        <v>292767</v>
      </c>
      <c r="AL41" s="15" t="str" cm="1">
        <f t="array" ref="AL41">_xll.BDS("SIA Comdty","FUT_CHAIN", "CHAIN_DATE",A41,"endrow=1")</f>
        <v>SIF23 Comdty</v>
      </c>
      <c r="AM41" s="47" cm="1">
        <f t="array" ref="AM41">_xll.BDH(AL41,"FUT_AGGTE_OPEN_INT",A41)</f>
        <v>136370</v>
      </c>
      <c r="AN41" s="45">
        <f t="shared" si="14"/>
        <v>429.37156266040915</v>
      </c>
      <c r="AO41" s="46">
        <f t="shared" si="15"/>
        <v>29276700000</v>
      </c>
      <c r="AP41" s="46">
        <f t="shared" si="16"/>
        <v>681850</v>
      </c>
      <c r="AQ41" s="46"/>
    </row>
    <row r="42" spans="1:43" x14ac:dyDescent="0.2">
      <c r="A42" s="24">
        <v>44953</v>
      </c>
      <c r="B42" s="2" cm="1">
        <f t="array" ref="B42">_xll.BADDPERIODS(A42, "PER=WD", "NUMBEROFPERIODS=2", "BUSDAYADJ=-2", "CDR=GQ", "CDR=P9")</f>
        <v>44957</v>
      </c>
      <c r="C42" cm="1">
        <f t="array" ref="C42">_xll.BDH("XAU Curncy","PX_LAST",A42,A42)</f>
        <v>1928.04</v>
      </c>
      <c r="D42" s="15" t="str" cm="1">
        <f t="array" ref="D42">_xll.BDP("GCG23 Comdty",$M$32)</f>
        <v>01/02/2023</v>
      </c>
      <c r="E42">
        <f t="shared" si="22"/>
        <v>1</v>
      </c>
      <c r="F42" s="13">
        <v>4.3999999999999997E-2</v>
      </c>
      <c r="G42" s="3">
        <f t="shared" si="23"/>
        <v>0.23564933333333332</v>
      </c>
      <c r="H42" s="12">
        <v>0</v>
      </c>
      <c r="I42" s="5">
        <f t="shared" si="24"/>
        <v>-0.23564933333333332</v>
      </c>
      <c r="J42">
        <v>4</v>
      </c>
      <c r="K42">
        <v>6</v>
      </c>
      <c r="L42">
        <v>8</v>
      </c>
      <c r="N42" s="2">
        <v>44953</v>
      </c>
      <c r="O42" s="2" cm="1">
        <f t="array" ref="O42">_xll.BADDPERIODS(N42, "PER=WD", "NUMBEROFPERIODS=2", "BUSDAYADJ=-2", "CDR=GQ", "CDR=P9")</f>
        <v>44957</v>
      </c>
      <c r="P42" cm="1">
        <f t="array" ref="P42">_xll.BDH("XAG Curncy","PX_LAST",N42,N42)</f>
        <v>23.603999999999999</v>
      </c>
      <c r="Q42" s="15" t="str" cm="1">
        <f t="array" ref="Q42">_xll.BDP("SIH23 Comdty",$M$32)</f>
        <v>01/03/2023</v>
      </c>
      <c r="R42">
        <f t="shared" si="25"/>
        <v>29</v>
      </c>
      <c r="S42" s="13">
        <v>4.2999999999999997E-2</v>
      </c>
      <c r="T42" s="11">
        <f t="shared" si="26"/>
        <v>8.176163333333332E-2</v>
      </c>
      <c r="U42" s="12">
        <v>0.1</v>
      </c>
      <c r="V42" s="6">
        <f t="shared" si="8"/>
        <v>1.8238366666666685</v>
      </c>
      <c r="W42" s="15">
        <v>15</v>
      </c>
      <c r="X42" s="15">
        <v>20</v>
      </c>
      <c r="Y42" s="15">
        <v>25</v>
      </c>
      <c r="Z42" s="4">
        <f t="shared" si="27"/>
        <v>8.1761633333333315</v>
      </c>
      <c r="AA42" s="4">
        <f t="shared" si="28"/>
        <v>10</v>
      </c>
      <c r="AB42" s="4">
        <f t="shared" si="11"/>
        <v>1.8238366666666685</v>
      </c>
      <c r="AE42" s="44" cm="1">
        <f t="array" ref="AE42">_xll.BDH("COMXGOLD Comdty","PX_Last", N42)</f>
        <v>22313251.274999999</v>
      </c>
      <c r="AF42" s="15" t="str" cm="1">
        <f t="array" ref="AF42">_xll.BDS("GCA Comdty","FUT_CHAIN", "CHAIN_DATE",A42,"endrow=1")</f>
        <v>GCF23 Comdty</v>
      </c>
      <c r="AG42" s="44" cm="1">
        <f t="array" ref="AG42">_xll.BDH(AF42,"FUT_AGGTE_OPEN_INT",A42)</f>
        <v>479646</v>
      </c>
      <c r="AH42" s="44">
        <f t="shared" si="12"/>
        <v>47964600</v>
      </c>
      <c r="AI42" s="48">
        <f t="shared" si="13"/>
        <v>0.46520248839769329</v>
      </c>
      <c r="AJ42" s="45"/>
      <c r="AK42" s="44" cm="1">
        <f t="array" ref="AK42">_xll.BDH("COMXSILV Comdty","PX_Last", N42)</f>
        <v>292767</v>
      </c>
      <c r="AL42" s="15" t="str" cm="1">
        <f t="array" ref="AL42">_xll.BDS("SIA Comdty","FUT_CHAIN", "CHAIN_DATE",A42,"endrow=1")</f>
        <v>SIF23 Comdty</v>
      </c>
      <c r="AM42" s="47" cm="1">
        <f t="array" ref="AM42">_xll.BDH(AL42,"FUT_AGGTE_OPEN_INT",A42)</f>
        <v>136380</v>
      </c>
      <c r="AN42" s="45">
        <f t="shared" si="14"/>
        <v>429.34007919049714</v>
      </c>
      <c r="AO42" s="46">
        <f t="shared" si="15"/>
        <v>29276700000</v>
      </c>
      <c r="AP42" s="46">
        <f t="shared" si="16"/>
        <v>681900</v>
      </c>
      <c r="AQ42" s="46"/>
    </row>
    <row r="43" spans="1:43" x14ac:dyDescent="0.2">
      <c r="A43" s="24">
        <v>44956</v>
      </c>
      <c r="B43" s="2" cm="1">
        <f t="array" ref="B43">_xll.BADDPERIODS(A43, "PER=WD", "NUMBEROFPERIODS=2", "BUSDAYADJ=-2", "CDR=GQ", "CDR=P9")</f>
        <v>44958</v>
      </c>
      <c r="C43" cm="1">
        <f t="array" ref="C43">_xll.BDH("XAU Curncy","PX_LAST",A43,A43)</f>
        <v>1923.17</v>
      </c>
      <c r="D43" t="str" cm="1">
        <f t="array" ref="D43">_xll.BDP("GCJ23 Comdty",$M$32)</f>
        <v>03/04/2023</v>
      </c>
      <c r="E43">
        <f t="shared" si="22"/>
        <v>61</v>
      </c>
      <c r="F43" s="13">
        <v>4.7E-2</v>
      </c>
      <c r="G43" s="3">
        <f>C43*(E43/360)*F43</f>
        <v>15.315912194444445</v>
      </c>
      <c r="H43" s="12">
        <v>15.7</v>
      </c>
      <c r="I43" s="5">
        <f t="shared" si="24"/>
        <v>0.38408780555555389</v>
      </c>
      <c r="J43">
        <v>4</v>
      </c>
      <c r="K43">
        <v>6</v>
      </c>
      <c r="L43">
        <v>8</v>
      </c>
      <c r="N43" s="2">
        <v>44956</v>
      </c>
      <c r="O43" s="2" cm="1">
        <f t="array" ref="O43">_xll.BADDPERIODS(N43, "PER=WD", "NUMBEROFPERIODS=2", "BUSDAYADJ=-2", "CDR=GQ", "CDR=P9")</f>
        <v>44958</v>
      </c>
      <c r="P43" cm="1">
        <f t="array" ref="P43">_xll.BDH("XAG Curncy","PX_LAST",N43,N43)</f>
        <v>23.6005</v>
      </c>
      <c r="Q43" s="15" t="str" cm="1">
        <f t="array" ref="Q43">_xll.BDP("SIH23 Comdty",$M$32)</f>
        <v>01/03/2023</v>
      </c>
      <c r="R43">
        <f t="shared" si="25"/>
        <v>28</v>
      </c>
      <c r="S43" s="13">
        <v>4.2999999999999997E-2</v>
      </c>
      <c r="T43" s="11">
        <f t="shared" si="26"/>
        <v>7.8930561111111103E-2</v>
      </c>
      <c r="U43" s="12">
        <v>8.5000000000000006E-2</v>
      </c>
      <c r="V43" s="6">
        <f t="shared" si="8"/>
        <v>0.60694388888889028</v>
      </c>
      <c r="W43" s="15">
        <v>15</v>
      </c>
      <c r="X43" s="15">
        <v>20</v>
      </c>
      <c r="Y43" s="15">
        <v>25</v>
      </c>
      <c r="Z43" s="4">
        <f t="shared" si="27"/>
        <v>7.8930561111111102</v>
      </c>
      <c r="AA43" s="4">
        <f t="shared" si="28"/>
        <v>8.5</v>
      </c>
      <c r="AB43" s="4">
        <f t="shared" si="11"/>
        <v>0.60694388888889028</v>
      </c>
      <c r="AE43" s="44" cm="1">
        <f t="array" ref="AE43">_xll.BDH("COMXGOLD Comdty","PX_Last", N43)</f>
        <v>22234481.324999999</v>
      </c>
      <c r="AF43" s="15" t="str" cm="1">
        <f t="array" ref="AF43">_xll.BDS("GCA Comdty","FUT_CHAIN", "CHAIN_DATE",A43,"endrow=1")</f>
        <v>GCG23 Comdty</v>
      </c>
      <c r="AG43" s="44" cm="1">
        <f t="array" ref="AG43">_xll.BDH(AF43,"FUT_AGGTE_OPEN_INT",A43)</f>
        <v>472666</v>
      </c>
      <c r="AH43" s="44">
        <f t="shared" si="12"/>
        <v>47266600</v>
      </c>
      <c r="AI43" s="48">
        <f t="shared" si="13"/>
        <v>0.47040576908430054</v>
      </c>
      <c r="AJ43" s="45"/>
      <c r="AK43" s="44" cm="1">
        <f t="array" ref="AK43">_xll.BDH("COMXSILV Comdty","PX_Last", N43)</f>
        <v>292855.96999999997</v>
      </c>
      <c r="AL43" s="15" t="str" cm="1">
        <f t="array" ref="AL43">_xll.BDS("SIA Comdty","FUT_CHAIN", "CHAIN_DATE",A43,"endrow=1")</f>
        <v>SIG23 Comdty</v>
      </c>
      <c r="AM43" s="47" cm="1">
        <f t="array" ref="AM43">_xll.BDH(AL43,"FUT_AGGTE_OPEN_INT",A43)</f>
        <v>136767</v>
      </c>
      <c r="AN43" s="45">
        <f t="shared" si="14"/>
        <v>428.2553101259806</v>
      </c>
      <c r="AO43" s="46">
        <f t="shared" si="15"/>
        <v>29285596999.999996</v>
      </c>
      <c r="AP43" s="46">
        <f t="shared" si="16"/>
        <v>683835</v>
      </c>
      <c r="AQ43" s="46"/>
    </row>
    <row r="44" spans="1:43" x14ac:dyDescent="0.2">
      <c r="A44" s="24">
        <v>44958</v>
      </c>
      <c r="B44" s="2" cm="1">
        <f t="array" ref="B44">_xll.BADDPERIODS(A44, "PER=WD", "NUMBEROFPERIODS=2", "BUSDAYADJ=-2", "CDR=GQ", "CDR=P9")</f>
        <v>44960</v>
      </c>
      <c r="C44" cm="1">
        <f t="array" ref="C44">_xll.BDH("XAU Curncy","PX_LAST",A44,A44)</f>
        <v>1950.52</v>
      </c>
      <c r="D44" s="15" t="str" cm="1">
        <f t="array" ref="D44">_xll.BDP("GCJ23 Comdty",$M$32)</f>
        <v>03/04/2023</v>
      </c>
      <c r="E44">
        <f t="shared" si="22"/>
        <v>59</v>
      </c>
      <c r="F44" s="13">
        <v>4.7E-2</v>
      </c>
      <c r="G44" s="3">
        <f t="shared" si="23"/>
        <v>15.024422111111111</v>
      </c>
      <c r="H44" s="12">
        <v>15.45</v>
      </c>
      <c r="I44" s="5">
        <f t="shared" si="24"/>
        <v>0.42557788888888837</v>
      </c>
      <c r="J44">
        <v>4</v>
      </c>
      <c r="K44">
        <v>6</v>
      </c>
      <c r="L44">
        <v>8</v>
      </c>
      <c r="N44" s="2">
        <v>44958</v>
      </c>
      <c r="O44" s="2" cm="1">
        <f t="array" ref="O44">_xll.BADDPERIODS(N44, "PER=WD", "NUMBEROFPERIODS=2", "BUSDAYADJ=-2", "CDR=GQ", "CDR=P9")</f>
        <v>44960</v>
      </c>
      <c r="P44" cm="1">
        <f t="array" ref="P44">_xll.BDH("XAG Curncy","PX_LAST",N44,N44)</f>
        <v>23.983499999999999</v>
      </c>
      <c r="Q44" s="15" t="str" cm="1">
        <f t="array" ref="Q44">_xll.BDP("SIH23 Comdty",$M$32)</f>
        <v>01/03/2023</v>
      </c>
      <c r="R44">
        <f t="shared" si="25"/>
        <v>26</v>
      </c>
      <c r="S44" s="13">
        <v>4.2999999999999997E-2</v>
      </c>
      <c r="T44" s="11">
        <f t="shared" si="26"/>
        <v>7.4482091666666653E-2</v>
      </c>
      <c r="U44" s="12">
        <v>9.2499999999999999E-2</v>
      </c>
      <c r="V44" s="6">
        <f t="shared" si="8"/>
        <v>1.8017908333333346</v>
      </c>
      <c r="W44" s="15">
        <v>15</v>
      </c>
      <c r="X44" s="15">
        <v>20</v>
      </c>
      <c r="Y44" s="15">
        <v>25</v>
      </c>
      <c r="Z44" s="4">
        <f t="shared" si="27"/>
        <v>7.4482091666666657</v>
      </c>
      <c r="AA44" s="4">
        <f t="shared" si="28"/>
        <v>9.25</v>
      </c>
      <c r="AB44" s="4">
        <f t="shared" si="11"/>
        <v>1.8017908333333346</v>
      </c>
      <c r="AE44" s="44" cm="1">
        <f t="array" ref="AE44">_xll.BDH("COMXGOLD Comdty","PX_Last", N44)</f>
        <v>22221653.076000001</v>
      </c>
      <c r="AF44" s="15" t="str" cm="1">
        <f t="array" ref="AF44">_xll.BDS("GCA Comdty","FUT_CHAIN", "CHAIN_DATE",A44,"endrow=1")</f>
        <v>GCG23 Comdty</v>
      </c>
      <c r="AG44" s="44" cm="1">
        <f t="array" ref="AG44">_xll.BDH(AF44,"FUT_AGGTE_OPEN_INT",A44)</f>
        <v>478425</v>
      </c>
      <c r="AH44" s="44">
        <f t="shared" si="12"/>
        <v>47842500</v>
      </c>
      <c r="AI44" s="48">
        <f t="shared" si="13"/>
        <v>0.46447516488477819</v>
      </c>
      <c r="AJ44" s="45"/>
      <c r="AK44" s="44" cm="1">
        <f t="array" ref="AK44">_xll.BDH("COMXSILV Comdty","PX_Last", N44)</f>
        <v>291558.31</v>
      </c>
      <c r="AL44" s="15" t="str" cm="1">
        <f t="array" ref="AL44">_xll.BDS("SIA Comdty","FUT_CHAIN", "CHAIN_DATE",A44,"endrow=1")</f>
        <v>SIG23 Comdty</v>
      </c>
      <c r="AM44" s="47" cm="1">
        <f t="array" ref="AM44">_xll.BDH(AL44,"FUT_AGGTE_OPEN_INT",A44)</f>
        <v>138987</v>
      </c>
      <c r="AN44" s="45">
        <f t="shared" si="14"/>
        <v>419.54759797678918</v>
      </c>
      <c r="AO44" s="46">
        <f t="shared" si="15"/>
        <v>29155831000</v>
      </c>
      <c r="AP44" s="46">
        <f t="shared" si="16"/>
        <v>694935</v>
      </c>
      <c r="AQ44" s="46"/>
    </row>
    <row r="45" spans="1:43" x14ac:dyDescent="0.2">
      <c r="A45" s="24">
        <v>44959</v>
      </c>
      <c r="B45" s="2" cm="1">
        <f t="array" ref="B45">_xll.BADDPERIODS(A45, "PER=WD", "NUMBEROFPERIODS=2", "BUSDAYADJ=-2", "CDR=GQ", "CDR=P9")</f>
        <v>44963</v>
      </c>
      <c r="C45" cm="1">
        <f t="array" ref="C45">_xll.BDH("XAU Curncy","PX_LAST",A45,A45)</f>
        <v>1912.72</v>
      </c>
      <c r="D45" s="15" t="str" cm="1">
        <f t="array" ref="D45">_xll.BDP("GCJ23 Comdty",$M$32)</f>
        <v>03/04/2023</v>
      </c>
      <c r="E45">
        <f t="shared" si="22"/>
        <v>56</v>
      </c>
      <c r="F45" s="13">
        <v>4.7E-2</v>
      </c>
      <c r="G45" s="3">
        <f t="shared" si="23"/>
        <v>13.984108444444445</v>
      </c>
      <c r="H45" s="12">
        <v>14.7</v>
      </c>
      <c r="I45" s="5">
        <f t="shared" si="24"/>
        <v>0.7158915555555545</v>
      </c>
      <c r="J45">
        <v>4</v>
      </c>
      <c r="K45">
        <v>6</v>
      </c>
      <c r="L45">
        <v>8</v>
      </c>
      <c r="N45" s="2">
        <v>44959</v>
      </c>
      <c r="O45" s="2" cm="1">
        <f t="array" ref="O45">_xll.BADDPERIODS(N45, "PER=WD", "NUMBEROFPERIODS=2", "BUSDAYADJ=-2", "CDR=GQ", "CDR=P9")</f>
        <v>44963</v>
      </c>
      <c r="P45" cm="1">
        <f t="array" ref="P45">_xll.BDH("XAG Curncy","PX_LAST",N45,N45)</f>
        <v>23.4665</v>
      </c>
      <c r="Q45" s="15" t="str" cm="1">
        <f t="array" ref="Q45">_xll.BDP("SIH23 Comdty",$M$32)</f>
        <v>01/03/2023</v>
      </c>
      <c r="R45">
        <f t="shared" si="25"/>
        <v>23</v>
      </c>
      <c r="S45" s="13">
        <v>4.2999999999999997E-2</v>
      </c>
      <c r="T45" s="11">
        <f t="shared" si="26"/>
        <v>6.4467690277777767E-2</v>
      </c>
      <c r="U45" s="12">
        <v>0.1</v>
      </c>
      <c r="V45" s="6">
        <f t="shared" si="8"/>
        <v>3.5532309722222237</v>
      </c>
      <c r="W45" s="15">
        <v>15</v>
      </c>
      <c r="X45" s="15">
        <v>20</v>
      </c>
      <c r="Y45" s="15">
        <v>25</v>
      </c>
      <c r="Z45" s="4">
        <f t="shared" si="27"/>
        <v>6.4467690277777763</v>
      </c>
      <c r="AA45" s="4">
        <f t="shared" si="28"/>
        <v>10</v>
      </c>
      <c r="AB45" s="4">
        <f t="shared" si="11"/>
        <v>3.5532309722222237</v>
      </c>
      <c r="AE45" s="44" cm="1">
        <f t="array" ref="AE45">_xll.BDH("COMXGOLD Comdty","PX_Last", N45)</f>
        <v>22218743.745000001</v>
      </c>
      <c r="AF45" s="15" t="str" cm="1">
        <f t="array" ref="AF45">_xll.BDS("GCA Comdty","FUT_CHAIN", "CHAIN_DATE",A45,"endrow=1")</f>
        <v>GCG23 Comdty</v>
      </c>
      <c r="AG45" s="44" cm="1">
        <f t="array" ref="AG45">_xll.BDH(AF45,"FUT_AGGTE_OPEN_INT",A45)</f>
        <v>468356</v>
      </c>
      <c r="AH45" s="44">
        <f t="shared" si="12"/>
        <v>46835600</v>
      </c>
      <c r="AI45" s="48">
        <f t="shared" si="13"/>
        <v>0.47439861440869768</v>
      </c>
      <c r="AJ45" s="45"/>
      <c r="AK45" s="44" cm="1">
        <f t="array" ref="AK45">_xll.BDH("COMXSILV Comdty","PX_Last", N45)</f>
        <v>291012.06</v>
      </c>
      <c r="AL45" s="15" t="str" cm="1">
        <f t="array" ref="AL45">_xll.BDS("SIA Comdty","FUT_CHAIN", "CHAIN_DATE",A45,"endrow=1")</f>
        <v>SIG23 Comdty</v>
      </c>
      <c r="AM45" s="47" cm="1">
        <f t="array" ref="AM45">_xll.BDH(AL45,"FUT_AGGTE_OPEN_INT",A45)</f>
        <v>141471</v>
      </c>
      <c r="AN45" s="45">
        <f t="shared" si="14"/>
        <v>411.40878342557835</v>
      </c>
      <c r="AO45" s="46">
        <f t="shared" si="15"/>
        <v>29101206000</v>
      </c>
      <c r="AP45" s="46">
        <f t="shared" si="16"/>
        <v>707355</v>
      </c>
      <c r="AQ45" s="46"/>
    </row>
    <row r="46" spans="1:43" x14ac:dyDescent="0.2">
      <c r="A46" s="24">
        <v>44960</v>
      </c>
      <c r="B46" s="2" cm="1">
        <f t="array" ref="B46">_xll.BADDPERIODS(A46, "PER=WD", "NUMBEROFPERIODS=2", "BUSDAYADJ=-2", "CDR=GQ", "CDR=P9")</f>
        <v>44964</v>
      </c>
      <c r="C46" cm="1">
        <f t="array" ref="C46">_xll.BDH("XAU Curncy","PX_LAST",A46,A46)</f>
        <v>1864.97</v>
      </c>
      <c r="D46" s="15" t="str" cm="1">
        <f t="array" ref="D46">_xll.BDP("GCJ23 Comdty",$M$32)</f>
        <v>03/04/2023</v>
      </c>
      <c r="E46">
        <f t="shared" si="22"/>
        <v>55</v>
      </c>
      <c r="F46" s="13">
        <v>4.6800000000000001E-2</v>
      </c>
      <c r="G46" s="3">
        <f t="shared" si="23"/>
        <v>13.334535500000001</v>
      </c>
      <c r="H46" s="12">
        <v>13.45</v>
      </c>
      <c r="I46" s="5">
        <f t="shared" si="24"/>
        <v>0.11546449999999808</v>
      </c>
      <c r="J46">
        <v>4</v>
      </c>
      <c r="K46">
        <v>6</v>
      </c>
      <c r="L46">
        <v>8</v>
      </c>
      <c r="N46" s="2">
        <v>44960</v>
      </c>
      <c r="O46" s="2" cm="1">
        <f t="array" ref="O46">_xll.BADDPERIODS(N46, "PER=WD", "NUMBEROFPERIODS=2", "BUSDAYADJ=-2", "CDR=GQ", "CDR=P9")</f>
        <v>44964</v>
      </c>
      <c r="P46" cm="1">
        <f t="array" ref="P46">_xll.BDH("XAG Curncy","PX_LAST",N46,N46)</f>
        <v>22.353000000000002</v>
      </c>
      <c r="Q46" s="15" t="str" cm="1">
        <f t="array" ref="Q46">_xll.BDP("SIH23 Comdty",$M$32)</f>
        <v>01/03/2023</v>
      </c>
      <c r="R46">
        <f t="shared" si="25"/>
        <v>22</v>
      </c>
      <c r="S46" s="13">
        <v>4.2999999999999997E-2</v>
      </c>
      <c r="T46" s="11">
        <f t="shared" si="26"/>
        <v>5.8738716666666663E-2</v>
      </c>
      <c r="U46" s="12">
        <v>0.05</v>
      </c>
      <c r="V46" s="6">
        <f t="shared" si="8"/>
        <v>-0.87387166666666594</v>
      </c>
      <c r="W46" s="15">
        <v>15</v>
      </c>
      <c r="X46" s="15">
        <v>20</v>
      </c>
      <c r="Y46" s="15">
        <v>25</v>
      </c>
      <c r="Z46" s="4">
        <f t="shared" si="27"/>
        <v>5.8738716666666662</v>
      </c>
      <c r="AA46" s="4">
        <f t="shared" si="28"/>
        <v>5</v>
      </c>
      <c r="AB46" s="4">
        <f t="shared" si="11"/>
        <v>-0.87387166666666594</v>
      </c>
      <c r="AE46" s="44" cm="1">
        <f t="array" ref="AE46">_xll.BDH("COMXGOLD Comdty","PX_Last", N46)</f>
        <v>22217232.653000001</v>
      </c>
      <c r="AF46" s="15" t="str" cm="1">
        <f t="array" ref="AF46">_xll.BDS("GCA Comdty","FUT_CHAIN", "CHAIN_DATE",A46,"endrow=1")</f>
        <v>GCG23 Comdty</v>
      </c>
      <c r="AG46" s="44" cm="1">
        <f t="array" ref="AG46">_xll.BDH(AF46,"FUT_AGGTE_OPEN_INT",A46)</f>
        <v>449090</v>
      </c>
      <c r="AH46" s="44">
        <f t="shared" si="12"/>
        <v>44909000</v>
      </c>
      <c r="AI46" s="48">
        <f t="shared" si="13"/>
        <v>0.49471670829900466</v>
      </c>
      <c r="AJ46" s="45"/>
      <c r="AK46" s="44" cm="1">
        <f t="array" ref="AK46">_xll.BDH("COMXSILV Comdty","PX_Last", N46)</f>
        <v>292926.88</v>
      </c>
      <c r="AL46" s="15" t="str" cm="1">
        <f t="array" ref="AL46">_xll.BDS("SIA Comdty","FUT_CHAIN", "CHAIN_DATE",A46,"endrow=1")</f>
        <v>SIG23 Comdty</v>
      </c>
      <c r="AM46" s="47" cm="1">
        <f t="array" ref="AM46">_xll.BDH(AL46,"FUT_AGGTE_OPEN_INT",A46)</f>
        <v>139779</v>
      </c>
      <c r="AN46" s="45">
        <f t="shared" si="14"/>
        <v>419.12859585488519</v>
      </c>
      <c r="AO46" s="46">
        <f t="shared" si="15"/>
        <v>29292688000</v>
      </c>
      <c r="AP46" s="46">
        <f t="shared" si="16"/>
        <v>698895</v>
      </c>
      <c r="AQ46" s="46"/>
    </row>
    <row r="47" spans="1:43" x14ac:dyDescent="0.2">
      <c r="A47" s="24">
        <v>44963</v>
      </c>
      <c r="B47" s="2" cm="1">
        <f t="array" ref="B47">_xll.BADDPERIODS(A47, "PER=WD", "NUMBEROFPERIODS=2", "BUSDAYADJ=-2", "CDR=GQ", "CDR=P9")</f>
        <v>44965</v>
      </c>
      <c r="C47" cm="1">
        <f t="array" ref="C47">_xll.BDH("XAU Curncy","PX_LAST",A47,A47)</f>
        <v>1867.48</v>
      </c>
      <c r="D47" s="15" t="str" cm="1">
        <f t="array" ref="D47">_xll.BDP("GCJ23 Comdty",$M$32)</f>
        <v>03/04/2023</v>
      </c>
      <c r="E47">
        <f t="shared" ref="E47:E94" si="29">_xlfn.DAYS(D47,B47)</f>
        <v>54</v>
      </c>
      <c r="F47" s="13">
        <v>4.6800000000000001E-2</v>
      </c>
      <c r="G47" s="3">
        <f t="shared" ref="G47:G94" si="30">C47*(E47/360)*F47</f>
        <v>13.1097096</v>
      </c>
      <c r="H47" s="12">
        <v>12.5</v>
      </c>
      <c r="I47" s="5">
        <f t="shared" ref="I47:I94" si="31">H47-G47</f>
        <v>-0.60970960000000041</v>
      </c>
      <c r="J47">
        <v>4</v>
      </c>
      <c r="K47">
        <v>6</v>
      </c>
      <c r="L47">
        <v>8</v>
      </c>
      <c r="N47" s="2">
        <v>44963</v>
      </c>
      <c r="O47" s="2" cm="1">
        <f t="array" ref="O47">_xll.BADDPERIODS(N47, "PER=WD", "NUMBEROFPERIODS=2", "BUSDAYADJ=-2", "CDR=GQ", "CDR=P9")</f>
        <v>44965</v>
      </c>
      <c r="P47" cm="1">
        <f t="array" ref="P47">_xll.BDH("XAG Curncy","PX_LAST",N47,N47)</f>
        <v>22.27</v>
      </c>
      <c r="Q47" s="15" t="str" cm="1">
        <f t="array" ref="Q47">_xll.BDP("SIH23 Comdty",$M$32)</f>
        <v>01/03/2023</v>
      </c>
      <c r="R47">
        <f>_xlfn.DAYS(Q47,O47)</f>
        <v>21</v>
      </c>
      <c r="S47" s="13">
        <v>4.2999999999999997E-2</v>
      </c>
      <c r="T47" s="11">
        <f>P47*(R47/360)*S47</f>
        <v>5.5860583333333332E-2</v>
      </c>
      <c r="U47" s="12">
        <v>0.03</v>
      </c>
      <c r="V47" s="6">
        <f t="shared" si="8"/>
        <v>-2.5860583333333333</v>
      </c>
      <c r="W47" s="15">
        <v>15</v>
      </c>
      <c r="X47" s="15">
        <v>20</v>
      </c>
      <c r="Y47" s="15">
        <v>25</v>
      </c>
      <c r="Z47" s="4">
        <f>100*T47</f>
        <v>5.5860583333333329</v>
      </c>
      <c r="AA47" s="4">
        <f>U47*100</f>
        <v>3</v>
      </c>
      <c r="AB47" s="4">
        <f t="shared" si="11"/>
        <v>-2.5860583333333333</v>
      </c>
      <c r="AE47" s="44" cm="1">
        <f t="array" ref="AE47">_xll.BDH("COMXGOLD Comdty","PX_Last", N47)</f>
        <v>22212024.182999998</v>
      </c>
      <c r="AF47" s="15" t="str" cm="1">
        <f t="array" ref="AF47">_xll.BDS("GCA Comdty","FUT_CHAIN", "CHAIN_DATE",A47,"endrow=1")</f>
        <v>GCG23 Comdty</v>
      </c>
      <c r="AG47" s="44" cm="1">
        <f t="array" ref="AG47">_xll.BDH(AF47,"FUT_AGGTE_OPEN_INT",A47)</f>
        <v>441312</v>
      </c>
      <c r="AH47" s="44">
        <f t="shared" si="12"/>
        <v>44131200</v>
      </c>
      <c r="AI47" s="48">
        <f t="shared" si="13"/>
        <v>0.50331792888024796</v>
      </c>
      <c r="AJ47" s="45"/>
      <c r="AK47" s="44" cm="1">
        <f t="array" ref="AK47">_xll.BDH("COMXSILV Comdty","PX_Last", N47)</f>
        <v>292780.06</v>
      </c>
      <c r="AL47" s="15" t="str" cm="1">
        <f t="array" ref="AL47">_xll.BDS("SIA Comdty","FUT_CHAIN", "CHAIN_DATE",A47,"endrow=1")</f>
        <v>SIG23 Comdty</v>
      </c>
      <c r="AM47" s="47" cm="1">
        <f t="array" ref="AM47">_xll.BDH(AL47,"FUT_AGGTE_OPEN_INT",A47)</f>
        <v>135663</v>
      </c>
      <c r="AN47" s="45">
        <f t="shared" si="14"/>
        <v>431.62846170289617</v>
      </c>
      <c r="AO47" s="46">
        <f t="shared" si="15"/>
        <v>29278006000</v>
      </c>
      <c r="AP47" s="46">
        <f t="shared" si="16"/>
        <v>678315</v>
      </c>
      <c r="AQ47" s="46"/>
    </row>
    <row r="48" spans="1:43" x14ac:dyDescent="0.2">
      <c r="A48" s="24">
        <v>44964</v>
      </c>
      <c r="B48" s="2" cm="1">
        <f t="array" ref="B48">_xll.BADDPERIODS(A48, "PER=WD", "NUMBEROFPERIODS=2", "BUSDAYADJ=-2", "CDR=GQ", "CDR=P9")</f>
        <v>44966</v>
      </c>
      <c r="C48" cm="1">
        <f t="array" ref="C48">_xll.BDH("XAU Curncy","PX_LAST",A48,A48)</f>
        <v>1873.1</v>
      </c>
      <c r="D48" s="15" t="str" cm="1">
        <f t="array" ref="D48">_xll.BDP("GCJ23 Comdty",$M$32)</f>
        <v>03/04/2023</v>
      </c>
      <c r="E48">
        <f t="shared" si="29"/>
        <v>53</v>
      </c>
      <c r="F48" s="13">
        <v>4.6800000000000001E-2</v>
      </c>
      <c r="G48" s="3">
        <f t="shared" si="30"/>
        <v>12.905659</v>
      </c>
      <c r="H48" s="12">
        <v>12.6</v>
      </c>
      <c r="I48" s="5">
        <f t="shared" si="31"/>
        <v>-0.30565900000000035</v>
      </c>
      <c r="J48">
        <v>4</v>
      </c>
      <c r="K48">
        <v>6</v>
      </c>
      <c r="L48">
        <v>8</v>
      </c>
      <c r="N48" s="2">
        <v>44964</v>
      </c>
      <c r="O48" s="2" cm="1">
        <f t="array" ref="O48">_xll.BADDPERIODS(N48, "PER=WD", "NUMBEROFPERIODS=2", "BUSDAYADJ=-2", "CDR=GQ", "CDR=P9")</f>
        <v>44966</v>
      </c>
      <c r="P48" cm="1">
        <f t="array" ref="P48">_xll.BDH("XAG Curncy","PX_LAST",N48,N48)</f>
        <v>22.171500000000002</v>
      </c>
      <c r="Q48" s="15" t="str" cm="1">
        <f t="array" ref="Q48">_xll.BDP("SIH23 Comdty",$M$32)</f>
        <v>01/03/2023</v>
      </c>
      <c r="R48">
        <f>_xlfn.DAYS(Q48,O48)</f>
        <v>20</v>
      </c>
      <c r="S48" s="13">
        <v>4.2999999999999997E-2</v>
      </c>
      <c r="T48" s="11">
        <f>P48*(R48/360)*S48</f>
        <v>5.2965249999999998E-2</v>
      </c>
      <c r="U48" s="12">
        <v>0.02</v>
      </c>
      <c r="V48" s="6">
        <f t="shared" si="8"/>
        <v>-3.2965249999999999</v>
      </c>
      <c r="W48" s="15">
        <v>15</v>
      </c>
      <c r="X48" s="15">
        <v>20</v>
      </c>
      <c r="Y48" s="15">
        <v>25</v>
      </c>
      <c r="Z48" s="4">
        <f>100*T48</f>
        <v>5.2965249999999999</v>
      </c>
      <c r="AA48" s="4">
        <f>U48*100</f>
        <v>2</v>
      </c>
      <c r="AB48" s="4">
        <f t="shared" si="11"/>
        <v>-3.2965249999999999</v>
      </c>
      <c r="AE48" s="44" cm="1">
        <f t="array" ref="AE48">_xll.BDH("COMXGOLD Comdty","PX_Last", N48)</f>
        <v>22118271.193</v>
      </c>
      <c r="AF48" s="15" t="str" cm="1">
        <f t="array" ref="AF48">_xll.BDS("GCA Comdty","FUT_CHAIN", "CHAIN_DATE",A48,"endrow=1")</f>
        <v>GCG23 Comdty</v>
      </c>
      <c r="AG48" s="44" cm="1">
        <f t="array" ref="AG48">_xll.BDH(AF48,"FUT_AGGTE_OPEN_INT",A48)</f>
        <v>439755</v>
      </c>
      <c r="AH48" s="44">
        <f t="shared" si="12"/>
        <v>43975500</v>
      </c>
      <c r="AI48" s="48">
        <f t="shared" si="13"/>
        <v>0.50296804341053536</v>
      </c>
      <c r="AJ48" s="45"/>
      <c r="AK48" s="44" cm="1">
        <f t="array" ref="AK48">_xll.BDH("COMXSILV Comdty","PX_Last", N48)</f>
        <v>291851.03000000003</v>
      </c>
      <c r="AL48" s="15" t="str" cm="1">
        <f t="array" ref="AL48">_xll.BDS("SIA Comdty","FUT_CHAIN", "CHAIN_DATE",A48,"endrow=1")</f>
        <v>SIG23 Comdty</v>
      </c>
      <c r="AM48" s="47" cm="1">
        <f t="array" ref="AM48">_xll.BDH(AL48,"FUT_AGGTE_OPEN_INT",A48)</f>
        <v>133601</v>
      </c>
      <c r="AN48" s="45">
        <f t="shared" si="14"/>
        <v>436.89946931534951</v>
      </c>
      <c r="AO48" s="46">
        <f t="shared" si="15"/>
        <v>29185103000.000004</v>
      </c>
      <c r="AP48" s="46">
        <f t="shared" si="16"/>
        <v>668005</v>
      </c>
      <c r="AQ48" s="46"/>
    </row>
    <row r="49" spans="1:43" x14ac:dyDescent="0.2">
      <c r="A49" s="24">
        <v>44965</v>
      </c>
      <c r="B49" s="2" cm="1">
        <f t="array" ref="B49">_xll.BADDPERIODS(A49, "PER=WD", "NUMBEROFPERIODS=2", "BUSDAYADJ=-2", "CDR=GQ", "CDR=P9")</f>
        <v>44967</v>
      </c>
      <c r="C49" cm="1">
        <f t="array" ref="C49">_xll.BDH("XAU Curncy","PX_LAST",A49,A49)</f>
        <v>1875.49</v>
      </c>
      <c r="D49" s="15" t="str" cm="1">
        <f t="array" ref="D49">_xll.BDP("GCJ23 Comdty",$M$32)</f>
        <v>03/04/2023</v>
      </c>
      <c r="E49">
        <f t="shared" si="29"/>
        <v>52</v>
      </c>
      <c r="F49" s="13">
        <v>4.6800000000000001E-2</v>
      </c>
      <c r="G49" s="3">
        <f t="shared" si="30"/>
        <v>12.678312399999999</v>
      </c>
      <c r="H49" s="12">
        <v>12.6</v>
      </c>
      <c r="I49" s="5">
        <f t="shared" si="31"/>
        <v>-7.8312399999999727E-2</v>
      </c>
      <c r="J49">
        <v>4</v>
      </c>
      <c r="K49">
        <v>6</v>
      </c>
      <c r="L49">
        <v>8</v>
      </c>
      <c r="N49" s="2">
        <v>44965</v>
      </c>
      <c r="O49" s="2" cm="1">
        <f t="array" ref="O49">_xll.BADDPERIODS(N49, "PER=WD", "NUMBEROFPERIODS=2", "BUSDAYADJ=-2", "CDR=GQ", "CDR=P9")</f>
        <v>44967</v>
      </c>
      <c r="P49" cm="1">
        <f t="array" ref="P49">_xll.BDH("XAG Curncy","PX_LAST",N49,N49)</f>
        <v>22.318999999999999</v>
      </c>
      <c r="Q49" s="15" t="str" cm="1">
        <f t="array" ref="Q49">_xll.BDP("SIH23 Comdty",$M$32)</f>
        <v>01/03/2023</v>
      </c>
      <c r="R49">
        <f>_xlfn.DAYS(Q49,O49)</f>
        <v>19</v>
      </c>
      <c r="S49" s="13">
        <v>4.2999999999999997E-2</v>
      </c>
      <c r="T49" s="11">
        <f>P49*(R49/360)*S49</f>
        <v>5.0651730555555552E-2</v>
      </c>
      <c r="U49" s="12">
        <v>0.02</v>
      </c>
      <c r="V49" s="6">
        <f t="shared" si="8"/>
        <v>-3.065173055555555</v>
      </c>
      <c r="W49" s="15">
        <v>15</v>
      </c>
      <c r="X49" s="15">
        <v>20</v>
      </c>
      <c r="Y49" s="15">
        <v>25</v>
      </c>
      <c r="Z49" s="4">
        <f>100*T49</f>
        <v>5.0651730555555554</v>
      </c>
      <c r="AA49" s="4">
        <f>U49*100</f>
        <v>2</v>
      </c>
      <c r="AB49" s="4">
        <f t="shared" si="11"/>
        <v>-3.065173055555555</v>
      </c>
      <c r="AE49" s="44" cm="1">
        <f t="array" ref="AE49">_xll.BDH("COMXGOLD Comdty","PX_Last", N49)</f>
        <v>22199195.260000002</v>
      </c>
      <c r="AF49" s="15" t="str" cm="1">
        <f t="array" ref="AF49">_xll.BDS("GCA Comdty","FUT_CHAIN", "CHAIN_DATE",A49,"endrow=1")</f>
        <v>GCG23 Comdty</v>
      </c>
      <c r="AG49" s="44" cm="1">
        <f t="array" ref="AG49">_xll.BDH(AF49,"FUT_AGGTE_OPEN_INT",A49)</f>
        <v>438714</v>
      </c>
      <c r="AH49" s="44">
        <f t="shared" si="12"/>
        <v>43871400</v>
      </c>
      <c r="AI49" s="48">
        <f t="shared" si="13"/>
        <v>0.50600608277830206</v>
      </c>
      <c r="AJ49" s="45"/>
      <c r="AK49" s="44" cm="1">
        <f t="array" ref="AK49">_xll.BDH("COMXSILV Comdty","PX_Last", N49)</f>
        <v>291967.96999999997</v>
      </c>
      <c r="AL49" s="15" t="str" cm="1">
        <f t="array" ref="AL49">_xll.BDS("SIA Comdty","FUT_CHAIN", "CHAIN_DATE",A49,"endrow=1")</f>
        <v>SIG23 Comdty</v>
      </c>
      <c r="AM49" s="47" cm="1">
        <f t="array" ref="AM49">_xll.BDH(AL49,"FUT_AGGTE_OPEN_INT",A49)</f>
        <v>132954</v>
      </c>
      <c r="AN49" s="45">
        <f t="shared" si="14"/>
        <v>439.20148321976018</v>
      </c>
      <c r="AO49" s="46">
        <f t="shared" si="15"/>
        <v>29196796999.999996</v>
      </c>
      <c r="AP49" s="46">
        <f t="shared" si="16"/>
        <v>664770</v>
      </c>
      <c r="AQ49" s="46"/>
    </row>
    <row r="50" spans="1:43" x14ac:dyDescent="0.2">
      <c r="A50" s="24">
        <v>44966</v>
      </c>
      <c r="B50" s="2" cm="1">
        <f t="array" ref="B50">_xll.BADDPERIODS(A50, "PER=WD", "NUMBEROFPERIODS=2", "BUSDAYADJ=-2", "CDR=GQ", "CDR=P9")</f>
        <v>44970</v>
      </c>
      <c r="C50" cm="1">
        <f t="array" ref="C50">_xll.BDH("XAU Curncy","PX_LAST",A50,A50)</f>
        <v>1861.78</v>
      </c>
      <c r="D50" s="15" t="str" cm="1">
        <f t="array" ref="D50">_xll.BDP("GCJ23 Comdty",$M$32)</f>
        <v>03/04/2023</v>
      </c>
      <c r="E50">
        <f t="shared" si="29"/>
        <v>49</v>
      </c>
      <c r="F50" s="13">
        <v>4.6800000000000001E-2</v>
      </c>
      <c r="G50" s="3">
        <f t="shared" si="30"/>
        <v>11.859538599999999</v>
      </c>
      <c r="H50" s="12">
        <v>11.65</v>
      </c>
      <c r="I50" s="5">
        <f t="shared" si="31"/>
        <v>-0.20953859999999835</v>
      </c>
      <c r="J50">
        <v>4</v>
      </c>
      <c r="K50">
        <v>6</v>
      </c>
      <c r="L50">
        <v>8</v>
      </c>
      <c r="N50" s="2">
        <v>44966</v>
      </c>
      <c r="O50" s="2" cm="1">
        <f t="array" ref="O50">_xll.BADDPERIODS(N50, "PER=WD", "NUMBEROFPERIODS=2", "BUSDAYADJ=-2", "CDR=GQ", "CDR=P9")</f>
        <v>44970</v>
      </c>
      <c r="P50" cm="1">
        <f t="array" ref="P50">_xll.BDH("XAG Curncy","PX_LAST",N50,N50)</f>
        <v>21.977399999999999</v>
      </c>
      <c r="Q50" s="15" t="str" cm="1">
        <f t="array" ref="Q50">_xll.BDP("SIH23 Comdty",$M$32)</f>
        <v>01/03/2023</v>
      </c>
      <c r="R50">
        <f>_xlfn.DAYS(Q50,O50)</f>
        <v>16</v>
      </c>
      <c r="S50" s="13">
        <v>4.2999999999999997E-2</v>
      </c>
      <c r="T50" s="11">
        <f>P50*(R50/360)*S50</f>
        <v>4.2001253333333335E-2</v>
      </c>
      <c r="U50" s="12">
        <v>0.02</v>
      </c>
      <c r="V50" s="6">
        <f t="shared" si="8"/>
        <v>-2.2001253333333337</v>
      </c>
      <c r="W50" s="15">
        <v>15</v>
      </c>
      <c r="X50" s="15">
        <v>20</v>
      </c>
      <c r="Y50" s="15">
        <v>25</v>
      </c>
      <c r="Z50" s="4">
        <f>100*T50</f>
        <v>4.2001253333333333</v>
      </c>
      <c r="AA50" s="4">
        <f>U50*100</f>
        <v>2</v>
      </c>
      <c r="AB50" s="4">
        <f t="shared" si="11"/>
        <v>-2.2001253333333337</v>
      </c>
      <c r="AE50" s="44" cm="1">
        <f t="array" ref="AE50">_xll.BDH("COMXGOLD Comdty","PX_Last", N50)</f>
        <v>22198648.693</v>
      </c>
      <c r="AF50" s="15" t="str" cm="1">
        <f t="array" ref="AF50">_xll.BDS("GCA Comdty","FUT_CHAIN", "CHAIN_DATE",A50,"endrow=1")</f>
        <v>GCG23 Comdty</v>
      </c>
      <c r="AG50" s="44" cm="1">
        <f t="array" ref="AG50">_xll.BDH(AF50,"FUT_AGGTE_OPEN_INT",A50)</f>
        <v>435993</v>
      </c>
      <c r="AH50" s="44">
        <f t="shared" si="12"/>
        <v>43599300</v>
      </c>
      <c r="AI50" s="48">
        <f t="shared" si="13"/>
        <v>0.50915149309736629</v>
      </c>
      <c r="AJ50" s="45"/>
      <c r="AK50" s="44" cm="1">
        <f t="array" ref="AK50">_xll.BDH("COMXSILV Comdty","PX_Last", N50)</f>
        <v>291573.81</v>
      </c>
      <c r="AL50" s="15" t="str" cm="1">
        <f t="array" ref="AL50">_xll.BDS("SIA Comdty","FUT_CHAIN", "CHAIN_DATE",A50,"endrow=1")</f>
        <v>SIG23 Comdty</v>
      </c>
      <c r="AM50" s="47" cm="1">
        <f t="array" ref="AM50">_xll.BDH(AL50,"FUT_AGGTE_OPEN_INT",A50)</f>
        <v>132960</v>
      </c>
      <c r="AN50" s="45">
        <f t="shared" si="14"/>
        <v>438.58876353790612</v>
      </c>
      <c r="AO50" s="46">
        <f t="shared" si="15"/>
        <v>29157381000</v>
      </c>
      <c r="AP50" s="46">
        <f t="shared" si="16"/>
        <v>664800</v>
      </c>
      <c r="AQ50" s="46"/>
    </row>
    <row r="51" spans="1:43" x14ac:dyDescent="0.2">
      <c r="A51" s="24">
        <v>44967</v>
      </c>
      <c r="B51" s="2" cm="1">
        <f t="array" ref="B51">_xll.BADDPERIODS(A51, "PER=WD", "NUMBEROFPERIODS=2", "BUSDAYADJ=-2", "CDR=GQ", "CDR=P9")</f>
        <v>44971</v>
      </c>
      <c r="C51" cm="1">
        <f t="array" ref="C51">_xll.BDH("XAU Curncy","PX_LAST",A51,A51)</f>
        <v>1865.57</v>
      </c>
      <c r="D51" s="15" t="str" cm="1">
        <f t="array" ref="D51">_xll.BDP("GCJ23 Comdty",$M$32)</f>
        <v>03/04/2023</v>
      </c>
      <c r="E51">
        <f t="shared" si="29"/>
        <v>48</v>
      </c>
      <c r="F51" s="13">
        <v>4.6800000000000001E-2</v>
      </c>
      <c r="G51" s="3">
        <f t="shared" si="30"/>
        <v>11.641156799999999</v>
      </c>
      <c r="H51" s="12">
        <v>11</v>
      </c>
      <c r="I51" s="5">
        <f t="shared" si="31"/>
        <v>-0.64115679999999919</v>
      </c>
      <c r="J51">
        <v>4</v>
      </c>
      <c r="K51">
        <v>6</v>
      </c>
      <c r="L51">
        <v>8</v>
      </c>
      <c r="N51" s="2">
        <v>44967</v>
      </c>
      <c r="O51" s="2" cm="1">
        <f t="array" ref="O51">_xll.BADDPERIODS(N51, "PER=WD", "NUMBEROFPERIODS=2", "BUSDAYADJ=-2", "CDR=GQ", "CDR=P9")</f>
        <v>44971</v>
      </c>
      <c r="P51" cm="1">
        <f t="array" ref="P51">_xll.BDH("XAG Curncy","PX_LAST",N51,N51)</f>
        <v>22.003699999999998</v>
      </c>
      <c r="Q51" s="15" t="str" cm="1">
        <f t="array" ref="Q51">_xll.BDP("SIH23 Comdty",$M$32)</f>
        <v>01/03/2023</v>
      </c>
      <c r="R51">
        <f t="shared" ref="R51:R86" si="32">_xlfn.DAYS(Q51,O51)</f>
        <v>15</v>
      </c>
      <c r="S51" s="13">
        <v>4.2999999999999997E-2</v>
      </c>
      <c r="T51" s="11">
        <f t="shared" ref="T51:T86" si="33">P51*(R51/360)*S51</f>
        <v>3.9423295833333323E-2</v>
      </c>
      <c r="U51" s="12">
        <v>5.0000000000000001E-3</v>
      </c>
      <c r="V51" s="6">
        <f t="shared" si="8"/>
        <v>-3.4423295833333327</v>
      </c>
      <c r="W51" s="15">
        <v>15</v>
      </c>
      <c r="X51" s="15">
        <v>20</v>
      </c>
      <c r="Y51" s="15">
        <v>25</v>
      </c>
      <c r="Z51" s="4">
        <f t="shared" ref="Z51:Z86" si="34">100*T51</f>
        <v>3.9423295833333323</v>
      </c>
      <c r="AA51" s="4">
        <f t="shared" ref="AA51:AA86" si="35">U51*100</f>
        <v>0.5</v>
      </c>
      <c r="AB51" s="4">
        <f t="shared" si="11"/>
        <v>-3.4423295833333327</v>
      </c>
      <c r="AE51" s="44" cm="1">
        <f t="array" ref="AE51">_xll.BDH("COMXGOLD Comdty","PX_Last", N51)</f>
        <v>22198648.693</v>
      </c>
      <c r="AF51" s="15" t="str" cm="1">
        <f t="array" ref="AF51">_xll.BDS("GCA Comdty","FUT_CHAIN", "CHAIN_DATE",A51,"endrow=1")</f>
        <v>GCG23 Comdty</v>
      </c>
      <c r="AG51" s="44" cm="1">
        <f t="array" ref="AG51">_xll.BDH(AF51,"FUT_AGGTE_OPEN_INT",A51)</f>
        <v>430056</v>
      </c>
      <c r="AH51" s="44">
        <f t="shared" si="12"/>
        <v>43005600</v>
      </c>
      <c r="AI51" s="48">
        <f t="shared" si="13"/>
        <v>0.51618042052662905</v>
      </c>
      <c r="AJ51" s="45"/>
      <c r="AK51" s="44" cm="1">
        <f t="array" ref="AK51">_xll.BDH("COMXSILV Comdty","PX_Last", N51)</f>
        <v>291212.19</v>
      </c>
      <c r="AL51" s="15" t="str" cm="1">
        <f t="array" ref="AL51">_xll.BDS("SIA Comdty","FUT_CHAIN", "CHAIN_DATE",A51,"endrow=1")</f>
        <v>SIG23 Comdty</v>
      </c>
      <c r="AM51" s="47" cm="1">
        <f t="array" ref="AM51">_xll.BDH(AL51,"FUT_AGGTE_OPEN_INT",A51)</f>
        <v>131282</v>
      </c>
      <c r="AN51" s="45">
        <f t="shared" si="14"/>
        <v>443.64374400146249</v>
      </c>
      <c r="AO51" s="46">
        <f t="shared" si="15"/>
        <v>29121219000</v>
      </c>
      <c r="AP51" s="46">
        <f t="shared" si="16"/>
        <v>656410</v>
      </c>
      <c r="AQ51" s="46"/>
    </row>
    <row r="52" spans="1:43" x14ac:dyDescent="0.2">
      <c r="A52" s="24">
        <v>44970</v>
      </c>
      <c r="B52" s="2" cm="1">
        <f t="array" ref="B52">_xll.BADDPERIODS(A52, "PER=WD", "NUMBEROFPERIODS=2", "BUSDAYADJ=-2", "CDR=GQ", "CDR=P9")</f>
        <v>44972</v>
      </c>
      <c r="C52" cm="1">
        <f t="array" ref="C52">_xll.BDH("XAU Curncy","PX_LAST",A52,A52)</f>
        <v>1853.49</v>
      </c>
      <c r="D52" s="15" t="str" cm="1">
        <f t="array" ref="D52">_xll.BDP("GCJ23 Comdty",$M$32)</f>
        <v>03/04/2023</v>
      </c>
      <c r="E52">
        <f t="shared" si="29"/>
        <v>47</v>
      </c>
      <c r="F52" s="13">
        <v>4.6800000000000001E-2</v>
      </c>
      <c r="G52" s="3">
        <f t="shared" si="30"/>
        <v>11.3248239</v>
      </c>
      <c r="H52" s="12">
        <v>10.7</v>
      </c>
      <c r="I52" s="5">
        <f t="shared" si="31"/>
        <v>-0.62482390000000088</v>
      </c>
      <c r="J52">
        <v>4</v>
      </c>
      <c r="K52">
        <v>6</v>
      </c>
      <c r="L52">
        <v>8</v>
      </c>
      <c r="M52" t="s">
        <v>17</v>
      </c>
      <c r="N52" s="2">
        <v>44970</v>
      </c>
      <c r="O52" s="2" cm="1">
        <f t="array" ref="O52">_xll.BADDPERIODS(N52, "PER=WD", "NUMBEROFPERIODS=2", "BUSDAYADJ=-2", "CDR=GQ", "CDR=P9")</f>
        <v>44972</v>
      </c>
      <c r="P52" cm="1">
        <f t="array" ref="P52">_xll.BDH("XAG Curncy","PX_LAST",N52,N52)</f>
        <v>21.9925</v>
      </c>
      <c r="Q52" s="15" t="str" cm="1">
        <f t="array" ref="Q52">_xll.BDP("SIH23 Comdty",$M$32)</f>
        <v>01/03/2023</v>
      </c>
      <c r="R52">
        <f t="shared" si="32"/>
        <v>14</v>
      </c>
      <c r="S52" s="13">
        <v>4.2999999999999997E-2</v>
      </c>
      <c r="T52" s="11">
        <f t="shared" si="33"/>
        <v>3.6776347222222221E-2</v>
      </c>
      <c r="U52" s="12">
        <v>5.0000000000000001E-3</v>
      </c>
      <c r="V52" s="6">
        <f t="shared" si="8"/>
        <v>-3.1776347222222223</v>
      </c>
      <c r="W52" s="15">
        <v>15</v>
      </c>
      <c r="X52" s="15">
        <v>20</v>
      </c>
      <c r="Y52" s="15">
        <v>25</v>
      </c>
      <c r="Z52" s="4">
        <f t="shared" si="34"/>
        <v>3.6776347222222219</v>
      </c>
      <c r="AA52" s="4">
        <f t="shared" si="35"/>
        <v>0.5</v>
      </c>
      <c r="AB52" s="4">
        <f t="shared" si="11"/>
        <v>-3.1776347222222223</v>
      </c>
      <c r="AE52" s="44" cm="1">
        <f t="array" ref="AE52">_xll.BDH("COMXGOLD Comdty","PX_Last", N52)</f>
        <v>22102163.550999999</v>
      </c>
      <c r="AF52" s="15" t="str" cm="1">
        <f t="array" ref="AF52">_xll.BDS("GCA Comdty","FUT_CHAIN", "CHAIN_DATE",A52,"endrow=1")</f>
        <v>GCG23 Comdty</v>
      </c>
      <c r="AG52" s="44" cm="1">
        <f t="array" ref="AG52">_xll.BDH(AF52,"FUT_AGGTE_OPEN_INT",A52)</f>
        <v>427278</v>
      </c>
      <c r="AH52" s="44">
        <f t="shared" si="12"/>
        <v>42727800</v>
      </c>
      <c r="AI52" s="48">
        <f t="shared" si="13"/>
        <v>0.51727829541890757</v>
      </c>
      <c r="AJ52" s="45"/>
      <c r="AK52" s="44" cm="1">
        <f t="array" ref="AK52">_xll.BDH("COMXSILV Comdty","PX_Last", N52)</f>
        <v>291144.81</v>
      </c>
      <c r="AL52" s="15" t="str" cm="1">
        <f t="array" ref="AL52">_xll.BDS("SIA Comdty","FUT_CHAIN", "CHAIN_DATE",A52,"endrow=1")</f>
        <v>SIG23 Comdty</v>
      </c>
      <c r="AM52" s="47" cm="1">
        <f t="array" ref="AM52">_xll.BDH(AL52,"FUT_AGGTE_OPEN_INT",A52)</f>
        <v>133089</v>
      </c>
      <c r="AN52" s="45">
        <f t="shared" si="14"/>
        <v>437.51896850979421</v>
      </c>
      <c r="AO52" s="46">
        <f t="shared" si="15"/>
        <v>29114481000</v>
      </c>
      <c r="AP52" s="46">
        <f t="shared" si="16"/>
        <v>665445</v>
      </c>
      <c r="AQ52" s="46"/>
    </row>
    <row r="53" spans="1:43" x14ac:dyDescent="0.2">
      <c r="A53" s="24">
        <v>44971</v>
      </c>
      <c r="B53" s="2" cm="1">
        <f t="array" ref="B53">_xll.BADDPERIODS(A53, "PER=WD", "NUMBEROFPERIODS=2", "BUSDAYADJ=-2", "CDR=GQ", "CDR=P9")</f>
        <v>44973</v>
      </c>
      <c r="C53" cm="1">
        <f t="array" ref="C53">_xll.BDH("XAU Curncy","PX_LAST",A53,A53)</f>
        <v>1854.31</v>
      </c>
      <c r="D53" s="15" t="str" cm="1">
        <f t="array" ref="D53">_xll.BDP("GCJ23 Comdty",$M$32)</f>
        <v>03/04/2023</v>
      </c>
      <c r="E53">
        <f t="shared" si="29"/>
        <v>46</v>
      </c>
      <c r="F53" s="13">
        <v>4.6399999999999997E-2</v>
      </c>
      <c r="G53" s="3">
        <f t="shared" si="30"/>
        <v>10.993997955555553</v>
      </c>
      <c r="H53" s="12">
        <v>10.3</v>
      </c>
      <c r="I53" s="5">
        <f t="shared" si="31"/>
        <v>-0.69399795555555244</v>
      </c>
      <c r="J53">
        <v>4</v>
      </c>
      <c r="K53">
        <v>6</v>
      </c>
      <c r="L53">
        <v>8</v>
      </c>
      <c r="N53" s="2">
        <v>44971</v>
      </c>
      <c r="O53" s="2" cm="1">
        <f t="array" ref="O53">_xll.BADDPERIODS(N53, "PER=WD", "NUMBEROFPERIODS=2", "BUSDAYADJ=-2", "CDR=GQ", "CDR=P9")</f>
        <v>44973</v>
      </c>
      <c r="P53" cm="1">
        <f t="array" ref="P53">_xll.BDH("XAG Curncy","PX_LAST",N53,N53)</f>
        <v>21.852499999999999</v>
      </c>
      <c r="Q53" s="15" t="str" cm="1">
        <f t="array" ref="Q53">_xll.BDP("SIH23 Comdty",$M$32)</f>
        <v>01/03/2023</v>
      </c>
      <c r="R53">
        <f t="shared" si="32"/>
        <v>13</v>
      </c>
      <c r="S53" s="13">
        <v>4.2999999999999997E-2</v>
      </c>
      <c r="T53" s="11">
        <f t="shared" si="33"/>
        <v>3.3932076388888885E-2</v>
      </c>
      <c r="U53" s="12">
        <v>-1.4999999999999999E-2</v>
      </c>
      <c r="V53" s="6">
        <f t="shared" si="8"/>
        <v>-4.8932076388888888</v>
      </c>
      <c r="W53" s="15">
        <v>15</v>
      </c>
      <c r="X53" s="15">
        <v>20</v>
      </c>
      <c r="Y53" s="15">
        <v>25</v>
      </c>
      <c r="Z53" s="4">
        <f t="shared" si="34"/>
        <v>3.3932076388888883</v>
      </c>
      <c r="AA53" s="4">
        <f t="shared" si="35"/>
        <v>-1.5</v>
      </c>
      <c r="AB53" s="4">
        <f t="shared" si="11"/>
        <v>-4.8932076388888888</v>
      </c>
      <c r="AE53" s="44" cm="1">
        <f t="array" ref="AE53">_xll.BDH("COMXGOLD Comdty","PX_Last", N53)</f>
        <v>22016034.754000001</v>
      </c>
      <c r="AF53" s="15" t="str" cm="1">
        <f t="array" ref="AF53">_xll.BDS("GCA Comdty","FUT_CHAIN", "CHAIN_DATE",A53,"endrow=1")</f>
        <v>GCG23 Comdty</v>
      </c>
      <c r="AG53" s="44" cm="1">
        <f t="array" ref="AG53">_xll.BDH(AF53,"FUT_AGGTE_OPEN_INT",A53)</f>
        <v>426116</v>
      </c>
      <c r="AH53" s="44">
        <f t="shared" si="12"/>
        <v>42611600</v>
      </c>
      <c r="AI53" s="48">
        <f t="shared" si="13"/>
        <v>0.51666763871809551</v>
      </c>
      <c r="AJ53" s="45"/>
      <c r="AK53" s="44" cm="1">
        <f t="array" ref="AK53">_xll.BDH("COMXSILV Comdty","PX_Last", N53)</f>
        <v>290143.03000000003</v>
      </c>
      <c r="AL53" s="15" t="str" cm="1">
        <f t="array" ref="AL53">_xll.BDS("SIA Comdty","FUT_CHAIN", "CHAIN_DATE",A53,"endrow=1")</f>
        <v>SIG23 Comdty</v>
      </c>
      <c r="AM53" s="47" cm="1">
        <f t="array" ref="AM53">_xll.BDH(AL53,"FUT_AGGTE_OPEN_INT",A53)</f>
        <v>132132</v>
      </c>
      <c r="AN53" s="45">
        <f t="shared" si="14"/>
        <v>439.17148003511647</v>
      </c>
      <c r="AO53" s="46">
        <f t="shared" si="15"/>
        <v>29014303000.000004</v>
      </c>
      <c r="AP53" s="46">
        <f t="shared" si="16"/>
        <v>660660</v>
      </c>
      <c r="AQ53" s="46"/>
    </row>
    <row r="54" spans="1:43" x14ac:dyDescent="0.2">
      <c r="A54" s="24">
        <v>44972</v>
      </c>
      <c r="B54" s="2" cm="1">
        <f t="array" ref="B54">_xll.BADDPERIODS(A54, "PER=WD", "NUMBEROFPERIODS=2", "BUSDAYADJ=-2", "CDR=GQ", "CDR=P9")</f>
        <v>44974</v>
      </c>
      <c r="C54" cm="1">
        <f t="array" ref="C54">_xll.BDH("XAU Curncy","PX_LAST",A54,A54)</f>
        <v>1836.01</v>
      </c>
      <c r="D54" s="15" t="str" cm="1">
        <f t="array" ref="D54">_xll.BDP("GCJ23 Comdty",$M$32)</f>
        <v>03/04/2023</v>
      </c>
      <c r="E54">
        <f t="shared" si="29"/>
        <v>45</v>
      </c>
      <c r="F54" s="13">
        <v>4.6199999999999998E-2</v>
      </c>
      <c r="G54" s="3">
        <f t="shared" si="30"/>
        <v>10.60295775</v>
      </c>
      <c r="H54" s="12">
        <v>10.199999999999999</v>
      </c>
      <c r="I54" s="5">
        <f t="shared" si="31"/>
        <v>-0.40295775000000056</v>
      </c>
      <c r="J54">
        <v>4</v>
      </c>
      <c r="K54">
        <v>6</v>
      </c>
      <c r="L54">
        <v>8</v>
      </c>
      <c r="N54" s="2">
        <v>44972</v>
      </c>
      <c r="O54" s="2" cm="1">
        <f t="array" ref="O54">_xll.BADDPERIODS(N54, "PER=WD", "NUMBEROFPERIODS=2", "BUSDAYADJ=-2", "CDR=GQ", "CDR=P9")</f>
        <v>44974</v>
      </c>
      <c r="P54" cm="1">
        <f t="array" ref="P54">_xll.BDH("XAG Curncy","PX_LAST",N54,N54)</f>
        <v>21.6264</v>
      </c>
      <c r="Q54" s="15" t="str" cm="1">
        <f t="array" ref="Q54">_xll.BDP("SIH23 Comdty",$M$32)</f>
        <v>01/03/2023</v>
      </c>
      <c r="R54">
        <f t="shared" si="32"/>
        <v>12</v>
      </c>
      <c r="S54" s="13">
        <v>4.2999999999999997E-2</v>
      </c>
      <c r="T54" s="11">
        <f t="shared" si="33"/>
        <v>3.0997839999999995E-2</v>
      </c>
      <c r="U54" s="12">
        <v>-1.4999999999999999E-2</v>
      </c>
      <c r="V54" s="6">
        <f t="shared" si="8"/>
        <v>-4.5997839999999997</v>
      </c>
      <c r="W54" s="15">
        <v>15</v>
      </c>
      <c r="X54" s="15">
        <v>20</v>
      </c>
      <c r="Y54" s="15">
        <v>25</v>
      </c>
      <c r="Z54" s="4">
        <f t="shared" si="34"/>
        <v>3.0997839999999997</v>
      </c>
      <c r="AA54" s="4">
        <f t="shared" si="35"/>
        <v>-1.5</v>
      </c>
      <c r="AB54" s="4">
        <f t="shared" si="11"/>
        <v>-4.5997839999999997</v>
      </c>
      <c r="AE54" s="44" cm="1">
        <f t="array" ref="AE54">_xll.BDH("COMXGOLD Comdty","PX_Last", N54)</f>
        <v>21998643.914999999</v>
      </c>
      <c r="AF54" s="15" t="str" cm="1">
        <f t="array" ref="AF54">_xll.BDS("GCA Comdty","FUT_CHAIN", "CHAIN_DATE",A54,"endrow=1")</f>
        <v>GCG23 Comdty</v>
      </c>
      <c r="AG54" s="44" cm="1">
        <f t="array" ref="AG54">_xll.BDH(AF54,"FUT_AGGTE_OPEN_INT",A54)</f>
        <v>422963</v>
      </c>
      <c r="AH54" s="44">
        <f t="shared" si="12"/>
        <v>42296300</v>
      </c>
      <c r="AI54" s="48">
        <f t="shared" si="13"/>
        <v>0.52010799798091079</v>
      </c>
      <c r="AJ54" s="45"/>
      <c r="AK54" s="44" cm="1">
        <f t="array" ref="AK54">_xll.BDH("COMXSILV Comdty","PX_Last", N54)</f>
        <v>288465.06</v>
      </c>
      <c r="AL54" s="15" t="str" cm="1">
        <f t="array" ref="AL54">_xll.BDS("SIA Comdty","FUT_CHAIN", "CHAIN_DATE",A54,"endrow=1")</f>
        <v>SIG23 Comdty</v>
      </c>
      <c r="AM54" s="47" cm="1">
        <f t="array" ref="AM54">_xll.BDH(AL54,"FUT_AGGTE_OPEN_INT",A54)</f>
        <v>130646</v>
      </c>
      <c r="AN54" s="45">
        <f t="shared" si="14"/>
        <v>441.59799764248424</v>
      </c>
      <c r="AO54" s="46">
        <f t="shared" si="15"/>
        <v>28846506000</v>
      </c>
      <c r="AP54" s="46">
        <f t="shared" si="16"/>
        <v>653230</v>
      </c>
      <c r="AQ54" s="46"/>
    </row>
    <row r="55" spans="1:43" x14ac:dyDescent="0.2">
      <c r="A55" s="24">
        <v>44973</v>
      </c>
      <c r="B55" s="2" cm="1">
        <f t="array" ref="B55">_xll.BADDPERIODS(A55, "PER=WD", "NUMBEROFPERIODS=2", "BUSDAYADJ=-2", "CDR=GQ", "CDR=P9")</f>
        <v>44978</v>
      </c>
      <c r="C55" cm="1">
        <f t="array" ref="C55">_xll.BDH("XAU Curncy","PX_LAST",A55,A55)</f>
        <v>1836.36</v>
      </c>
      <c r="D55" s="15" t="str" cm="1">
        <f t="array" ref="D55">_xll.BDP("GCJ23 Comdty",$M$32)</f>
        <v>03/04/2023</v>
      </c>
      <c r="E55">
        <f t="shared" si="29"/>
        <v>41</v>
      </c>
      <c r="F55" s="13">
        <v>4.5999999999999999E-2</v>
      </c>
      <c r="G55" s="3">
        <f t="shared" si="30"/>
        <v>9.6204859999999996</v>
      </c>
      <c r="H55" s="12">
        <v>9.5</v>
      </c>
      <c r="I55" s="5">
        <f t="shared" si="31"/>
        <v>-0.12048599999999965</v>
      </c>
      <c r="J55">
        <v>4</v>
      </c>
      <c r="K55">
        <v>6</v>
      </c>
      <c r="L55">
        <v>8</v>
      </c>
      <c r="N55" s="2">
        <v>44973</v>
      </c>
      <c r="O55" s="2" cm="1">
        <f t="array" ref="O55">_xll.BADDPERIODS(N55, "PER=WD", "NUMBEROFPERIODS=2", "BUSDAYADJ=-2", "CDR=GQ", "CDR=P9")</f>
        <v>44978</v>
      </c>
      <c r="P55" cm="1">
        <f t="array" ref="P55">_xll.BDH("XAG Curncy","PX_LAST",N55,N55)</f>
        <v>21.578499999999998</v>
      </c>
      <c r="Q55" s="15" t="str" cm="1">
        <f t="array" ref="Q55">_xll.BDP("SIH23 Comdty",$M$32)</f>
        <v>01/03/2023</v>
      </c>
      <c r="R55">
        <f t="shared" si="32"/>
        <v>8</v>
      </c>
      <c r="S55" s="13">
        <v>4.2999999999999997E-2</v>
      </c>
      <c r="T55" s="11">
        <f t="shared" si="33"/>
        <v>2.0619455555555551E-2</v>
      </c>
      <c r="U55" s="12">
        <v>-1.4999999999999999E-2</v>
      </c>
      <c r="V55" s="6">
        <f t="shared" si="8"/>
        <v>-3.5619455555555555</v>
      </c>
      <c r="W55" s="15">
        <v>15</v>
      </c>
      <c r="X55" s="15">
        <v>20</v>
      </c>
      <c r="Y55" s="15">
        <v>25</v>
      </c>
      <c r="Z55" s="4">
        <f t="shared" si="34"/>
        <v>2.061945555555555</v>
      </c>
      <c r="AA55" s="4">
        <f t="shared" si="35"/>
        <v>-1.5</v>
      </c>
      <c r="AB55" s="4">
        <f t="shared" si="11"/>
        <v>-3.5619455555555555</v>
      </c>
      <c r="AE55" s="44" cm="1">
        <f t="array" ref="AE55">_xll.BDH("COMXGOLD Comdty","PX_Last", N55)</f>
        <v>21824353.587000001</v>
      </c>
      <c r="AF55" s="15" t="str" cm="1">
        <f t="array" ref="AF55">_xll.BDS("GCA Comdty","FUT_CHAIN", "CHAIN_DATE",A55,"endrow=1")</f>
        <v>GCG23 Comdty</v>
      </c>
      <c r="AG55" s="44" cm="1">
        <f t="array" ref="AG55">_xll.BDH(AF55,"FUT_AGGTE_OPEN_INT",A55)</f>
        <v>422997</v>
      </c>
      <c r="AH55" s="44">
        <f t="shared" si="12"/>
        <v>42299700</v>
      </c>
      <c r="AI55" s="48">
        <f t="shared" si="13"/>
        <v>0.51594582436754877</v>
      </c>
      <c r="AJ55" s="45"/>
      <c r="AK55" s="44" cm="1">
        <f t="array" ref="AK55">_xll.BDH("COMXSILV Comdty","PX_Last", N55)</f>
        <v>288171.63</v>
      </c>
      <c r="AL55" s="15" t="str" cm="1">
        <f t="array" ref="AL55">_xll.BDS("SIA Comdty","FUT_CHAIN", "CHAIN_DATE",A55,"endrow=1")</f>
        <v>SIG23 Comdty</v>
      </c>
      <c r="AM55" s="47" cm="1">
        <f t="array" ref="AM55">_xll.BDH(AL55,"FUT_AGGTE_OPEN_INT",A55)</f>
        <v>127385</v>
      </c>
      <c r="AN55" s="45">
        <f t="shared" si="14"/>
        <v>452.44201436589867</v>
      </c>
      <c r="AO55" s="46">
        <f t="shared" si="15"/>
        <v>28817163000</v>
      </c>
      <c r="AP55" s="46">
        <f t="shared" si="16"/>
        <v>636925</v>
      </c>
      <c r="AQ55" s="46"/>
    </row>
    <row r="56" spans="1:43" x14ac:dyDescent="0.2">
      <c r="A56" s="24">
        <v>44974</v>
      </c>
      <c r="B56" s="2">
        <v>44978</v>
      </c>
      <c r="C56" cm="1">
        <f t="array" ref="C56">_xll.BDH("XAU Curncy","PX_LAST",A56,A56)</f>
        <v>1842.36</v>
      </c>
      <c r="D56" s="15" t="str" cm="1">
        <f t="array" ref="D56">_xll.BDP("GCJ23 Comdty",$M$32)</f>
        <v>03/04/2023</v>
      </c>
      <c r="E56">
        <f t="shared" si="29"/>
        <v>41</v>
      </c>
      <c r="F56" s="13">
        <v>4.5999999999999999E-2</v>
      </c>
      <c r="G56" s="3">
        <f t="shared" si="30"/>
        <v>9.6519193333333337</v>
      </c>
      <c r="H56" s="12">
        <v>9</v>
      </c>
      <c r="I56" s="5">
        <f t="shared" si="31"/>
        <v>-0.65191933333333374</v>
      </c>
      <c r="J56">
        <v>4</v>
      </c>
      <c r="K56">
        <v>6</v>
      </c>
      <c r="L56">
        <v>8</v>
      </c>
      <c r="N56" s="2">
        <v>44974</v>
      </c>
      <c r="O56" s="2" cm="1">
        <f t="array" ref="O56">_xll.BADDPERIODS(N56, "PER=WD", "NUMBEROFPERIODS=2", "BUSDAYADJ=-2", "CDR=GQ", "CDR=P9")</f>
        <v>44979</v>
      </c>
      <c r="P56" cm="1">
        <f t="array" ref="P56">_xll.BDH("XAG Curncy","PX_LAST",N56,N56)</f>
        <v>21.7302</v>
      </c>
      <c r="Q56" s="15" t="str" cm="1">
        <f t="array" ref="Q56">_xll.BDP("SIH23 Comdty",$M$32)</f>
        <v>01/03/2023</v>
      </c>
      <c r="R56">
        <f t="shared" si="32"/>
        <v>7</v>
      </c>
      <c r="S56" s="13">
        <v>4.4999999999999998E-2</v>
      </c>
      <c r="T56" s="11">
        <f t="shared" si="33"/>
        <v>1.9013925000000001E-2</v>
      </c>
      <c r="U56" s="12">
        <v>-1.4999999999999999E-2</v>
      </c>
      <c r="V56" s="6">
        <f t="shared" si="8"/>
        <v>-3.4013925</v>
      </c>
      <c r="W56" s="15">
        <v>15</v>
      </c>
      <c r="X56" s="15">
        <v>20</v>
      </c>
      <c r="Y56" s="15">
        <v>25</v>
      </c>
      <c r="Z56" s="4">
        <f t="shared" si="34"/>
        <v>1.9013925</v>
      </c>
      <c r="AA56" s="4">
        <f t="shared" si="35"/>
        <v>-1.5</v>
      </c>
      <c r="AB56" s="4">
        <f t="shared" si="11"/>
        <v>-3.4013925</v>
      </c>
      <c r="AE56" s="44" cm="1">
        <f t="array" ref="AE56">_xll.BDH("COMXGOLD Comdty","PX_Last", N56)</f>
        <v>21743976.087000001</v>
      </c>
      <c r="AF56" s="15" t="str" cm="1">
        <f t="array" ref="AF56">_xll.BDS("GCA Comdty","FUT_CHAIN", "CHAIN_DATE",A56,"endrow=1")</f>
        <v>GCG23 Comdty</v>
      </c>
      <c r="AG56" s="44" cm="1">
        <f t="array" ref="AG56">_xll.BDH(AF56,"FUT_AGGTE_OPEN_INT",A56)</f>
        <v>423809</v>
      </c>
      <c r="AH56" s="44">
        <f t="shared" si="12"/>
        <v>42380900</v>
      </c>
      <c r="AI56" s="48">
        <f t="shared" si="13"/>
        <v>0.51306074403799828</v>
      </c>
      <c r="AJ56" s="45"/>
      <c r="AK56" s="44" cm="1">
        <f t="array" ref="AK56">_xll.BDH("COMXSILV Comdty","PX_Last", N56)</f>
        <v>288864.71999999997</v>
      </c>
      <c r="AL56" s="15" t="str" cm="1">
        <f t="array" ref="AL56">_xll.BDS("SIA Comdty","FUT_CHAIN", "CHAIN_DATE",A56,"endrow=1")</f>
        <v>SIG23 Comdty</v>
      </c>
      <c r="AM56" s="47" cm="1">
        <f t="array" ref="AM56">_xll.BDH(AL56,"FUT_AGGTE_OPEN_INT",A56)</f>
        <v>127082</v>
      </c>
      <c r="AN56" s="45">
        <f t="shared" si="14"/>
        <v>454.61154215388478</v>
      </c>
      <c r="AO56" s="46">
        <f t="shared" si="15"/>
        <v>28886471999.999996</v>
      </c>
      <c r="AP56" s="46">
        <f t="shared" si="16"/>
        <v>635410</v>
      </c>
      <c r="AQ56" s="46"/>
    </row>
    <row r="57" spans="1:43" x14ac:dyDescent="0.2">
      <c r="A57" s="24">
        <v>44977</v>
      </c>
      <c r="B57" s="2" cm="1">
        <f t="array" ref="B57">_xll.BADDPERIODS(A57, "PER=WD", "NUMBEROFPERIODS=2", "BUSDAYADJ=-2", "CDR=GQ", "CDR=P9")</f>
        <v>44979</v>
      </c>
      <c r="C57" cm="1">
        <f t="array" ref="C57">_xll.BDH("XAU Curncy","PX_LAST",A57,A57)</f>
        <v>1841.38</v>
      </c>
      <c r="D57" s="15" t="str" cm="1">
        <f t="array" ref="D57">_xll.BDP("GCJ23 Comdty",$M$32)</f>
        <v>03/04/2023</v>
      </c>
      <c r="E57">
        <f t="shared" si="29"/>
        <v>40</v>
      </c>
      <c r="F57" s="13">
        <v>4.5999999999999999E-2</v>
      </c>
      <c r="G57" s="3">
        <f t="shared" si="30"/>
        <v>9.4114977777777771</v>
      </c>
      <c r="H57" s="12">
        <v>8.9</v>
      </c>
      <c r="I57" s="5">
        <f t="shared" si="31"/>
        <v>-0.51149777777777672</v>
      </c>
      <c r="J57">
        <v>4</v>
      </c>
      <c r="K57">
        <v>6</v>
      </c>
      <c r="L57">
        <v>8</v>
      </c>
      <c r="N57" s="2">
        <v>44977</v>
      </c>
      <c r="O57" s="2" cm="1">
        <f t="array" ref="O57">_xll.BADDPERIODS(N57, "PER=WD", "NUMBEROFPERIODS=2", "BUSDAYADJ=-2", "CDR=GQ", "CDR=P9")</f>
        <v>44979</v>
      </c>
      <c r="P57" cm="1">
        <f t="array" ref="P57">_xll.BDH("XAG Curncy","PX_LAST",N57,N57)</f>
        <v>21.8171</v>
      </c>
      <c r="Q57" s="15" t="str" cm="1">
        <f t="array" ref="Q57">_xll.BDP("SIH23 Comdty",$M$32)</f>
        <v>01/03/2023</v>
      </c>
      <c r="R57">
        <f t="shared" si="32"/>
        <v>7</v>
      </c>
      <c r="S57" s="13">
        <v>4.4999999999999998E-2</v>
      </c>
      <c r="T57" s="11">
        <f t="shared" si="33"/>
        <v>1.9089962499999998E-2</v>
      </c>
      <c r="U57" s="12">
        <v>0.01</v>
      </c>
      <c r="V57" s="6">
        <f t="shared" si="8"/>
        <v>-0.90899624999999984</v>
      </c>
      <c r="W57" s="15">
        <v>15</v>
      </c>
      <c r="X57" s="15">
        <v>20</v>
      </c>
      <c r="Y57" s="15">
        <v>25</v>
      </c>
      <c r="Z57" s="4">
        <f t="shared" si="34"/>
        <v>1.9089962499999997</v>
      </c>
      <c r="AA57" s="4">
        <f t="shared" si="35"/>
        <v>1</v>
      </c>
      <c r="AB57" s="4">
        <f t="shared" si="11"/>
        <v>-0.90899624999999984</v>
      </c>
      <c r="AE57" s="44" t="str" cm="1">
        <f t="array" ref="AE57">_xll.BDH("COMXGOLD Comdty","PX_Last", N57)</f>
        <v>#N/A N/A</v>
      </c>
      <c r="AF57" s="15" t="str" cm="1">
        <f t="array" ref="AF57">_xll.BDS("GCA Comdty","FUT_CHAIN", "CHAIN_DATE",A57,"endrow=1")</f>
        <v>GCG23 Comdty</v>
      </c>
      <c r="AG57" s="44" t="str" cm="1">
        <f t="array" ref="AG57">_xll.BDH(AF57,"FUT_AGGTE_OPEN_INT",A57)</f>
        <v>#N/A N/A</v>
      </c>
      <c r="AH57" s="44" t="e">
        <f t="shared" si="12"/>
        <v>#VALUE!</v>
      </c>
      <c r="AI57" s="48" t="e">
        <f t="shared" si="13"/>
        <v>#VALUE!</v>
      </c>
      <c r="AJ57" s="45"/>
      <c r="AK57" s="44" t="str" cm="1">
        <f t="array" ref="AK57">_xll.BDH("COMXSILV Comdty","PX_Last", N57)</f>
        <v>#N/A N/A</v>
      </c>
      <c r="AL57" s="15" t="str" cm="1">
        <f t="array" ref="AL57">_xll.BDS("SIA Comdty","FUT_CHAIN", "CHAIN_DATE",A57,"endrow=1")</f>
        <v>SIG23 Comdty</v>
      </c>
      <c r="AM57" s="47" t="str" cm="1">
        <f t="array" ref="AM57">_xll.BDH(AL57,"FUT_AGGTE_OPEN_INT",A57)</f>
        <v>#N/A N/A</v>
      </c>
      <c r="AN57" s="45" t="e">
        <f t="shared" si="14"/>
        <v>#VALUE!</v>
      </c>
      <c r="AO57" s="46" t="e">
        <f t="shared" si="15"/>
        <v>#VALUE!</v>
      </c>
      <c r="AP57" s="46" t="e">
        <f t="shared" si="16"/>
        <v>#VALUE!</v>
      </c>
      <c r="AQ57" s="46"/>
    </row>
    <row r="58" spans="1:43" x14ac:dyDescent="0.2">
      <c r="A58" s="24">
        <v>44978</v>
      </c>
      <c r="B58" s="2" cm="1">
        <f t="array" ref="B58">_xll.BADDPERIODS(A58, "PER=WD", "NUMBEROFPERIODS=2", "BUSDAYADJ=-2", "CDR=GQ", "CDR=P9")</f>
        <v>44980</v>
      </c>
      <c r="C58" cm="1">
        <f t="array" ref="C58">_xll.BDH("XAU Curncy","PX_LAST",A58,A58)</f>
        <v>1835.09</v>
      </c>
      <c r="D58" s="15" t="str" cm="1">
        <f t="array" ref="D58">_xll.BDP("GCJ23 Comdty",$M$32)</f>
        <v>03/04/2023</v>
      </c>
      <c r="E58">
        <f t="shared" si="29"/>
        <v>39</v>
      </c>
      <c r="F58" s="13">
        <v>4.6300000000000001E-2</v>
      </c>
      <c r="G58" s="3">
        <f t="shared" si="30"/>
        <v>9.2045055916666669</v>
      </c>
      <c r="H58" s="12">
        <v>9.1</v>
      </c>
      <c r="I58" s="5">
        <f t="shared" si="31"/>
        <v>-0.10450559166666729</v>
      </c>
      <c r="J58">
        <v>4</v>
      </c>
      <c r="K58">
        <v>6</v>
      </c>
      <c r="L58">
        <v>8</v>
      </c>
      <c r="N58" s="2">
        <v>44978</v>
      </c>
      <c r="O58" s="2" cm="1">
        <f t="array" ref="O58">_xll.BADDPERIODS(N58, "PER=WD", "NUMBEROFPERIODS=2", "BUSDAYADJ=-2", "CDR=GQ", "CDR=P9")</f>
        <v>44980</v>
      </c>
      <c r="P58" cm="1">
        <f t="array" ref="P58">_xll.BDH("XAG Curncy","PX_LAST",N58,N58)</f>
        <v>21.833500000000001</v>
      </c>
      <c r="Q58" s="15" t="str" cm="1">
        <f t="array" ref="Q58">_xll.BDP("SIH23 Comdty",$M$32)</f>
        <v>01/03/2023</v>
      </c>
      <c r="R58">
        <f t="shared" si="32"/>
        <v>6</v>
      </c>
      <c r="S58" s="13">
        <v>4.4999999999999998E-2</v>
      </c>
      <c r="T58" s="11">
        <f t="shared" si="33"/>
        <v>1.6375125000000001E-2</v>
      </c>
      <c r="U58" s="12">
        <v>1.4999999999999999E-2</v>
      </c>
      <c r="V58" s="6">
        <f t="shared" si="8"/>
        <v>-0.13751250000000015</v>
      </c>
      <c r="W58" s="15">
        <v>15</v>
      </c>
      <c r="X58" s="15">
        <v>20</v>
      </c>
      <c r="Y58" s="15">
        <v>25</v>
      </c>
      <c r="Z58" s="4">
        <f t="shared" si="34"/>
        <v>1.6375125000000001</v>
      </c>
      <c r="AA58" s="4">
        <f t="shared" si="35"/>
        <v>1.5</v>
      </c>
      <c r="AB58" s="4">
        <f t="shared" si="11"/>
        <v>-0.13751250000000015</v>
      </c>
      <c r="AE58" s="44" cm="1">
        <f t="array" ref="AE58">_xll.BDH("COMXGOLD Comdty","PX_Last", N58)</f>
        <v>21731875.737</v>
      </c>
      <c r="AF58" s="15" t="str" cm="1">
        <f t="array" ref="AF58">_xll.BDS("GCA Comdty","FUT_CHAIN", "CHAIN_DATE",A58,"endrow=1")</f>
        <v>GCG23 Comdty</v>
      </c>
      <c r="AG58" s="44" cm="1">
        <f t="array" ref="AG58">_xll.BDH(AF58,"FUT_AGGTE_OPEN_INT",A58)</f>
        <v>422648</v>
      </c>
      <c r="AH58" s="44">
        <f t="shared" si="12"/>
        <v>42264800</v>
      </c>
      <c r="AI58" s="48">
        <f t="shared" si="13"/>
        <v>0.51418380631163518</v>
      </c>
      <c r="AJ58" s="45"/>
      <c r="AK58" s="44" cm="1">
        <f t="array" ref="AK58">_xll.BDH("COMXSILV Comdty","PX_Last", N58)</f>
        <v>288611.44</v>
      </c>
      <c r="AL58" s="15" t="str" cm="1">
        <f t="array" ref="AL58">_xll.BDS("SIA Comdty","FUT_CHAIN", "CHAIN_DATE",A58,"endrow=1")</f>
        <v>SIG23 Comdty</v>
      </c>
      <c r="AM58" s="47" cm="1">
        <f t="array" ref="AM58">_xll.BDH(AL58,"FUT_AGGTE_OPEN_INT",A58)</f>
        <v>123906</v>
      </c>
      <c r="AN58" s="45">
        <f t="shared" si="14"/>
        <v>465.85547108291775</v>
      </c>
      <c r="AO58" s="46">
        <f t="shared" si="15"/>
        <v>28861144000</v>
      </c>
      <c r="AP58" s="46">
        <f t="shared" si="16"/>
        <v>619530</v>
      </c>
      <c r="AQ58" s="46"/>
    </row>
    <row r="59" spans="1:43" x14ac:dyDescent="0.2">
      <c r="A59" s="24">
        <v>44979</v>
      </c>
      <c r="B59" s="2" cm="1">
        <f t="array" ref="B59">_xll.BADDPERIODS(A59, "PER=WD", "NUMBEROFPERIODS=2", "BUSDAYADJ=-2", "CDR=GQ", "CDR=P9")</f>
        <v>44981</v>
      </c>
      <c r="C59" cm="1">
        <f t="array" ref="C59">_xll.BDH("XAU Curncy","PX_LAST",A59,A59)</f>
        <v>1825.39</v>
      </c>
      <c r="D59" s="15" t="str" cm="1">
        <f t="array" ref="D59">_xll.BDP("GCJ23 Comdty",$M$32)</f>
        <v>03/04/2023</v>
      </c>
      <c r="E59">
        <f t="shared" si="29"/>
        <v>38</v>
      </c>
      <c r="F59" s="13">
        <v>4.6399999999999997E-2</v>
      </c>
      <c r="G59" s="3">
        <f t="shared" si="30"/>
        <v>8.9403545777777769</v>
      </c>
      <c r="H59" s="12">
        <v>8.8000000000000007</v>
      </c>
      <c r="I59" s="5">
        <f t="shared" si="31"/>
        <v>-0.14035457777777616</v>
      </c>
      <c r="J59">
        <v>4</v>
      </c>
      <c r="K59">
        <v>6</v>
      </c>
      <c r="L59">
        <v>8</v>
      </c>
      <c r="N59" s="2">
        <v>44979</v>
      </c>
      <c r="O59" s="2" cm="1">
        <f t="array" ref="O59">_xll.BADDPERIODS(N59, "PER=WD", "NUMBEROFPERIODS=2", "BUSDAYADJ=-2", "CDR=GQ", "CDR=P9")</f>
        <v>44981</v>
      </c>
      <c r="P59" cm="1">
        <f t="array" ref="P59">_xll.BDH("XAG Curncy","PX_LAST",N59,N59)</f>
        <v>21.509899999999998</v>
      </c>
      <c r="Q59" s="15" t="str" cm="1">
        <f t="array" ref="Q59">_xll.BDP("SIH23 Comdty",$M$32)</f>
        <v>01/03/2023</v>
      </c>
      <c r="R59">
        <f t="shared" si="32"/>
        <v>5</v>
      </c>
      <c r="S59" s="13">
        <v>4.4999999999999998E-2</v>
      </c>
      <c r="T59" s="11">
        <f t="shared" si="33"/>
        <v>1.3443687499999997E-2</v>
      </c>
      <c r="U59" s="12">
        <v>0.01</v>
      </c>
      <c r="V59" s="6">
        <f t="shared" si="8"/>
        <v>-0.34436874999999972</v>
      </c>
      <c r="W59" s="15">
        <v>15</v>
      </c>
      <c r="X59" s="15">
        <v>20</v>
      </c>
      <c r="Y59" s="15">
        <v>25</v>
      </c>
      <c r="Z59" s="4">
        <f t="shared" si="34"/>
        <v>1.3443687499999997</v>
      </c>
      <c r="AA59" s="4">
        <f t="shared" si="35"/>
        <v>1</v>
      </c>
      <c r="AB59" s="4">
        <f t="shared" si="11"/>
        <v>-0.34436874999999972</v>
      </c>
      <c r="AE59" s="44" cm="1">
        <f t="array" ref="AE59">_xll.BDH("COMXGOLD Comdty","PX_Last", N59)</f>
        <v>21731875.737</v>
      </c>
      <c r="AF59" s="15" t="str" cm="1">
        <f t="array" ref="AF59">_xll.BDS("GCA Comdty","FUT_CHAIN", "CHAIN_DATE",A59,"endrow=1")</f>
        <v>GCG23 Comdty</v>
      </c>
      <c r="AG59" s="44" cm="1">
        <f t="array" ref="AG59">_xll.BDH(AF59,"FUT_AGGTE_OPEN_INT",A59)</f>
        <v>426016</v>
      </c>
      <c r="AH59" s="44">
        <f t="shared" si="12"/>
        <v>42601600</v>
      </c>
      <c r="AI59" s="48">
        <f t="shared" si="13"/>
        <v>0.51011876870821748</v>
      </c>
      <c r="AJ59" s="45"/>
      <c r="AK59" s="44" cm="1">
        <f t="array" ref="AK59">_xll.BDH("COMXSILV Comdty","PX_Last", N59)</f>
        <v>288458.13</v>
      </c>
      <c r="AL59" s="15" t="str" cm="1">
        <f t="array" ref="AL59">_xll.BDS("SIA Comdty","FUT_CHAIN", "CHAIN_DATE",A59,"endrow=1")</f>
        <v>SIG23 Comdty</v>
      </c>
      <c r="AM59" s="47" cm="1">
        <f t="array" ref="AM59">_xll.BDH(AL59,"FUT_AGGTE_OPEN_INT",A59)</f>
        <v>125294</v>
      </c>
      <c r="AN59" s="45">
        <f t="shared" si="14"/>
        <v>460.4500295305441</v>
      </c>
      <c r="AO59" s="46">
        <f t="shared" si="15"/>
        <v>28845813000</v>
      </c>
      <c r="AP59" s="46">
        <f t="shared" si="16"/>
        <v>626470</v>
      </c>
      <c r="AQ59" s="46"/>
    </row>
    <row r="60" spans="1:43" x14ac:dyDescent="0.2">
      <c r="A60" s="24">
        <v>44980</v>
      </c>
      <c r="B60" s="2" cm="1">
        <f t="array" ref="B60">_xll.BADDPERIODS(A60, "PER=WD", "NUMBEROFPERIODS=2", "BUSDAYADJ=-2", "CDR=GQ", "CDR=P9")</f>
        <v>44984</v>
      </c>
      <c r="C60" cm="1">
        <f t="array" ref="C60">_xll.BDH("XAU Curncy","PX_LAST",A60,A60)</f>
        <v>1822.28</v>
      </c>
      <c r="D60" s="15" t="str" cm="1">
        <f t="array" ref="D60">_xll.BDP("GCJ23 Comdty",$M$32)</f>
        <v>03/04/2023</v>
      </c>
      <c r="E60">
        <f t="shared" si="29"/>
        <v>35</v>
      </c>
      <c r="F60" s="13">
        <v>4.65E-2</v>
      </c>
      <c r="G60" s="3">
        <f t="shared" si="30"/>
        <v>8.2382241666666669</v>
      </c>
      <c r="H60" s="12">
        <v>7.45</v>
      </c>
      <c r="I60" s="5">
        <f t="shared" si="31"/>
        <v>-0.78822416666666673</v>
      </c>
      <c r="J60">
        <v>4</v>
      </c>
      <c r="K60">
        <v>6</v>
      </c>
      <c r="L60">
        <v>8</v>
      </c>
      <c r="N60" s="2">
        <v>44980</v>
      </c>
      <c r="O60" s="2" cm="1">
        <f t="array" ref="O60">_xll.BADDPERIODS(N60, "PER=WD", "NUMBEROFPERIODS=2", "BUSDAYADJ=-2", "CDR=GQ", "CDR=P9")</f>
        <v>44984</v>
      </c>
      <c r="P60" cm="1">
        <f t="array" ref="P60">_xll.BDH("XAG Curncy","PX_LAST",N60,N60)</f>
        <v>21.308499999999999</v>
      </c>
      <c r="Q60" s="15" t="str" cm="1">
        <f t="array" ref="Q60">_xll.BDP("SIH23 Comdty",$M$32)</f>
        <v>01/03/2023</v>
      </c>
      <c r="R60">
        <f t="shared" si="32"/>
        <v>2</v>
      </c>
      <c r="S60" s="13">
        <v>4.4999999999999998E-2</v>
      </c>
      <c r="T60" s="11">
        <f t="shared" si="33"/>
        <v>5.3271250000000003E-3</v>
      </c>
      <c r="U60" s="12">
        <v>-5.0000000000000001E-3</v>
      </c>
      <c r="V60" s="6">
        <f t="shared" si="8"/>
        <v>-1.0327124999999999</v>
      </c>
      <c r="W60" s="15">
        <v>15</v>
      </c>
      <c r="X60" s="15">
        <v>20</v>
      </c>
      <c r="Y60" s="15">
        <v>25</v>
      </c>
      <c r="Z60" s="4">
        <f t="shared" si="34"/>
        <v>0.53271250000000003</v>
      </c>
      <c r="AA60" s="4">
        <f t="shared" si="35"/>
        <v>-0.5</v>
      </c>
      <c r="AB60" s="4">
        <f t="shared" si="11"/>
        <v>-1.0327124999999999</v>
      </c>
      <c r="AE60" s="44" cm="1">
        <f t="array" ref="AE60">_xll.BDH("COMXGOLD Comdty","PX_Last", N60)</f>
        <v>21702817.120000001</v>
      </c>
      <c r="AF60" s="15" t="str" cm="1">
        <f t="array" ref="AF60">_xll.BDS("GCA Comdty","FUT_CHAIN", "CHAIN_DATE",A60,"endrow=1")</f>
        <v>GCG23 Comdty</v>
      </c>
      <c r="AG60" s="44" cm="1">
        <f t="array" ref="AG60">_xll.BDH(AF60,"FUT_AGGTE_OPEN_INT",A60)</f>
        <v>424276</v>
      </c>
      <c r="AH60" s="44">
        <f t="shared" si="12"/>
        <v>42427600</v>
      </c>
      <c r="AI60" s="48">
        <f t="shared" si="13"/>
        <v>0.51152591992005203</v>
      </c>
      <c r="AJ60" s="45"/>
      <c r="AK60" s="44" cm="1">
        <f t="array" ref="AK60">_xll.BDH("COMXSILV Comdty","PX_Last", N60)</f>
        <v>287959.78000000003</v>
      </c>
      <c r="AL60" s="15" t="str" cm="1">
        <f t="array" ref="AL60">_xll.BDS("SIA Comdty","FUT_CHAIN", "CHAIN_DATE",A60,"endrow=1")</f>
        <v>SIG23 Comdty</v>
      </c>
      <c r="AM60" s="47" cm="1">
        <f t="array" ref="AM60">_xll.BDH(AL60,"FUT_AGGTE_OPEN_INT",A60)</f>
        <v>124545</v>
      </c>
      <c r="AN60" s="45">
        <f t="shared" si="14"/>
        <v>462.41885262354975</v>
      </c>
      <c r="AO60" s="46">
        <f t="shared" si="15"/>
        <v>28795978000.000004</v>
      </c>
      <c r="AP60" s="46">
        <f t="shared" si="16"/>
        <v>622725</v>
      </c>
      <c r="AQ60" s="46"/>
    </row>
    <row r="61" spans="1:43" x14ac:dyDescent="0.2">
      <c r="A61" s="24">
        <v>44981</v>
      </c>
      <c r="B61" s="2" cm="1">
        <f t="array" ref="B61">_xll.BADDPERIODS(A61, "PER=WD", "NUMBEROFPERIODS=2", "BUSDAYADJ=-2", "CDR=GQ", "CDR=P9")</f>
        <v>44985</v>
      </c>
      <c r="C61" cm="1">
        <f t="array" ref="C61">_xll.BDH("XAU Curncy","PX_LAST",A61,A61)</f>
        <v>1811.04</v>
      </c>
      <c r="D61" s="15" t="str" cm="1">
        <f t="array" ref="D61">_xll.BDP("GCJ23 Comdty",$M$32)</f>
        <v>03/04/2023</v>
      </c>
      <c r="E61">
        <f t="shared" si="29"/>
        <v>34</v>
      </c>
      <c r="F61" s="13">
        <v>4.65E-2</v>
      </c>
      <c r="G61" s="3">
        <f t="shared" si="30"/>
        <v>7.9534839999999996</v>
      </c>
      <c r="H61" s="12">
        <v>6.8</v>
      </c>
      <c r="I61" s="5">
        <f t="shared" si="31"/>
        <v>-1.1534839999999997</v>
      </c>
      <c r="J61">
        <v>4</v>
      </c>
      <c r="K61">
        <v>6</v>
      </c>
      <c r="L61">
        <v>8</v>
      </c>
      <c r="N61" s="2">
        <v>44981</v>
      </c>
      <c r="O61" s="2" cm="1">
        <f t="array" ref="O61">_xll.BADDPERIODS(N61, "PER=WD", "NUMBEROFPERIODS=2", "BUSDAYADJ=-2", "CDR=GQ", "CDR=P9")</f>
        <v>44985</v>
      </c>
      <c r="P61" cm="1">
        <f t="array" ref="P61">_xll.BDH("XAG Curncy","PX_LAST",N61,N61)</f>
        <v>20.763999999999999</v>
      </c>
      <c r="Q61" s="15" t="str" cm="1">
        <f t="array" ref="Q61">_xll.BDP("SIH23 Comdty",$M$32)</f>
        <v>01/03/2023</v>
      </c>
      <c r="R61">
        <f t="shared" si="32"/>
        <v>1</v>
      </c>
      <c r="S61" s="13">
        <v>4.4999999999999998E-2</v>
      </c>
      <c r="T61" s="11">
        <f t="shared" si="33"/>
        <v>2.5955000000000002E-3</v>
      </c>
      <c r="U61" s="12">
        <v>5.0000000000000001E-3</v>
      </c>
      <c r="V61" s="6">
        <f t="shared" si="8"/>
        <v>0.24045</v>
      </c>
      <c r="W61" s="15">
        <v>15</v>
      </c>
      <c r="X61" s="15">
        <v>20</v>
      </c>
      <c r="Y61" s="15">
        <v>25</v>
      </c>
      <c r="Z61" s="4">
        <f t="shared" si="34"/>
        <v>0.25955</v>
      </c>
      <c r="AA61" s="4">
        <f t="shared" si="35"/>
        <v>0.5</v>
      </c>
      <c r="AB61" s="4">
        <f t="shared" si="11"/>
        <v>0.24045</v>
      </c>
      <c r="AE61" s="44" cm="1">
        <f t="array" ref="AE61">_xll.BDH("COMXGOLD Comdty","PX_Last", N61)</f>
        <v>21661647.596999999</v>
      </c>
      <c r="AF61" s="15" t="str" cm="1">
        <f t="array" ref="AF61">_xll.BDS("GCA Comdty","FUT_CHAIN", "CHAIN_DATE",A61,"endrow=1")</f>
        <v>GCG23 Comdty</v>
      </c>
      <c r="AG61" s="44" cm="1">
        <f t="array" ref="AG61">_xll.BDH(AF61,"FUT_AGGTE_OPEN_INT",A61)</f>
        <v>425218</v>
      </c>
      <c r="AH61" s="44">
        <f t="shared" si="12"/>
        <v>42521800</v>
      </c>
      <c r="AI61" s="48">
        <f t="shared" si="13"/>
        <v>0.50942452099864066</v>
      </c>
      <c r="AJ61" s="45"/>
      <c r="AK61" s="44" cm="1">
        <f t="array" ref="AK61">_xll.BDH("COMXSILV Comdty","PX_Last", N61)</f>
        <v>288392.03000000003</v>
      </c>
      <c r="AL61" s="15" t="str" cm="1">
        <f t="array" ref="AL61">_xll.BDS("SIA Comdty","FUT_CHAIN", "CHAIN_DATE",A61,"endrow=1")</f>
        <v>SIG23 Comdty</v>
      </c>
      <c r="AM61" s="47" cm="1">
        <f t="array" ref="AM61">_xll.BDH(AL61,"FUT_AGGTE_OPEN_INT",A61)</f>
        <v>125180</v>
      </c>
      <c r="AN61" s="45">
        <f t="shared" si="14"/>
        <v>460.76374820258832</v>
      </c>
      <c r="AO61" s="46">
        <f t="shared" si="15"/>
        <v>28839203000.000004</v>
      </c>
      <c r="AP61" s="46">
        <f t="shared" si="16"/>
        <v>625900</v>
      </c>
      <c r="AQ61" s="46"/>
    </row>
    <row r="62" spans="1:43" x14ac:dyDescent="0.2">
      <c r="A62" s="24">
        <v>44984</v>
      </c>
      <c r="B62" s="2" cm="1">
        <f t="array" ref="B62">_xll.BADDPERIODS(A62, "PER=WD", "NUMBEROFPERIODS=2", "BUSDAYADJ=-2", "CDR=GQ", "CDR=P9")</f>
        <v>44986</v>
      </c>
      <c r="C62" cm="1">
        <f t="array" ref="C62">_xll.BDH("XAU Curncy","PX_LAST",A62,A62)</f>
        <v>1817.14</v>
      </c>
      <c r="D62" s="15" t="str" cm="1">
        <f t="array" ref="D62">_xll.BDP("GCJ23 Comdty",$M$32)</f>
        <v>03/04/2023</v>
      </c>
      <c r="E62">
        <f t="shared" si="29"/>
        <v>33</v>
      </c>
      <c r="F62" s="13">
        <v>4.6899999999999997E-2</v>
      </c>
      <c r="G62" s="3">
        <f t="shared" si="30"/>
        <v>7.8121877166666662</v>
      </c>
      <c r="H62" s="12">
        <v>6.9</v>
      </c>
      <c r="I62" s="5">
        <f t="shared" si="31"/>
        <v>-0.91218771666666587</v>
      </c>
      <c r="J62">
        <v>4</v>
      </c>
      <c r="K62">
        <v>6</v>
      </c>
      <c r="L62">
        <v>8</v>
      </c>
      <c r="N62" s="2">
        <v>44984</v>
      </c>
      <c r="O62" s="2" cm="1">
        <f t="array" ref="O62">_xll.BADDPERIODS(N62, "PER=WD", "NUMBEROFPERIODS=2", "BUSDAYADJ=-2", "CDR=GQ", "CDR=P9")</f>
        <v>44986</v>
      </c>
      <c r="P62" cm="1">
        <f t="array" ref="P62">_xll.BDH("XAG Curncy","PX_LAST",N62,N62)</f>
        <v>20.63</v>
      </c>
      <c r="Q62" t="str" cm="1">
        <f t="array" ref="Q62">_xll.BDP("SIk23 Comdty",$M$32)</f>
        <v>01/05/2023</v>
      </c>
      <c r="R62">
        <f t="shared" si="32"/>
        <v>61</v>
      </c>
      <c r="S62" s="13">
        <v>0.04</v>
      </c>
      <c r="T62" s="11">
        <f t="shared" si="33"/>
        <v>0.13982555555555556</v>
      </c>
      <c r="U62" s="12">
        <v>8.5000000000000006E-2</v>
      </c>
      <c r="V62" s="6">
        <f t="shared" si="8"/>
        <v>-5.4825555555555558</v>
      </c>
      <c r="W62" s="15">
        <v>15</v>
      </c>
      <c r="X62" s="15">
        <v>20</v>
      </c>
      <c r="Y62" s="15">
        <v>25</v>
      </c>
      <c r="Z62" s="4">
        <f t="shared" si="34"/>
        <v>13.982555555555557</v>
      </c>
      <c r="AA62" s="4">
        <f t="shared" si="35"/>
        <v>8.5</v>
      </c>
      <c r="AB62" s="4">
        <f t="shared" si="11"/>
        <v>-5.4825555555555558</v>
      </c>
      <c r="AE62" s="44" cm="1">
        <f t="array" ref="AE62">_xll.BDH("COMXGOLD Comdty","PX_Last", N62)</f>
        <v>21653698.127</v>
      </c>
      <c r="AF62" s="15" t="str" cm="1">
        <f t="array" ref="AF62">_xll.BDS("GCA Comdty","FUT_CHAIN", "CHAIN_DATE",A62,"endrow=1")</f>
        <v>GCH23 Comdty</v>
      </c>
      <c r="AG62" s="44" cm="1">
        <f t="array" ref="AG62">_xll.BDH(AF62,"FUT_AGGTE_OPEN_INT",A62)</f>
        <v>423217</v>
      </c>
      <c r="AH62" s="44">
        <f t="shared" si="12"/>
        <v>42321700</v>
      </c>
      <c r="AI62" s="48">
        <f t="shared" si="13"/>
        <v>0.51164528190030178</v>
      </c>
      <c r="AJ62" s="45"/>
      <c r="AK62" s="44" cm="1">
        <f t="array" ref="AK62">_xll.BDH("COMXSILV Comdty","PX_Last", N62)</f>
        <v>288994.40999999997</v>
      </c>
      <c r="AL62" s="15" t="str" cm="1">
        <f t="array" ref="AL62">_xll.BDS("SIA Comdty","FUT_CHAIN", "CHAIN_DATE",A62,"endrow=1")</f>
        <v>SIH23 Comdty</v>
      </c>
      <c r="AM62" s="47" cm="1">
        <f t="array" ref="AM62">_xll.BDH(AL62,"FUT_AGGTE_OPEN_INT",A62)</f>
        <v>124567</v>
      </c>
      <c r="AN62" s="45">
        <f t="shared" si="14"/>
        <v>463.99834627148431</v>
      </c>
      <c r="AO62" s="46">
        <f t="shared" si="15"/>
        <v>28899440999.999996</v>
      </c>
      <c r="AP62" s="46">
        <f t="shared" si="16"/>
        <v>622835</v>
      </c>
      <c r="AQ62" s="46"/>
    </row>
    <row r="63" spans="1:43" x14ac:dyDescent="0.2">
      <c r="A63" s="24">
        <v>44985</v>
      </c>
      <c r="B63" s="2" cm="1">
        <f t="array" ref="B63">_xll.BADDPERIODS(A63, "PER=WD", "NUMBEROFPERIODS=2", "BUSDAYADJ=-2", "CDR=GQ", "CDR=P9")</f>
        <v>44987</v>
      </c>
      <c r="C63" cm="1">
        <f t="array" ref="C63">_xll.BDH("XAU Curncy","PX_LAST",A63,A63)</f>
        <v>1826.92</v>
      </c>
      <c r="D63" s="15" t="str" cm="1">
        <f t="array" ref="D63">_xll.BDP("GCJ23 Comdty",$M$32)</f>
        <v>03/04/2023</v>
      </c>
      <c r="E63">
        <f t="shared" si="29"/>
        <v>32</v>
      </c>
      <c r="F63" s="13">
        <v>4.6899999999999997E-2</v>
      </c>
      <c r="G63" s="3">
        <f t="shared" si="30"/>
        <v>7.6162264888888895</v>
      </c>
      <c r="H63" s="12">
        <v>7.1</v>
      </c>
      <c r="I63" s="5">
        <f t="shared" si="31"/>
        <v>-0.51622648888888989</v>
      </c>
      <c r="J63">
        <v>4</v>
      </c>
      <c r="K63">
        <v>6</v>
      </c>
      <c r="L63">
        <v>8</v>
      </c>
      <c r="N63" s="2">
        <v>44985</v>
      </c>
      <c r="O63" s="2" cm="1">
        <f t="array" ref="O63">_xll.BADDPERIODS(N63, "PER=WD", "NUMBEROFPERIODS=2", "BUSDAYADJ=-2", "CDR=GQ", "CDR=P9")</f>
        <v>44987</v>
      </c>
      <c r="P63" cm="1">
        <f t="array" ref="P63">_xll.BDH("XAG Curncy","PX_LAST",N63,N63)</f>
        <v>20.9114</v>
      </c>
      <c r="Q63" s="15" t="str" cm="1">
        <f t="array" ref="Q63">_xll.BDP("SIk23 Comdty",$M$32)</f>
        <v>01/05/2023</v>
      </c>
      <c r="R63">
        <f t="shared" si="32"/>
        <v>60</v>
      </c>
      <c r="S63" s="13">
        <v>0.04</v>
      </c>
      <c r="T63" s="11">
        <f t="shared" si="33"/>
        <v>0.13940933333333333</v>
      </c>
      <c r="U63" s="12">
        <v>8.5000000000000006E-2</v>
      </c>
      <c r="V63" s="6">
        <f t="shared" si="8"/>
        <v>-5.4409333333333327</v>
      </c>
      <c r="W63" s="15">
        <v>15</v>
      </c>
      <c r="X63" s="15">
        <v>20</v>
      </c>
      <c r="Y63" s="15">
        <v>25</v>
      </c>
      <c r="Z63" s="4">
        <f t="shared" si="34"/>
        <v>13.940933333333334</v>
      </c>
      <c r="AA63" s="4">
        <f t="shared" si="35"/>
        <v>8.5</v>
      </c>
      <c r="AB63" s="4">
        <f t="shared" si="11"/>
        <v>-5.4409333333333327</v>
      </c>
      <c r="AE63" s="44" cm="1">
        <f t="array" ref="AE63">_xll.BDH("COMXGOLD Comdty","PX_Last", N63)</f>
        <v>21651865.517000001</v>
      </c>
      <c r="AF63" s="15" t="str" cm="1">
        <f t="array" ref="AF63">_xll.BDS("GCA Comdty","FUT_CHAIN", "CHAIN_DATE",A63,"endrow=1")</f>
        <v>GCH23 Comdty</v>
      </c>
      <c r="AG63" s="44" cm="1">
        <f t="array" ref="AG63">_xll.BDH(AF63,"FUT_AGGTE_OPEN_INT",A63)</f>
        <v>426890</v>
      </c>
      <c r="AH63" s="44">
        <f t="shared" si="12"/>
        <v>42689000</v>
      </c>
      <c r="AI63" s="48">
        <f t="shared" si="13"/>
        <v>0.50720011049684932</v>
      </c>
      <c r="AJ63" s="45"/>
      <c r="AK63" s="44" cm="1">
        <f t="array" ref="AK63">_xll.BDH("COMXSILV Comdty","PX_Last", N63)</f>
        <v>287247.06</v>
      </c>
      <c r="AL63" s="15" t="str" cm="1">
        <f t="array" ref="AL63">_xll.BDS("SIA Comdty","FUT_CHAIN", "CHAIN_DATE",A63,"endrow=1")</f>
        <v>SIH23 Comdty</v>
      </c>
      <c r="AM63" s="47" cm="1">
        <f t="array" ref="AM63">_xll.BDH(AL63,"FUT_AGGTE_OPEN_INT",A63)</f>
        <v>123900</v>
      </c>
      <c r="AN63" s="45">
        <f t="shared" si="14"/>
        <v>463.67564164648911</v>
      </c>
      <c r="AO63" s="46">
        <f t="shared" si="15"/>
        <v>28724706000</v>
      </c>
      <c r="AP63" s="46">
        <f t="shared" si="16"/>
        <v>619500</v>
      </c>
      <c r="AQ63" s="46"/>
    </row>
    <row r="64" spans="1:43" x14ac:dyDescent="0.2">
      <c r="A64" s="24">
        <v>44986</v>
      </c>
      <c r="B64" s="2" cm="1">
        <f t="array" ref="B64">_xll.BADDPERIODS(A64, "PER=WD", "NUMBEROFPERIODS=2", "BUSDAYADJ=-2", "CDR=GQ", "CDR=P9")</f>
        <v>44988</v>
      </c>
      <c r="C64" cm="1">
        <f t="array" ref="C64">_xll.BDH("XAU Curncy","PX_LAST",A64,A64)</f>
        <v>1836.72</v>
      </c>
      <c r="D64" s="15" t="str" cm="1">
        <f t="array" ref="D64">_xll.BDP("GCJ23 Comdty",$M$32)</f>
        <v>03/04/2023</v>
      </c>
      <c r="E64">
        <f t="shared" si="29"/>
        <v>31</v>
      </c>
      <c r="F64" s="13">
        <v>4.7E-2</v>
      </c>
      <c r="G64" s="3">
        <f t="shared" si="30"/>
        <v>7.4336140000000004</v>
      </c>
      <c r="H64" s="12">
        <v>6.8</v>
      </c>
      <c r="I64" s="5">
        <f t="shared" si="31"/>
        <v>-0.63361400000000057</v>
      </c>
      <c r="J64">
        <v>4</v>
      </c>
      <c r="K64">
        <v>6</v>
      </c>
      <c r="L64">
        <v>8</v>
      </c>
      <c r="N64" s="2">
        <v>44986</v>
      </c>
      <c r="O64" s="2" cm="1">
        <f t="array" ref="O64">_xll.BADDPERIODS(N64, "PER=WD", "NUMBEROFPERIODS=2", "BUSDAYADJ=-2", "CDR=GQ", "CDR=P9")</f>
        <v>44988</v>
      </c>
      <c r="P64" cm="1">
        <f t="array" ref="P64">_xll.BDH("XAG Curncy","PX_LAST",N64,N64)</f>
        <v>20.992999999999999</v>
      </c>
      <c r="Q64" s="15" t="str" cm="1">
        <f t="array" ref="Q64">_xll.BDP("SIk23 Comdty",$M$32)</f>
        <v>01/05/2023</v>
      </c>
      <c r="R64">
        <f t="shared" si="32"/>
        <v>59</v>
      </c>
      <c r="S64" s="13">
        <v>0.04</v>
      </c>
      <c r="T64" s="11">
        <f t="shared" si="33"/>
        <v>0.13762077777777776</v>
      </c>
      <c r="U64" s="12">
        <v>0.1</v>
      </c>
      <c r="V64" s="6">
        <f t="shared" si="8"/>
        <v>-3.7620777777777752</v>
      </c>
      <c r="W64" s="15">
        <v>15</v>
      </c>
      <c r="X64" s="15">
        <v>20</v>
      </c>
      <c r="Y64" s="15">
        <v>25</v>
      </c>
      <c r="Z64" s="4">
        <f t="shared" si="34"/>
        <v>13.762077777777776</v>
      </c>
      <c r="AA64" s="4">
        <f t="shared" si="35"/>
        <v>10</v>
      </c>
      <c r="AB64" s="4">
        <f t="shared" si="11"/>
        <v>-3.7620777777777752</v>
      </c>
      <c r="AE64" s="44" cm="1">
        <f t="array" ref="AE64">_xll.BDH("COMXGOLD Comdty","PX_Last", N64)</f>
        <v>21651865.517000001</v>
      </c>
      <c r="AF64" s="15" t="str" cm="1">
        <f t="array" ref="AF64">_xll.BDS("GCA Comdty","FUT_CHAIN", "CHAIN_DATE",A64,"endrow=1")</f>
        <v>GCH23 Comdty</v>
      </c>
      <c r="AG64" s="44" cm="1">
        <f t="array" ref="AG64">_xll.BDH(AF64,"FUT_AGGTE_OPEN_INT",A64)</f>
        <v>431116</v>
      </c>
      <c r="AH64" s="44">
        <f t="shared" si="12"/>
        <v>43111600</v>
      </c>
      <c r="AI64" s="48">
        <f t="shared" si="13"/>
        <v>0.50222829857857287</v>
      </c>
      <c r="AJ64" s="45"/>
      <c r="AK64" s="44" cm="1">
        <f t="array" ref="AK64">_xll.BDH("COMXSILV Comdty","PX_Last", N64)</f>
        <v>287233.28000000003</v>
      </c>
      <c r="AL64" s="15" t="str" cm="1">
        <f t="array" ref="AL64">_xll.BDS("SIA Comdty","FUT_CHAIN", "CHAIN_DATE",A64,"endrow=1")</f>
        <v>SIH23 Comdty</v>
      </c>
      <c r="AM64" s="47" cm="1">
        <f t="array" ref="AM64">_xll.BDH(AL64,"FUT_AGGTE_OPEN_INT",A64)</f>
        <v>123436</v>
      </c>
      <c r="AN64" s="45">
        <f t="shared" si="14"/>
        <v>465.39628633461876</v>
      </c>
      <c r="AO64" s="46">
        <f t="shared" si="15"/>
        <v>28723328000.000004</v>
      </c>
      <c r="AP64" s="46">
        <f t="shared" si="16"/>
        <v>617180</v>
      </c>
      <c r="AQ64" s="46"/>
    </row>
    <row r="65" spans="1:43" x14ac:dyDescent="0.2">
      <c r="A65" s="24">
        <v>44987</v>
      </c>
      <c r="B65" s="2" cm="1">
        <f t="array" ref="B65">_xll.BADDPERIODS(A65, "PER=WD", "NUMBEROFPERIODS=2", "BUSDAYADJ=-2", "CDR=GQ", "CDR=P9")</f>
        <v>44991</v>
      </c>
      <c r="C65" cm="1">
        <f t="array" ref="C65">_xll.BDH("XAU Curncy","PX_LAST",A65,A65)</f>
        <v>1835.87</v>
      </c>
      <c r="D65" s="15" t="str" cm="1">
        <f t="array" ref="D65">_xll.BDP("GCJ23 Comdty",$M$32)</f>
        <v>03/04/2023</v>
      </c>
      <c r="E65">
        <f t="shared" si="29"/>
        <v>28</v>
      </c>
      <c r="F65" s="13">
        <v>4.7199999999999999E-2</v>
      </c>
      <c r="G65" s="3">
        <f t="shared" si="30"/>
        <v>6.7396827555555561</v>
      </c>
      <c r="H65" s="12">
        <v>6</v>
      </c>
      <c r="I65" s="5">
        <f t="shared" si="31"/>
        <v>-0.73968275555555607</v>
      </c>
      <c r="J65">
        <v>4</v>
      </c>
      <c r="K65">
        <v>6</v>
      </c>
      <c r="L65">
        <v>8</v>
      </c>
      <c r="N65" s="2">
        <v>44987</v>
      </c>
      <c r="O65" s="2" cm="1">
        <f t="array" ref="O65">_xll.BADDPERIODS(N65, "PER=WD", "NUMBEROFPERIODS=2", "BUSDAYADJ=-2", "CDR=GQ", "CDR=P9")</f>
        <v>44991</v>
      </c>
      <c r="P65" cm="1">
        <f t="array" ref="P65">_xll.BDH("XAG Curncy","PX_LAST",N65,N65)</f>
        <v>20.897500000000001</v>
      </c>
      <c r="Q65" s="15" t="str" cm="1">
        <f t="array" ref="Q65">_xll.BDP("SIk23 Comdty",$M$32)</f>
        <v>01/05/2023</v>
      </c>
      <c r="R65">
        <f t="shared" si="32"/>
        <v>56</v>
      </c>
      <c r="S65" s="13">
        <v>3.5999999999999997E-2</v>
      </c>
      <c r="T65" s="11">
        <f t="shared" si="33"/>
        <v>0.11702600000000001</v>
      </c>
      <c r="U65" s="12">
        <v>8.7499999999999994E-2</v>
      </c>
      <c r="V65" s="6">
        <f t="shared" si="8"/>
        <v>-2.9526000000000012</v>
      </c>
      <c r="W65" s="15">
        <v>15</v>
      </c>
      <c r="X65" s="15">
        <v>20</v>
      </c>
      <c r="Y65" s="15">
        <v>25</v>
      </c>
      <c r="Z65" s="4">
        <f t="shared" si="34"/>
        <v>11.7026</v>
      </c>
      <c r="AA65" s="4">
        <f t="shared" si="35"/>
        <v>8.75</v>
      </c>
      <c r="AB65" s="4">
        <f t="shared" si="11"/>
        <v>-2.9526000000000012</v>
      </c>
      <c r="AE65" s="44" cm="1">
        <f t="array" ref="AE65">_xll.BDH("COMXGOLD Comdty","PX_Last", N65)</f>
        <v>21602835.241999999</v>
      </c>
      <c r="AF65" s="15" t="str" cm="1">
        <f t="array" ref="AF65">_xll.BDS("GCA Comdty","FUT_CHAIN", "CHAIN_DATE",A65,"endrow=1")</f>
        <v>GCH23 Comdty</v>
      </c>
      <c r="AG65" s="44" cm="1">
        <f t="array" ref="AG65">_xll.BDH(AF65,"FUT_AGGTE_OPEN_INT",A65)</f>
        <v>436462</v>
      </c>
      <c r="AH65" s="44">
        <f t="shared" si="12"/>
        <v>43646200</v>
      </c>
      <c r="AI65" s="48">
        <f t="shared" si="13"/>
        <v>0.49495340354944989</v>
      </c>
      <c r="AJ65" s="45"/>
      <c r="AK65" s="44" cm="1">
        <f t="array" ref="AK65">_xll.BDH("COMXSILV Comdty","PX_Last", N65)</f>
        <v>287547.15999999997</v>
      </c>
      <c r="AL65" s="15" t="str" cm="1">
        <f t="array" ref="AL65">_xll.BDS("SIA Comdty","FUT_CHAIN", "CHAIN_DATE",A65,"endrow=1")</f>
        <v>SIH23 Comdty</v>
      </c>
      <c r="AM65" s="47" cm="1">
        <f t="array" ref="AM65">_xll.BDH(AL65,"FUT_AGGTE_OPEN_INT",A65)</f>
        <v>121299</v>
      </c>
      <c r="AN65" s="45">
        <f t="shared" si="14"/>
        <v>474.1129935119003</v>
      </c>
      <c r="AO65" s="46">
        <f t="shared" si="15"/>
        <v>28754715999.999996</v>
      </c>
      <c r="AP65" s="46">
        <f t="shared" si="16"/>
        <v>606495</v>
      </c>
      <c r="AQ65" s="46"/>
    </row>
    <row r="66" spans="1:43" x14ac:dyDescent="0.2">
      <c r="A66" s="24">
        <v>44988</v>
      </c>
      <c r="B66" s="2" cm="1">
        <f t="array" ref="B66">_xll.BADDPERIODS(A66, "PER=WD", "NUMBEROFPERIODS=2", "BUSDAYADJ=-2", "CDR=GQ", "CDR=P9")</f>
        <v>44992</v>
      </c>
      <c r="C66" cm="1">
        <f t="array" ref="C66">_xll.BDH("XAU Curncy","PX_LAST",A66,A66)</f>
        <v>1856.48</v>
      </c>
      <c r="D66" s="15" t="str" cm="1">
        <f t="array" ref="D66">_xll.BDP("GCJ23 Comdty",$M$32)</f>
        <v>03/04/2023</v>
      </c>
      <c r="E66">
        <f t="shared" si="29"/>
        <v>27</v>
      </c>
      <c r="F66" s="13">
        <v>4.7399999999999998E-2</v>
      </c>
      <c r="G66" s="3">
        <f t="shared" si="30"/>
        <v>6.5997863999999993</v>
      </c>
      <c r="H66" s="12">
        <v>5.6</v>
      </c>
      <c r="I66" s="5">
        <f t="shared" si="31"/>
        <v>-0.99978639999999963</v>
      </c>
      <c r="J66">
        <v>4</v>
      </c>
      <c r="K66">
        <v>6</v>
      </c>
      <c r="L66">
        <v>8</v>
      </c>
      <c r="N66" s="2">
        <v>44988</v>
      </c>
      <c r="O66" s="2" cm="1">
        <f t="array" ref="O66">_xll.BADDPERIODS(N66, "PER=WD", "NUMBEROFPERIODS=2", "BUSDAYADJ=-2", "CDR=GQ", "CDR=P9")</f>
        <v>44992</v>
      </c>
      <c r="P66" cm="1">
        <f t="array" ref="P66">_xll.BDH("XAG Curncy","PX_LAST",N66,N66)</f>
        <v>21.261299999999999</v>
      </c>
      <c r="Q66" s="15" t="str" cm="1">
        <f t="array" ref="Q66">_xll.BDP("SIk23 Comdty",$M$32)</f>
        <v>01/05/2023</v>
      </c>
      <c r="R66">
        <f t="shared" si="32"/>
        <v>55</v>
      </c>
      <c r="S66" s="13">
        <v>3.5999999999999997E-2</v>
      </c>
      <c r="T66" s="11">
        <f t="shared" si="33"/>
        <v>0.11693715</v>
      </c>
      <c r="U66" s="12">
        <v>8.5000000000000006E-2</v>
      </c>
      <c r="V66" s="6">
        <f t="shared" si="8"/>
        <v>-3.1937149999999996</v>
      </c>
      <c r="W66" s="15">
        <v>15</v>
      </c>
      <c r="X66" s="15">
        <v>20</v>
      </c>
      <c r="Y66" s="15">
        <v>25</v>
      </c>
      <c r="Z66" s="4">
        <f t="shared" si="34"/>
        <v>11.693715000000001</v>
      </c>
      <c r="AA66" s="4">
        <f t="shared" si="35"/>
        <v>8.5</v>
      </c>
      <c r="AB66" s="4">
        <f t="shared" si="11"/>
        <v>-3.1937149999999996</v>
      </c>
      <c r="AE66" s="44" cm="1">
        <f t="array" ref="AE66">_xll.BDH("COMXGOLD Comdty","PX_Last", N66)</f>
        <v>21630976.622000001</v>
      </c>
      <c r="AF66" s="15" t="str" cm="1">
        <f t="array" ref="AF66">_xll.BDS("GCA Comdty","FUT_CHAIN", "CHAIN_DATE",A66,"endrow=1")</f>
        <v>GCH23 Comdty</v>
      </c>
      <c r="AG66" s="44" cm="1">
        <f t="array" ref="AG66">_xll.BDH(AF66,"FUT_AGGTE_OPEN_INT",A66)</f>
        <v>437990</v>
      </c>
      <c r="AH66" s="44">
        <f t="shared" si="12"/>
        <v>43799000</v>
      </c>
      <c r="AI66" s="48">
        <f t="shared" si="13"/>
        <v>0.49386918929655932</v>
      </c>
      <c r="AJ66" s="45"/>
      <c r="AK66" s="44" cm="1">
        <f t="array" ref="AK66">_xll.BDH("COMXSILV Comdty","PX_Last", N66)</f>
        <v>286950.15999999997</v>
      </c>
      <c r="AL66" s="15" t="str" cm="1">
        <f t="array" ref="AL66">_xll.BDS("SIA Comdty","FUT_CHAIN", "CHAIN_DATE",A66,"endrow=1")</f>
        <v>SIH23 Comdty</v>
      </c>
      <c r="AM66" s="47" cm="1">
        <f t="array" ref="AM66">_xll.BDH(AL66,"FUT_AGGTE_OPEN_INT",A66)</f>
        <v>122042</v>
      </c>
      <c r="AN66" s="45">
        <f t="shared" si="14"/>
        <v>470.24820963274937</v>
      </c>
      <c r="AO66" s="46">
        <f t="shared" si="15"/>
        <v>28695015999.999996</v>
      </c>
      <c r="AP66" s="46">
        <f t="shared" si="16"/>
        <v>610210</v>
      </c>
      <c r="AQ66" s="46"/>
    </row>
    <row r="67" spans="1:43" x14ac:dyDescent="0.2">
      <c r="A67" s="24">
        <v>44991</v>
      </c>
      <c r="B67" s="2" cm="1">
        <f t="array" ref="B67">_xll.BADDPERIODS(A67, "PER=WD", "NUMBEROFPERIODS=2", "BUSDAYADJ=-2", "CDR=GQ", "CDR=P9")</f>
        <v>44993</v>
      </c>
      <c r="C67" cm="1">
        <f t="array" ref="C67">_xll.BDH("XAU Curncy","PX_LAST",A67,A67)</f>
        <v>1846.86</v>
      </c>
      <c r="D67" s="15" t="str" cm="1">
        <f t="array" ref="D67">_xll.BDP("GCJ23 Comdty",$M$32)</f>
        <v>03/04/2023</v>
      </c>
      <c r="E67">
        <f t="shared" si="29"/>
        <v>26</v>
      </c>
      <c r="F67" s="13">
        <v>4.7399999999999998E-2</v>
      </c>
      <c r="G67" s="3">
        <f t="shared" si="30"/>
        <v>6.3224173999999982</v>
      </c>
      <c r="H67" s="12">
        <v>5.6</v>
      </c>
      <c r="I67" s="5">
        <f t="shared" si="31"/>
        <v>-0.72241739999999854</v>
      </c>
      <c r="J67">
        <v>4</v>
      </c>
      <c r="K67">
        <v>6</v>
      </c>
      <c r="L67">
        <v>8</v>
      </c>
      <c r="N67" s="2">
        <v>44991</v>
      </c>
      <c r="O67" s="2" cm="1">
        <f t="array" ref="O67">_xll.BADDPERIODS(N67, "PER=WD", "NUMBEROFPERIODS=2", "BUSDAYADJ=-2", "CDR=GQ", "CDR=P9")</f>
        <v>44993</v>
      </c>
      <c r="P67" cm="1">
        <f t="array" ref="P67">_xll.BDH("XAG Curncy","PX_LAST",N67,N67)</f>
        <v>21.052</v>
      </c>
      <c r="Q67" s="15" t="str" cm="1">
        <f t="array" ref="Q67">_xll.BDP("SIk23 Comdty",$M$32)</f>
        <v>01/05/2023</v>
      </c>
      <c r="R67">
        <f t="shared" si="32"/>
        <v>54</v>
      </c>
      <c r="S67" s="13">
        <v>3.5999999999999997E-2</v>
      </c>
      <c r="T67" s="11">
        <f t="shared" si="33"/>
        <v>0.11368079999999998</v>
      </c>
      <c r="U67" s="12">
        <v>9.5000000000000001E-2</v>
      </c>
      <c r="V67" s="6">
        <f t="shared" si="8"/>
        <v>-1.8680799999999984</v>
      </c>
      <c r="W67" s="15">
        <v>15</v>
      </c>
      <c r="X67" s="15">
        <v>20</v>
      </c>
      <c r="Y67" s="15">
        <v>25</v>
      </c>
      <c r="Z67" s="4">
        <f t="shared" si="34"/>
        <v>11.368079999999999</v>
      </c>
      <c r="AA67" s="4">
        <f t="shared" si="35"/>
        <v>9.5</v>
      </c>
      <c r="AB67" s="4">
        <f t="shared" si="11"/>
        <v>-1.8680799999999984</v>
      </c>
      <c r="AE67" s="44" cm="1">
        <f t="array" ref="AE67">_xll.BDH("COMXGOLD Comdty","PX_Last", N67)</f>
        <v>21630976.647</v>
      </c>
      <c r="AF67" s="15" t="str" cm="1">
        <f t="array" ref="AF67">_xll.BDS("GCA Comdty","FUT_CHAIN", "CHAIN_DATE",A67,"endrow=1")</f>
        <v>GCH23 Comdty</v>
      </c>
      <c r="AG67" s="44" cm="1">
        <f t="array" ref="AG67">_xll.BDH(AF67,"FUT_AGGTE_OPEN_INT",A67)</f>
        <v>441454</v>
      </c>
      <c r="AH67" s="44">
        <f t="shared" si="12"/>
        <v>44145400</v>
      </c>
      <c r="AI67" s="48">
        <f t="shared" si="13"/>
        <v>0.48999389850358133</v>
      </c>
      <c r="AJ67" s="45"/>
      <c r="AK67" s="44" cm="1">
        <f t="array" ref="AK67">_xll.BDH("COMXSILV Comdty","PX_Last", N67)</f>
        <v>286902.84000000003</v>
      </c>
      <c r="AL67" s="15" t="str" cm="1">
        <f t="array" ref="AL67">_xll.BDS("SIA Comdty","FUT_CHAIN", "CHAIN_DATE",A67,"endrow=1")</f>
        <v>SIH23 Comdty</v>
      </c>
      <c r="AM67" s="47" cm="1">
        <f t="array" ref="AM67">_xll.BDH(AL67,"FUT_AGGTE_OPEN_INT",A67)</f>
        <v>122402</v>
      </c>
      <c r="AN67" s="45">
        <f t="shared" si="14"/>
        <v>468.78783026421144</v>
      </c>
      <c r="AO67" s="46">
        <f t="shared" si="15"/>
        <v>28690284000.000004</v>
      </c>
      <c r="AP67" s="46">
        <f t="shared" si="16"/>
        <v>612010</v>
      </c>
      <c r="AQ67" s="46"/>
    </row>
    <row r="68" spans="1:43" x14ac:dyDescent="0.2">
      <c r="A68" s="24">
        <v>44992</v>
      </c>
      <c r="B68" s="2" cm="1">
        <f t="array" ref="B68">_xll.BADDPERIODS(A68, "PER=WD", "NUMBEROFPERIODS=2", "BUSDAYADJ=-2", "CDR=GQ", "CDR=P9")</f>
        <v>44994</v>
      </c>
      <c r="C68" cm="1">
        <f t="array" ref="C68">_xll.BDH("XAU Curncy","PX_LAST",A68,A68)</f>
        <v>1813.45</v>
      </c>
      <c r="D68" s="15" t="str" cm="1">
        <f t="array" ref="D68">_xll.BDP("GCJ23 Comdty",$M$32)</f>
        <v>03/04/2023</v>
      </c>
      <c r="E68">
        <f t="shared" si="29"/>
        <v>25</v>
      </c>
      <c r="F68" s="13">
        <v>4.7600000000000003E-2</v>
      </c>
      <c r="G68" s="3">
        <f t="shared" si="30"/>
        <v>5.9944597222222233</v>
      </c>
      <c r="H68" s="12">
        <v>5</v>
      </c>
      <c r="I68" s="5">
        <f t="shared" si="31"/>
        <v>-0.99445972222222334</v>
      </c>
      <c r="J68">
        <v>4</v>
      </c>
      <c r="K68">
        <v>6</v>
      </c>
      <c r="L68">
        <v>8</v>
      </c>
      <c r="N68" s="2">
        <v>44992</v>
      </c>
      <c r="O68" s="2" cm="1">
        <f t="array" ref="O68">_xll.BADDPERIODS(N68, "PER=WD", "NUMBEROFPERIODS=2", "BUSDAYADJ=-2", "CDR=GQ", "CDR=P9")</f>
        <v>44994</v>
      </c>
      <c r="P68" cm="1">
        <f t="array" ref="P68">_xll.BDH("XAG Curncy","PX_LAST",N68,N68)</f>
        <v>20.076000000000001</v>
      </c>
      <c r="Q68" s="15" t="str" cm="1">
        <f t="array" ref="Q68">_xll.BDP("SIk23 Comdty",$M$32)</f>
        <v>01/05/2023</v>
      </c>
      <c r="R68">
        <f t="shared" si="32"/>
        <v>53</v>
      </c>
      <c r="S68" s="13">
        <v>3.5999999999999997E-2</v>
      </c>
      <c r="T68" s="11">
        <f t="shared" si="33"/>
        <v>0.10640280000000001</v>
      </c>
      <c r="U68" s="12">
        <v>7.0000000000000007E-2</v>
      </c>
      <c r="V68" s="6">
        <f t="shared" si="8"/>
        <v>-3.6402799999999997</v>
      </c>
      <c r="W68" s="15">
        <v>15</v>
      </c>
      <c r="X68" s="15">
        <v>20</v>
      </c>
      <c r="Y68" s="15">
        <v>25</v>
      </c>
      <c r="Z68" s="4">
        <f t="shared" si="34"/>
        <v>10.640280000000001</v>
      </c>
      <c r="AA68" s="4">
        <f t="shared" si="35"/>
        <v>7.0000000000000009</v>
      </c>
      <c r="AB68" s="4">
        <f t="shared" si="11"/>
        <v>-3.6402799999999997</v>
      </c>
      <c r="AE68" s="44" cm="1">
        <f t="array" ref="AE68">_xll.BDH("COMXGOLD Comdty","PX_Last", N68)</f>
        <v>21534523.647</v>
      </c>
      <c r="AF68" s="15" t="str" cm="1">
        <f t="array" ref="AF68">_xll.BDS("GCA Comdty","FUT_CHAIN", "CHAIN_DATE",A68,"endrow=1")</f>
        <v>GCH23 Comdty</v>
      </c>
      <c r="AG68" s="44" cm="1">
        <f t="array" ref="AG68">_xll.BDH(AF68,"FUT_AGGTE_OPEN_INT",A68)</f>
        <v>458474</v>
      </c>
      <c r="AH68" s="44">
        <f t="shared" si="12"/>
        <v>45847400</v>
      </c>
      <c r="AI68" s="48">
        <f t="shared" si="13"/>
        <v>0.46969999709907212</v>
      </c>
      <c r="AJ68" s="45"/>
      <c r="AK68" s="44" cm="1">
        <f t="array" ref="AK68">_xll.BDH("COMXSILV Comdty","PX_Last", N68)</f>
        <v>285730.78000000003</v>
      </c>
      <c r="AL68" s="15" t="str" cm="1">
        <f t="array" ref="AL68">_xll.BDS("SIA Comdty","FUT_CHAIN", "CHAIN_DATE",A68,"endrow=1")</f>
        <v>SIH23 Comdty</v>
      </c>
      <c r="AM68" s="47" cm="1">
        <f t="array" ref="AM68">_xll.BDH(AL68,"FUT_AGGTE_OPEN_INT",A68)</f>
        <v>127503</v>
      </c>
      <c r="AN68" s="45">
        <f t="shared" si="14"/>
        <v>448.19459934276063</v>
      </c>
      <c r="AO68" s="46">
        <f t="shared" si="15"/>
        <v>28573078000.000004</v>
      </c>
      <c r="AP68" s="46">
        <f t="shared" si="16"/>
        <v>637515</v>
      </c>
      <c r="AQ68" s="46"/>
    </row>
    <row r="69" spans="1:43" x14ac:dyDescent="0.2">
      <c r="A69" s="24">
        <v>44993</v>
      </c>
      <c r="B69" s="2" cm="1">
        <f t="array" ref="B69">_xll.BADDPERIODS(A69, "PER=WD", "NUMBEROFPERIODS=2", "BUSDAYADJ=-2", "CDR=GQ", "CDR=P9")</f>
        <v>44995</v>
      </c>
      <c r="C69" cm="1">
        <f t="array" ref="C69">_xll.BDH("XAU Curncy","PX_LAST",A69,A69)</f>
        <v>1813.8</v>
      </c>
      <c r="D69" s="15" t="str" cm="1">
        <f t="array" ref="D69">_xll.BDP("GCJ23 Comdty",$M$32)</f>
        <v>03/04/2023</v>
      </c>
      <c r="E69">
        <f t="shared" si="29"/>
        <v>24</v>
      </c>
      <c r="F69" s="13">
        <v>4.7800000000000002E-2</v>
      </c>
      <c r="G69" s="3">
        <f t="shared" si="30"/>
        <v>5.7799760000000004</v>
      </c>
      <c r="H69" s="12">
        <v>4.3</v>
      </c>
      <c r="I69" s="5">
        <f t="shared" si="31"/>
        <v>-1.4799760000000006</v>
      </c>
      <c r="J69">
        <v>4</v>
      </c>
      <c r="K69">
        <v>6</v>
      </c>
      <c r="L69">
        <v>8</v>
      </c>
      <c r="N69" s="2">
        <v>44993</v>
      </c>
      <c r="O69" s="2" cm="1">
        <f t="array" ref="O69">_xll.BADDPERIODS(N69, "PER=WD", "NUMBEROFPERIODS=2", "BUSDAYADJ=-2", "CDR=GQ", "CDR=P9")</f>
        <v>44995</v>
      </c>
      <c r="P69" cm="1">
        <f t="array" ref="P69">_xll.BDH("XAG Curncy","PX_LAST",N69,N69)</f>
        <v>20.025700000000001</v>
      </c>
      <c r="Q69" s="15" t="str" cm="1">
        <f t="array" ref="Q69">_xll.BDP("SIk23 Comdty",$M$32)</f>
        <v>01/05/2023</v>
      </c>
      <c r="R69">
        <f t="shared" si="32"/>
        <v>52</v>
      </c>
      <c r="S69" s="13">
        <v>3.5999999999999997E-2</v>
      </c>
      <c r="T69" s="11">
        <f t="shared" si="33"/>
        <v>0.10413363999999999</v>
      </c>
      <c r="U69" s="12">
        <v>6.5000000000000002E-2</v>
      </c>
      <c r="V69" s="6">
        <f t="shared" si="8"/>
        <v>-3.9133639999999983</v>
      </c>
      <c r="W69" s="15">
        <v>15</v>
      </c>
      <c r="X69" s="15">
        <v>20</v>
      </c>
      <c r="Y69" s="15">
        <v>25</v>
      </c>
      <c r="Z69" s="4">
        <f t="shared" si="34"/>
        <v>10.413363999999998</v>
      </c>
      <c r="AA69" s="4">
        <f t="shared" si="35"/>
        <v>6.5</v>
      </c>
      <c r="AB69" s="4">
        <f t="shared" si="11"/>
        <v>-3.9133639999999983</v>
      </c>
      <c r="AE69" s="44" cm="1">
        <f t="array" ref="AE69">_xll.BDH("COMXGOLD Comdty","PX_Last", N69)</f>
        <v>21534555.798</v>
      </c>
      <c r="AF69" s="15" t="str" cm="1">
        <f t="array" ref="AF69">_xll.BDS("GCA Comdty","FUT_CHAIN", "CHAIN_DATE",A69,"endrow=1")</f>
        <v>GCH23 Comdty</v>
      </c>
      <c r="AG69" s="44" cm="1">
        <f t="array" ref="AG69">_xll.BDH(AF69,"FUT_AGGTE_OPEN_INT",A69)</f>
        <v>459423</v>
      </c>
      <c r="AH69" s="44">
        <f t="shared" si="12"/>
        <v>45942300</v>
      </c>
      <c r="AI69" s="48">
        <f t="shared" si="13"/>
        <v>0.46873046839187416</v>
      </c>
      <c r="AJ69" s="45"/>
      <c r="AK69" s="44" cm="1">
        <f t="array" ref="AK69">_xll.BDH("COMXSILV Comdty","PX_Last", N69)</f>
        <v>285712.15999999997</v>
      </c>
      <c r="AL69" s="15" t="str" cm="1">
        <f t="array" ref="AL69">_xll.BDS("SIA Comdty","FUT_CHAIN", "CHAIN_DATE",A69,"endrow=1")</f>
        <v>SIH23 Comdty</v>
      </c>
      <c r="AM69" s="47" cm="1">
        <f t="array" ref="AM69">_xll.BDH(AL69,"FUT_AGGTE_OPEN_INT",A69)</f>
        <v>128469</v>
      </c>
      <c r="AN69" s="45">
        <f t="shared" si="14"/>
        <v>444.79549151935481</v>
      </c>
      <c r="AO69" s="46">
        <f t="shared" si="15"/>
        <v>28571215999.999996</v>
      </c>
      <c r="AP69" s="46">
        <f t="shared" si="16"/>
        <v>642345</v>
      </c>
      <c r="AQ69" s="46"/>
    </row>
    <row r="70" spans="1:43" x14ac:dyDescent="0.2">
      <c r="A70" s="24">
        <v>44994</v>
      </c>
      <c r="B70" s="2" cm="1">
        <f t="array" ref="B70">_xll.BADDPERIODS(A70, "PER=WD", "NUMBEROFPERIODS=2", "BUSDAYADJ=-2", "CDR=GQ", "CDR=P9")</f>
        <v>44998</v>
      </c>
      <c r="C70" cm="1">
        <f t="array" ref="C70">_xll.BDH("XAU Curncy","PX_LAST",A70,A70)</f>
        <v>1831.03</v>
      </c>
      <c r="D70" s="15" t="str" cm="1">
        <f t="array" ref="D70">_xll.BDP("GCJ23 Comdty",$M$32)</f>
        <v>03/04/2023</v>
      </c>
      <c r="E70">
        <f t="shared" si="29"/>
        <v>21</v>
      </c>
      <c r="F70" s="13">
        <v>4.8500000000000001E-2</v>
      </c>
      <c r="G70" s="3">
        <f t="shared" si="30"/>
        <v>5.1802890416666667</v>
      </c>
      <c r="H70" s="12">
        <v>3.75</v>
      </c>
      <c r="I70" s="5">
        <f t="shared" si="31"/>
        <v>-1.4302890416666667</v>
      </c>
      <c r="J70">
        <v>4</v>
      </c>
      <c r="K70">
        <v>6</v>
      </c>
      <c r="L70">
        <v>8</v>
      </c>
      <c r="N70" s="2">
        <v>44994</v>
      </c>
      <c r="O70" s="2" cm="1">
        <f t="array" ref="O70">_xll.BADDPERIODS(N70, "PER=WD", "NUMBEROFPERIODS=2", "BUSDAYADJ=-2", "CDR=GQ", "CDR=P9")</f>
        <v>44998</v>
      </c>
      <c r="P70" cm="1">
        <f t="array" ref="P70">_xll.BDH("XAG Curncy","PX_LAST",N70,N70)</f>
        <v>20.073</v>
      </c>
      <c r="Q70" s="15" t="str" cm="1">
        <f t="array" ref="Q70">_xll.BDP("SIk23 Comdty",$M$32)</f>
        <v>01/05/2023</v>
      </c>
      <c r="R70">
        <f t="shared" si="32"/>
        <v>49</v>
      </c>
      <c r="S70" s="13">
        <v>3.7999999999999999E-2</v>
      </c>
      <c r="T70" s="11">
        <f t="shared" si="33"/>
        <v>0.10382201666666666</v>
      </c>
      <c r="U70" s="12">
        <v>5.5E-2</v>
      </c>
      <c r="V70" s="6">
        <f t="shared" si="8"/>
        <v>-4.8822016666666652</v>
      </c>
      <c r="W70" s="15">
        <v>15</v>
      </c>
      <c r="X70" s="15">
        <v>20</v>
      </c>
      <c r="Y70" s="15">
        <v>25</v>
      </c>
      <c r="Z70" s="4">
        <f t="shared" si="34"/>
        <v>10.382201666666665</v>
      </c>
      <c r="AA70" s="4">
        <f t="shared" si="35"/>
        <v>5.5</v>
      </c>
      <c r="AB70" s="4">
        <f t="shared" si="11"/>
        <v>-4.8822016666666652</v>
      </c>
      <c r="AE70" s="44" cm="1">
        <f t="array" ref="AE70">_xll.BDH("COMXGOLD Comdty","PX_Last", N70)</f>
        <v>21534555.798</v>
      </c>
      <c r="AF70" s="15" t="str" cm="1">
        <f t="array" ref="AF70">_xll.BDS("GCA Comdty","FUT_CHAIN", "CHAIN_DATE",A70,"endrow=1")</f>
        <v>GCH23 Comdty</v>
      </c>
      <c r="AG70" s="44" cm="1">
        <f t="array" ref="AG70">_xll.BDH(AF70,"FUT_AGGTE_OPEN_INT",A70)</f>
        <v>454259</v>
      </c>
      <c r="AH70" s="44">
        <f t="shared" si="12"/>
        <v>45425900</v>
      </c>
      <c r="AI70" s="48">
        <f t="shared" si="13"/>
        <v>0.47405897952489662</v>
      </c>
      <c r="AJ70" s="45"/>
      <c r="AK70" s="44" cm="1">
        <f t="array" ref="AK70">_xll.BDH("COMXSILV Comdty","PX_Last", N70)</f>
        <v>285696.38</v>
      </c>
      <c r="AL70" s="15" t="str" cm="1">
        <f t="array" ref="AL70">_xll.BDS("SIA Comdty","FUT_CHAIN", "CHAIN_DATE",A70,"endrow=1")</f>
        <v>SIH23 Comdty</v>
      </c>
      <c r="AM70" s="47" cm="1">
        <f t="array" ref="AM70">_xll.BDH(AL70,"FUT_AGGTE_OPEN_INT",A70)</f>
        <v>128413</v>
      </c>
      <c r="AN70" s="45">
        <f t="shared" si="14"/>
        <v>444.96488673265162</v>
      </c>
      <c r="AO70" s="46">
        <f t="shared" si="15"/>
        <v>28569638000</v>
      </c>
      <c r="AP70" s="46">
        <f t="shared" si="16"/>
        <v>642065</v>
      </c>
      <c r="AQ70" s="46"/>
    </row>
    <row r="71" spans="1:43" x14ac:dyDescent="0.2">
      <c r="A71" s="24">
        <v>44995</v>
      </c>
      <c r="B71" s="2" cm="1">
        <f t="array" ref="B71">_xll.BADDPERIODS(A71, "PER=WD", "NUMBEROFPERIODS=2", "BUSDAYADJ=-2", "CDR=GQ", "CDR=P9")</f>
        <v>44999</v>
      </c>
      <c r="C71" cm="1">
        <f t="array" ref="C71">_xll.BDH("XAU Curncy","PX_LAST",A71,A71)</f>
        <v>1868.26</v>
      </c>
      <c r="D71" s="15" t="str" cm="1">
        <f t="array" ref="D71">_xll.BDP("GCJ23 Comdty",$M$32)</f>
        <v>03/04/2023</v>
      </c>
      <c r="E71">
        <f t="shared" si="29"/>
        <v>20</v>
      </c>
      <c r="F71" s="13">
        <v>4.7800000000000002E-2</v>
      </c>
      <c r="G71" s="3">
        <f t="shared" si="30"/>
        <v>4.9612682222222224</v>
      </c>
      <c r="H71" s="12">
        <v>4</v>
      </c>
      <c r="I71" s="5">
        <f t="shared" si="31"/>
        <v>-0.96126822222222241</v>
      </c>
      <c r="J71">
        <v>4</v>
      </c>
      <c r="K71">
        <v>6</v>
      </c>
      <c r="L71">
        <v>8</v>
      </c>
      <c r="N71" s="2">
        <v>44995</v>
      </c>
      <c r="O71" s="2" cm="1">
        <f t="array" ref="O71">_xll.BADDPERIODS(N71, "PER=WD", "NUMBEROFPERIODS=2", "BUSDAYADJ=-2", "CDR=GQ", "CDR=P9")</f>
        <v>44999</v>
      </c>
      <c r="P71" cm="1">
        <f t="array" ref="P71">_xll.BDH("XAG Curncy","PX_LAST",N71,N71)</f>
        <v>20.5395</v>
      </c>
      <c r="Q71" s="15" t="str" cm="1">
        <f t="array" ref="Q71">_xll.BDP("SIk23 Comdty",$M$32)</f>
        <v>01/05/2023</v>
      </c>
      <c r="R71">
        <f t="shared" si="32"/>
        <v>48</v>
      </c>
      <c r="S71" s="13">
        <v>3.7999999999999999E-2</v>
      </c>
      <c r="T71" s="11">
        <f t="shared" si="33"/>
        <v>0.1040668</v>
      </c>
      <c r="U71" s="12">
        <v>6.5000000000000002E-2</v>
      </c>
      <c r="V71" s="6">
        <f t="shared" si="8"/>
        <v>-3.9066799999999997</v>
      </c>
      <c r="W71" s="15">
        <v>15</v>
      </c>
      <c r="X71" s="15">
        <v>20</v>
      </c>
      <c r="Y71" s="15">
        <v>25</v>
      </c>
      <c r="Z71" s="4">
        <f t="shared" si="34"/>
        <v>10.40668</v>
      </c>
      <c r="AA71" s="4">
        <f t="shared" si="35"/>
        <v>6.5</v>
      </c>
      <c r="AB71" s="4">
        <f t="shared" si="11"/>
        <v>-3.9066799999999997</v>
      </c>
      <c r="AE71" s="44" cm="1">
        <f t="array" ref="AE71">_xll.BDH("COMXGOLD Comdty","PX_Last", N71)</f>
        <v>21498645.412999999</v>
      </c>
      <c r="AF71" s="15" t="str" cm="1">
        <f t="array" ref="AF71">_xll.BDS("GCA Comdty","FUT_CHAIN", "CHAIN_DATE",A71,"endrow=1")</f>
        <v>GCH23 Comdty</v>
      </c>
      <c r="AG71" s="44" cm="1">
        <f t="array" ref="AG71">_xll.BDH(AF71,"FUT_AGGTE_OPEN_INT",A71)</f>
        <v>469260</v>
      </c>
      <c r="AH71" s="44">
        <f t="shared" si="12"/>
        <v>46926000</v>
      </c>
      <c r="AI71" s="48">
        <f t="shared" si="13"/>
        <v>0.45813931323786383</v>
      </c>
      <c r="AJ71" s="45"/>
      <c r="AK71" s="44" cm="1">
        <f t="array" ref="AK71">_xll.BDH("COMXSILV Comdty","PX_Last", N71)</f>
        <v>285282.90999999997</v>
      </c>
      <c r="AL71" s="15" t="str" cm="1">
        <f t="array" ref="AL71">_xll.BDS("SIA Comdty","FUT_CHAIN", "CHAIN_DATE",A71,"endrow=1")</f>
        <v>SIH23 Comdty</v>
      </c>
      <c r="AM71" s="47" cm="1">
        <f t="array" ref="AM71">_xll.BDH(AL71,"FUT_AGGTE_OPEN_INT",A71)</f>
        <v>128972</v>
      </c>
      <c r="AN71" s="45">
        <f t="shared" si="14"/>
        <v>442.39510901591035</v>
      </c>
      <c r="AO71" s="46">
        <f t="shared" si="15"/>
        <v>28528290999.999996</v>
      </c>
      <c r="AP71" s="46">
        <f t="shared" si="16"/>
        <v>644860</v>
      </c>
      <c r="AQ71" s="46"/>
    </row>
    <row r="72" spans="1:43" x14ac:dyDescent="0.2">
      <c r="A72" s="24">
        <v>44998</v>
      </c>
      <c r="B72" s="2" cm="1">
        <f t="array" ref="B72">_xll.BADDPERIODS(A72, "PER=WD", "NUMBEROFPERIODS=2", "BUSDAYADJ=-2", "CDR=GQ", "CDR=P9")</f>
        <v>45000</v>
      </c>
      <c r="C72" cm="1">
        <f t="array" ref="C72">_xll.BDH("XAU Curncy","PX_LAST",A72,A72)</f>
        <v>1913.7</v>
      </c>
      <c r="D72" s="15" t="str" cm="1">
        <f t="array" ref="D72">_xll.BDP("GCJ23 Comdty",$M$32)</f>
        <v>03/04/2023</v>
      </c>
      <c r="E72">
        <f t="shared" si="29"/>
        <v>19</v>
      </c>
      <c r="F72" s="13">
        <v>4.7800000000000002E-2</v>
      </c>
      <c r="G72" s="3">
        <f t="shared" si="30"/>
        <v>4.8278398333333339</v>
      </c>
      <c r="H72" s="12">
        <v>4.9000000000000004</v>
      </c>
      <c r="I72" s="5">
        <f t="shared" si="31"/>
        <v>7.216016666666647E-2</v>
      </c>
      <c r="J72">
        <v>4</v>
      </c>
      <c r="K72">
        <v>6</v>
      </c>
      <c r="L72">
        <v>8</v>
      </c>
      <c r="N72" s="2">
        <v>44998</v>
      </c>
      <c r="O72" s="2" cm="1">
        <f t="array" ref="O72">_xll.BADDPERIODS(N72, "PER=WD", "NUMBEROFPERIODS=2", "BUSDAYADJ=-2", "CDR=GQ", "CDR=P9")</f>
        <v>45000</v>
      </c>
      <c r="P72" cm="1">
        <f t="array" ref="P72">_xll.BDH("XAG Curncy","PX_LAST",N72,N72)</f>
        <v>21.802600000000002</v>
      </c>
      <c r="Q72" s="15" t="str" cm="1">
        <f t="array" ref="Q72">_xll.BDP("SIk23 Comdty",$M$32)</f>
        <v>01/05/2023</v>
      </c>
      <c r="R72">
        <f t="shared" si="32"/>
        <v>47</v>
      </c>
      <c r="S72" s="13">
        <v>3.7999999999999999E-2</v>
      </c>
      <c r="T72" s="11">
        <f t="shared" si="33"/>
        <v>0.10816512111111114</v>
      </c>
      <c r="U72" s="12">
        <v>6.5000000000000002E-2</v>
      </c>
      <c r="V72" s="6">
        <f t="shared" si="8"/>
        <v>-4.3165121111111135</v>
      </c>
      <c r="W72" s="15">
        <v>15</v>
      </c>
      <c r="X72" s="15">
        <v>20</v>
      </c>
      <c r="Y72" s="15">
        <v>25</v>
      </c>
      <c r="Z72" s="4">
        <f t="shared" si="34"/>
        <v>10.816512111111114</v>
      </c>
      <c r="AA72" s="4">
        <f t="shared" si="35"/>
        <v>6.5</v>
      </c>
      <c r="AB72" s="4">
        <f t="shared" si="11"/>
        <v>-4.3165121111111135</v>
      </c>
      <c r="AE72" s="44" cm="1">
        <f t="array" ref="AE72">_xll.BDH("COMXGOLD Comdty","PX_Last", N72)</f>
        <v>21498645.412999999</v>
      </c>
      <c r="AF72" s="15" t="str" cm="1">
        <f t="array" ref="AF72">_xll.BDS("GCA Comdty","FUT_CHAIN", "CHAIN_DATE",A72,"endrow=1")</f>
        <v>GCH23 Comdty</v>
      </c>
      <c r="AG72" s="44" cm="1">
        <f t="array" ref="AG72">_xll.BDH(AF72,"FUT_AGGTE_OPEN_INT",A72)</f>
        <v>468037</v>
      </c>
      <c r="AH72" s="44">
        <f t="shared" si="12"/>
        <v>46803700</v>
      </c>
      <c r="AI72" s="48">
        <f t="shared" si="13"/>
        <v>0.45933645017381103</v>
      </c>
      <c r="AJ72" s="45"/>
      <c r="AK72" s="44" cm="1">
        <f t="array" ref="AK72">_xll.BDH("COMXSILV Comdty","PX_Last", N72)</f>
        <v>285235.69</v>
      </c>
      <c r="AL72" s="15" t="str" cm="1">
        <f t="array" ref="AL72">_xll.BDS("SIA Comdty","FUT_CHAIN", "CHAIN_DATE",A72,"endrow=1")</f>
        <v>SIH23 Comdty</v>
      </c>
      <c r="AM72" s="47" cm="1">
        <f t="array" ref="AM72">_xll.BDH(AL72,"FUT_AGGTE_OPEN_INT",A72)</f>
        <v>123906</v>
      </c>
      <c r="AN72" s="45">
        <f t="shared" si="14"/>
        <v>460.40658240924574</v>
      </c>
      <c r="AO72" s="46">
        <f t="shared" si="15"/>
        <v>28523569000</v>
      </c>
      <c r="AP72" s="46">
        <f t="shared" si="16"/>
        <v>619530</v>
      </c>
      <c r="AQ72" s="46"/>
    </row>
    <row r="73" spans="1:43" x14ac:dyDescent="0.2">
      <c r="A73" s="24">
        <v>44999</v>
      </c>
      <c r="B73" s="2" cm="1">
        <f t="array" ref="B73">_xll.BADDPERIODS(A73, "PER=WD", "NUMBEROFPERIODS=2", "BUSDAYADJ=-2", "CDR=GQ", "CDR=P9")</f>
        <v>45001</v>
      </c>
      <c r="C73" cm="1">
        <f t="array" ref="C73">_xll.BDH("XAU Curncy","PX_LAST",A73,A73)</f>
        <v>1904.01</v>
      </c>
      <c r="D73" s="15" t="str" cm="1">
        <f t="array" ref="D73">_xll.BDP("GCJ23 Comdty",$M$32)</f>
        <v>03/04/2023</v>
      </c>
      <c r="E73">
        <f t="shared" si="29"/>
        <v>18</v>
      </c>
      <c r="F73" s="13">
        <v>4.7800000000000002E-2</v>
      </c>
      <c r="G73" s="3">
        <f t="shared" si="30"/>
        <v>4.5505839000000003</v>
      </c>
      <c r="H73" s="12">
        <v>4.2</v>
      </c>
      <c r="I73" s="5">
        <f t="shared" si="31"/>
        <v>-0.35058390000000017</v>
      </c>
      <c r="J73">
        <v>4</v>
      </c>
      <c r="K73">
        <v>6</v>
      </c>
      <c r="L73">
        <v>8</v>
      </c>
      <c r="N73" s="2">
        <v>44999</v>
      </c>
      <c r="O73" s="2" cm="1">
        <f t="array" ref="O73">_xll.BADDPERIODS(N73, "PER=WD", "NUMBEROFPERIODS=2", "BUSDAYADJ=-2", "CDR=GQ", "CDR=P9")</f>
        <v>45001</v>
      </c>
      <c r="P73" cm="1">
        <f t="array" ref="P73">_xll.BDH("XAG Curncy","PX_LAST",N73,N73)</f>
        <v>21.696999999999999</v>
      </c>
      <c r="Q73" s="15" t="str" cm="1">
        <f t="array" ref="Q73">_xll.BDP("SIk23 Comdty",$M$32)</f>
        <v>01/05/2023</v>
      </c>
      <c r="R73">
        <f t="shared" si="32"/>
        <v>46</v>
      </c>
      <c r="S73" s="13">
        <v>3.7999999999999999E-2</v>
      </c>
      <c r="T73" s="11">
        <f t="shared" si="33"/>
        <v>0.10535098888888887</v>
      </c>
      <c r="U73" s="12">
        <v>0.09</v>
      </c>
      <c r="V73" s="6">
        <f t="shared" si="8"/>
        <v>-1.5350988888888875</v>
      </c>
      <c r="W73" s="15">
        <v>15</v>
      </c>
      <c r="X73" s="15">
        <v>20</v>
      </c>
      <c r="Y73" s="15">
        <v>25</v>
      </c>
      <c r="Z73" s="4">
        <f t="shared" si="34"/>
        <v>10.535098888888887</v>
      </c>
      <c r="AA73" s="4">
        <f t="shared" si="35"/>
        <v>9</v>
      </c>
      <c r="AB73" s="4">
        <f t="shared" si="11"/>
        <v>-1.5350988888888875</v>
      </c>
      <c r="AE73" s="44" cm="1">
        <f t="array" ref="AE73">_xll.BDH("COMXGOLD Comdty","PX_Last", N73)</f>
        <v>21498388.213</v>
      </c>
      <c r="AF73" s="15" t="str" cm="1">
        <f t="array" ref="AF73">_xll.BDS("GCA Comdty","FUT_CHAIN", "CHAIN_DATE",A73,"endrow=1")</f>
        <v>GCH23 Comdty</v>
      </c>
      <c r="AG73" s="44" cm="1">
        <f t="array" ref="AG73">_xll.BDH(AF73,"FUT_AGGTE_OPEN_INT",A73)</f>
        <v>459064</v>
      </c>
      <c r="AH73" s="44">
        <f t="shared" si="12"/>
        <v>45906400</v>
      </c>
      <c r="AI73" s="48">
        <f t="shared" si="13"/>
        <v>0.46830917286042906</v>
      </c>
      <c r="AJ73" s="45"/>
      <c r="AK73" s="44" cm="1">
        <f t="array" ref="AK73">_xll.BDH("COMXSILV Comdty","PX_Last", N73)</f>
        <v>285189.69</v>
      </c>
      <c r="AL73" s="15" t="str" cm="1">
        <f t="array" ref="AL73">_xll.BDS("SIA Comdty","FUT_CHAIN", "CHAIN_DATE",A73,"endrow=1")</f>
        <v>SIH23 Comdty</v>
      </c>
      <c r="AM73" s="47" cm="1">
        <f t="array" ref="AM73">_xll.BDH(AL73,"FUT_AGGTE_OPEN_INT",A73)</f>
        <v>121772</v>
      </c>
      <c r="AN73" s="45">
        <f t="shared" si="14"/>
        <v>468.39945143382715</v>
      </c>
      <c r="AO73" s="46">
        <f t="shared" si="15"/>
        <v>28518969000</v>
      </c>
      <c r="AP73" s="46">
        <f t="shared" si="16"/>
        <v>608860</v>
      </c>
      <c r="AQ73" s="46"/>
    </row>
    <row r="74" spans="1:43" x14ac:dyDescent="0.2">
      <c r="A74" s="24">
        <v>45000</v>
      </c>
      <c r="B74" s="2" cm="1">
        <f t="array" ref="B74">_xll.BADDPERIODS(A74, "PER=WD", "NUMBEROFPERIODS=2", "BUSDAYADJ=-2", "CDR=GQ", "CDR=P9")</f>
        <v>45002</v>
      </c>
      <c r="C74" cm="1">
        <f t="array" ref="C74">_xll.BDH("XAU Curncy","PX_LAST",A74,A74)</f>
        <v>1918.58</v>
      </c>
      <c r="D74" s="15" t="str" cm="1">
        <f t="array" ref="D74">_xll.BDP("GCJ23 Comdty",$M$32)</f>
        <v>03/04/2023</v>
      </c>
      <c r="E74">
        <f t="shared" si="29"/>
        <v>17</v>
      </c>
      <c r="F74" s="13">
        <v>4.8000000000000001E-2</v>
      </c>
      <c r="G74" s="3">
        <f t="shared" si="30"/>
        <v>4.3487813333333332</v>
      </c>
      <c r="H74" s="12">
        <v>5.0999999999999996</v>
      </c>
      <c r="I74" s="5">
        <f t="shared" si="31"/>
        <v>0.75121866666666648</v>
      </c>
      <c r="J74">
        <v>4</v>
      </c>
      <c r="K74">
        <v>6</v>
      </c>
      <c r="L74">
        <v>8</v>
      </c>
      <c r="N74" s="2">
        <v>45000</v>
      </c>
      <c r="O74" s="2" cm="1">
        <f t="array" ref="O74">_xll.BADDPERIODS(N74, "PER=WD", "NUMBEROFPERIODS=2", "BUSDAYADJ=-2", "CDR=GQ", "CDR=P9")</f>
        <v>45002</v>
      </c>
      <c r="P74" cm="1">
        <f t="array" ref="P74">_xll.BDH("XAG Curncy","PX_LAST",N74,N74)</f>
        <v>21.775500000000001</v>
      </c>
      <c r="Q74" s="15" t="str" cm="1">
        <f t="array" ref="Q74">_xll.BDP("SIk23 Comdty",$M$32)</f>
        <v>01/05/2023</v>
      </c>
      <c r="R74">
        <f t="shared" si="32"/>
        <v>45</v>
      </c>
      <c r="S74" s="13">
        <v>3.7999999999999999E-2</v>
      </c>
      <c r="T74" s="11">
        <f t="shared" si="33"/>
        <v>0.103433625</v>
      </c>
      <c r="U74" s="12">
        <v>0.13</v>
      </c>
      <c r="V74" s="6">
        <f t="shared" si="8"/>
        <v>2.6566375000000004</v>
      </c>
      <c r="W74" s="15">
        <v>15</v>
      </c>
      <c r="X74" s="15">
        <v>20</v>
      </c>
      <c r="Y74" s="15">
        <v>25</v>
      </c>
      <c r="Z74" s="4">
        <f t="shared" si="34"/>
        <v>10.3433625</v>
      </c>
      <c r="AA74" s="4">
        <f t="shared" si="35"/>
        <v>13</v>
      </c>
      <c r="AB74" s="4">
        <f t="shared" si="11"/>
        <v>2.6566375000000004</v>
      </c>
      <c r="AE74" s="44" cm="1">
        <f t="array" ref="AE74">_xll.BDH("COMXGOLD Comdty","PX_Last", N74)</f>
        <v>21422029.588</v>
      </c>
      <c r="AF74" s="15" t="str" cm="1">
        <f t="array" ref="AF74">_xll.BDS("GCA Comdty","FUT_CHAIN", "CHAIN_DATE",A74,"endrow=1")</f>
        <v>GCH23 Comdty</v>
      </c>
      <c r="AG74" s="44" cm="1">
        <f t="array" ref="AG74">_xll.BDH(AF74,"FUT_AGGTE_OPEN_INT",A74)</f>
        <v>455720</v>
      </c>
      <c r="AH74" s="44">
        <f t="shared" si="12"/>
        <v>45572000</v>
      </c>
      <c r="AI74" s="48">
        <f t="shared" si="13"/>
        <v>0.47006999008162909</v>
      </c>
      <c r="AJ74" s="45"/>
      <c r="AK74" s="44" cm="1">
        <f t="array" ref="AK74">_xll.BDH("COMXSILV Comdty","PX_Last", N74)</f>
        <v>285005.84000000003</v>
      </c>
      <c r="AL74" s="15" t="str" cm="1">
        <f t="array" ref="AL74">_xll.BDS("SIA Comdty","FUT_CHAIN", "CHAIN_DATE",A74,"endrow=1")</f>
        <v>SIH23 Comdty</v>
      </c>
      <c r="AM74" s="47" cm="1">
        <f t="array" ref="AM74">_xll.BDH(AL74,"FUT_AGGTE_OPEN_INT",A74)</f>
        <v>121313</v>
      </c>
      <c r="AN74" s="45">
        <f t="shared" si="14"/>
        <v>469.86858786774712</v>
      </c>
      <c r="AO74" s="46">
        <f t="shared" si="15"/>
        <v>28500584000.000004</v>
      </c>
      <c r="AP74" s="46">
        <f t="shared" si="16"/>
        <v>606565</v>
      </c>
      <c r="AQ74" s="46"/>
    </row>
    <row r="75" spans="1:43" x14ac:dyDescent="0.2">
      <c r="A75" s="24">
        <v>45001</v>
      </c>
      <c r="B75" s="2" cm="1">
        <f t="array" ref="B75">_xll.BADDPERIODS(A75, "PER=WD", "NUMBEROFPERIODS=2", "BUSDAYADJ=-2", "CDR=GQ", "CDR=P9")</f>
        <v>45005</v>
      </c>
      <c r="C75" cm="1">
        <f t="array" ref="C75">_xll.BDH("XAU Curncy","PX_LAST",A75,A75)</f>
        <v>1919.52</v>
      </c>
      <c r="D75" s="15" t="str" cm="1">
        <f t="array" ref="D75">_xll.BDP("GCJ23 Comdty",$M$32)</f>
        <v>03/04/2023</v>
      </c>
      <c r="E75">
        <f t="shared" si="29"/>
        <v>14</v>
      </c>
      <c r="F75" s="13">
        <v>4.8000000000000001E-2</v>
      </c>
      <c r="G75" s="3">
        <f t="shared" si="30"/>
        <v>3.5831040000000001</v>
      </c>
      <c r="H75" s="12">
        <v>3.9</v>
      </c>
      <c r="I75" s="5">
        <f t="shared" si="31"/>
        <v>0.31689599999999984</v>
      </c>
      <c r="J75">
        <v>4</v>
      </c>
      <c r="K75">
        <v>6</v>
      </c>
      <c r="L75">
        <v>8</v>
      </c>
      <c r="N75" s="2">
        <v>45001</v>
      </c>
      <c r="O75" s="2" cm="1">
        <f t="array" ref="O75">_xll.BADDPERIODS(N75, "PER=WD", "NUMBEROFPERIODS=2", "BUSDAYADJ=-2", "CDR=GQ", "CDR=P9")</f>
        <v>45005</v>
      </c>
      <c r="P75" cm="1">
        <f t="array" ref="P75">_xll.BDH("XAG Curncy","PX_LAST",N75,N75)</f>
        <v>21.6968</v>
      </c>
      <c r="Q75" s="15" t="str" cm="1">
        <f t="array" ref="Q75">_xll.BDP("SIk23 Comdty",$M$32)</f>
        <v>01/05/2023</v>
      </c>
      <c r="R75">
        <f t="shared" si="32"/>
        <v>42</v>
      </c>
      <c r="S75" s="13">
        <v>3.7999999999999999E-2</v>
      </c>
      <c r="T75" s="11">
        <f t="shared" si="33"/>
        <v>9.6189146666666656E-2</v>
      </c>
      <c r="U75" s="12">
        <v>0.105</v>
      </c>
      <c r="V75" s="6">
        <f t="shared" si="8"/>
        <v>0.88108533333333405</v>
      </c>
      <c r="W75" s="15">
        <v>15</v>
      </c>
      <c r="X75" s="15">
        <v>20</v>
      </c>
      <c r="Y75" s="15">
        <v>25</v>
      </c>
      <c r="Z75" s="4">
        <f t="shared" si="34"/>
        <v>9.6189146666666652</v>
      </c>
      <c r="AA75" s="4">
        <f t="shared" si="35"/>
        <v>10.5</v>
      </c>
      <c r="AB75" s="4">
        <f t="shared" si="11"/>
        <v>0.88108533333333405</v>
      </c>
      <c r="AE75" s="44" cm="1">
        <f t="array" ref="AE75">_xll.BDH("COMXGOLD Comdty","PX_Last", N75)</f>
        <v>21389814.278000001</v>
      </c>
      <c r="AF75" s="15" t="str" cm="1">
        <f t="array" ref="AF75">_xll.BDS("GCA Comdty","FUT_CHAIN", "CHAIN_DATE",A75,"endrow=1")</f>
        <v>GCH23 Comdty</v>
      </c>
      <c r="AG75" s="44" cm="1">
        <f t="array" ref="AG75">_xll.BDH(AF75,"FUT_AGGTE_OPEN_INT",A75)</f>
        <v>457252</v>
      </c>
      <c r="AH75" s="44">
        <f t="shared" si="12"/>
        <v>45725200</v>
      </c>
      <c r="AI75" s="48">
        <f t="shared" si="13"/>
        <v>0.46779050234881425</v>
      </c>
      <c r="AJ75" s="45"/>
      <c r="AK75" s="44" cm="1">
        <f t="array" ref="AK75">_xll.BDH("COMXSILV Comdty","PX_Last", N75)</f>
        <v>284105.63</v>
      </c>
      <c r="AL75" s="15" t="str" cm="1">
        <f t="array" ref="AL75">_xll.BDS("SIA Comdty","FUT_CHAIN", "CHAIN_DATE",A75,"endrow=1")</f>
        <v>SIH23 Comdty</v>
      </c>
      <c r="AM75" s="47" cm="1">
        <f t="array" ref="AM75">_xll.BDH(AL75,"FUT_AGGTE_OPEN_INT",A75)</f>
        <v>119412</v>
      </c>
      <c r="AN75" s="45">
        <f t="shared" si="14"/>
        <v>475.84100425417887</v>
      </c>
      <c r="AO75" s="46">
        <f t="shared" si="15"/>
        <v>28410563000</v>
      </c>
      <c r="AP75" s="46">
        <f t="shared" si="16"/>
        <v>597060</v>
      </c>
      <c r="AQ75" s="46"/>
    </row>
    <row r="76" spans="1:43" x14ac:dyDescent="0.2">
      <c r="A76" s="24">
        <v>45002</v>
      </c>
      <c r="B76" s="2" cm="1">
        <f t="array" ref="B76">_xll.BADDPERIODS(A76, "PER=WD", "NUMBEROFPERIODS=2", "BUSDAYADJ=-2", "CDR=GQ", "CDR=P9")</f>
        <v>45006</v>
      </c>
      <c r="C76" cm="1">
        <f t="array" ref="C76">_xll.BDH("XAU Curncy","PX_LAST",A76,A76)</f>
        <v>1989.25</v>
      </c>
      <c r="D76" s="15" t="str" cm="1">
        <f t="array" ref="D76">_xll.BDP("GCJ23 Comdty",$M$32)</f>
        <v>03/04/2023</v>
      </c>
      <c r="E76">
        <f t="shared" si="29"/>
        <v>13</v>
      </c>
      <c r="F76" s="13">
        <v>4.8000000000000001E-2</v>
      </c>
      <c r="G76" s="3">
        <f t="shared" si="30"/>
        <v>3.4480333333333335</v>
      </c>
      <c r="H76" s="12">
        <v>4.3499999999999996</v>
      </c>
      <c r="I76" s="5">
        <f t="shared" si="31"/>
        <v>0.90196666666666614</v>
      </c>
      <c r="J76">
        <v>4</v>
      </c>
      <c r="K76">
        <v>6</v>
      </c>
      <c r="L76">
        <v>8</v>
      </c>
      <c r="N76" s="2">
        <v>45002</v>
      </c>
      <c r="O76" s="2" cm="1">
        <f t="array" ref="O76">_xll.BADDPERIODS(N76, "PER=WD", "NUMBEROFPERIODS=2", "BUSDAYADJ=-2", "CDR=GQ", "CDR=P9")</f>
        <v>45006</v>
      </c>
      <c r="P76" cm="1">
        <f t="array" ref="P76">_xll.BDH("XAG Curncy","PX_LAST",N76,N76)</f>
        <v>22.602</v>
      </c>
      <c r="Q76" s="15" t="str" cm="1">
        <f t="array" ref="Q76">_xll.BDP("SIk23 Comdty",$M$32)</f>
        <v>01/05/2023</v>
      </c>
      <c r="R76">
        <f t="shared" si="32"/>
        <v>41</v>
      </c>
      <c r="S76" s="13">
        <v>4.1000000000000002E-2</v>
      </c>
      <c r="T76" s="11">
        <f t="shared" si="33"/>
        <v>0.10553878333333334</v>
      </c>
      <c r="U76" s="12">
        <v>0.12</v>
      </c>
      <c r="V76" s="6">
        <f t="shared" si="8"/>
        <v>1.4461216666666652</v>
      </c>
      <c r="W76" s="15">
        <v>15</v>
      </c>
      <c r="X76" s="15">
        <v>20</v>
      </c>
      <c r="Y76" s="15">
        <v>25</v>
      </c>
      <c r="Z76" s="4">
        <f t="shared" si="34"/>
        <v>10.553878333333335</v>
      </c>
      <c r="AA76" s="4">
        <f t="shared" si="35"/>
        <v>12</v>
      </c>
      <c r="AB76" s="4">
        <f t="shared" si="11"/>
        <v>1.4461216666666652</v>
      </c>
      <c r="AE76" s="44" cm="1">
        <f t="array" ref="AE76">_xll.BDH("COMXGOLD Comdty","PX_Last", N76)</f>
        <v>21366397.077</v>
      </c>
      <c r="AF76" s="15" t="str" cm="1">
        <f t="array" ref="AF76">_xll.BDS("GCA Comdty","FUT_CHAIN", "CHAIN_DATE",A76,"endrow=1")</f>
        <v>GCH23 Comdty</v>
      </c>
      <c r="AG76" s="44" cm="1">
        <f t="array" ref="AG76">_xll.BDH(AF76,"FUT_AGGTE_OPEN_INT",A76)</f>
        <v>475728</v>
      </c>
      <c r="AH76" s="44">
        <f t="shared" si="12"/>
        <v>47572800</v>
      </c>
      <c r="AI76" s="48">
        <f t="shared" si="13"/>
        <v>0.4491305341918071</v>
      </c>
      <c r="AJ76" s="45"/>
      <c r="AK76" s="44" cm="1">
        <f t="array" ref="AK76">_xll.BDH("COMXSILV Comdty","PX_Last", N76)</f>
        <v>283704.71999999997</v>
      </c>
      <c r="AL76" s="15" t="str" cm="1">
        <f t="array" ref="AL76">_xll.BDS("SIA Comdty","FUT_CHAIN", "CHAIN_DATE",A76,"endrow=1")</f>
        <v>SIH23 Comdty</v>
      </c>
      <c r="AM76" s="47" cm="1">
        <f t="array" ref="AM76">_xll.BDH(AL76,"FUT_AGGTE_OPEN_INT",A76)</f>
        <v>120717</v>
      </c>
      <c r="AN76" s="45">
        <f t="shared" si="14"/>
        <v>470.03275429309872</v>
      </c>
      <c r="AO76" s="46">
        <f t="shared" si="15"/>
        <v>28370471999.999996</v>
      </c>
      <c r="AP76" s="46">
        <f t="shared" si="16"/>
        <v>603585</v>
      </c>
      <c r="AQ76" s="46"/>
    </row>
    <row r="77" spans="1:43" x14ac:dyDescent="0.2">
      <c r="A77" s="24">
        <v>45005</v>
      </c>
      <c r="B77" s="2" cm="1">
        <f t="array" ref="B77">_xll.BADDPERIODS(A77, "PER=WD", "NUMBEROFPERIODS=2", "BUSDAYADJ=-2", "CDR=GQ", "CDR=P9")</f>
        <v>45007</v>
      </c>
      <c r="C77" cm="1">
        <f t="array" ref="C77">_xll.BDH("XAU Curncy","PX_LAST",A77,A77)</f>
        <v>1978.84</v>
      </c>
      <c r="D77" s="15" t="str" cm="1">
        <f t="array" ref="D77">_xll.BDP("GCJ23 Comdty",$M$32)</f>
        <v>03/04/2023</v>
      </c>
      <c r="E77">
        <f t="shared" si="29"/>
        <v>12</v>
      </c>
      <c r="F77" s="13">
        <v>4.8000000000000001E-2</v>
      </c>
      <c r="G77" s="3">
        <f t="shared" si="30"/>
        <v>3.1661439999999996</v>
      </c>
      <c r="H77" s="12">
        <v>4.5999999999999996</v>
      </c>
      <c r="I77" s="5">
        <f t="shared" si="31"/>
        <v>1.433856</v>
      </c>
      <c r="J77">
        <v>4</v>
      </c>
      <c r="K77">
        <v>6</v>
      </c>
      <c r="L77">
        <v>8</v>
      </c>
      <c r="N77" s="2">
        <v>45005</v>
      </c>
      <c r="O77" s="2" cm="1">
        <f t="array" ref="O77">_xll.BADDPERIODS(N77, "PER=WD", "NUMBEROFPERIODS=2", "BUSDAYADJ=-2", "CDR=GQ", "CDR=P9")</f>
        <v>45007</v>
      </c>
      <c r="P77" cm="1">
        <f t="array" ref="P77">_xll.BDH("XAG Curncy","PX_LAST",N77,N77)</f>
        <v>22.544499999999999</v>
      </c>
      <c r="Q77" s="15" t="str" cm="1">
        <f t="array" ref="Q77">_xll.BDP("SIk23 Comdty",$M$32)</f>
        <v>01/05/2023</v>
      </c>
      <c r="R77">
        <f t="shared" si="32"/>
        <v>40</v>
      </c>
      <c r="S77" s="13">
        <v>4.3999999999999997E-2</v>
      </c>
      <c r="T77" s="11">
        <f t="shared" si="33"/>
        <v>0.11021755555555555</v>
      </c>
      <c r="U77" s="12">
        <v>0.13</v>
      </c>
      <c r="V77" s="6">
        <f t="shared" si="8"/>
        <v>1.9782444444444449</v>
      </c>
      <c r="W77" s="15">
        <v>15</v>
      </c>
      <c r="X77" s="15">
        <v>20</v>
      </c>
      <c r="Y77" s="15">
        <v>25</v>
      </c>
      <c r="Z77" s="4">
        <f t="shared" si="34"/>
        <v>11.021755555555556</v>
      </c>
      <c r="AA77" s="4">
        <f t="shared" si="35"/>
        <v>13</v>
      </c>
      <c r="AB77" s="4">
        <f t="shared" si="11"/>
        <v>1.9782444444444449</v>
      </c>
      <c r="AE77" s="44" cm="1">
        <f t="array" ref="AE77">_xll.BDH("COMXGOLD Comdty","PX_Last", N77)</f>
        <v>21364092.907000002</v>
      </c>
      <c r="AF77" s="15" t="str" cm="1">
        <f t="array" ref="AF77">_xll.BDS("GCA Comdty","FUT_CHAIN", "CHAIN_DATE",A77,"endrow=1")</f>
        <v>GCH23 Comdty</v>
      </c>
      <c r="AG77" s="44" cm="1">
        <f t="array" ref="AG77">_xll.BDH(AF77,"FUT_AGGTE_OPEN_INT",A77)</f>
        <v>480136</v>
      </c>
      <c r="AH77" s="44">
        <f t="shared" si="12"/>
        <v>48013600</v>
      </c>
      <c r="AI77" s="48">
        <f t="shared" si="13"/>
        <v>0.44495919712331511</v>
      </c>
      <c r="AJ77" s="45"/>
      <c r="AK77" s="44" cm="1">
        <f t="array" ref="AK77">_xll.BDH("COMXSILV Comdty","PX_Last", N77)</f>
        <v>283529.84000000003</v>
      </c>
      <c r="AL77" s="15" t="str" cm="1">
        <f t="array" ref="AL77">_xll.BDS("SIA Comdty","FUT_CHAIN", "CHAIN_DATE",A77,"endrow=1")</f>
        <v>SIH23 Comdty</v>
      </c>
      <c r="AM77" s="47" cm="1">
        <f t="array" ref="AM77">_xll.BDH(AL77,"FUT_AGGTE_OPEN_INT",A77)</f>
        <v>120906</v>
      </c>
      <c r="AN77" s="45">
        <f t="shared" si="14"/>
        <v>469.0087175160869</v>
      </c>
      <c r="AO77" s="46">
        <f t="shared" si="15"/>
        <v>28352984000.000004</v>
      </c>
      <c r="AP77" s="46">
        <f t="shared" si="16"/>
        <v>604530</v>
      </c>
      <c r="AQ77" s="46"/>
    </row>
    <row r="78" spans="1:43" x14ac:dyDescent="0.2">
      <c r="A78" s="24">
        <v>45006</v>
      </c>
      <c r="B78" s="2" cm="1">
        <f t="array" ref="B78">_xll.BADDPERIODS(A78, "PER=WD", "NUMBEROFPERIODS=2", "BUSDAYADJ=-2", "CDR=GQ", "CDR=P9")</f>
        <v>45008</v>
      </c>
      <c r="C78" cm="1">
        <f t="array" ref="C78">_xll.BDH("XAU Curncy","PX_LAST",A78,A78)</f>
        <v>1940.07</v>
      </c>
      <c r="D78" s="15" t="str" cm="1">
        <f t="array" ref="D78">_xll.BDP("GCJ23 Comdty",$M$32)</f>
        <v>03/04/2023</v>
      </c>
      <c r="E78">
        <f t="shared" si="29"/>
        <v>11</v>
      </c>
      <c r="F78" s="13">
        <v>4.9000000000000002E-2</v>
      </c>
      <c r="G78" s="3">
        <f t="shared" si="30"/>
        <v>2.9047159166666665</v>
      </c>
      <c r="H78" s="12">
        <v>3.8</v>
      </c>
      <c r="I78" s="5">
        <f t="shared" si="31"/>
        <v>0.89528408333333331</v>
      </c>
      <c r="J78">
        <v>4</v>
      </c>
      <c r="K78">
        <v>6</v>
      </c>
      <c r="L78">
        <v>8</v>
      </c>
      <c r="N78" s="2">
        <v>45006</v>
      </c>
      <c r="O78" s="2" cm="1">
        <f t="array" ref="O78">_xll.BADDPERIODS(N78, "PER=WD", "NUMBEROFPERIODS=2", "BUSDAYADJ=-2", "CDR=GQ", "CDR=P9")</f>
        <v>45008</v>
      </c>
      <c r="P78" cm="1">
        <f t="array" ref="P78">_xll.BDH("XAG Curncy","PX_LAST",N78,N78)</f>
        <v>22.388000000000002</v>
      </c>
      <c r="Q78" s="15" t="str" cm="1">
        <f t="array" ref="Q78">_xll.BDP("SIk23 Comdty",$M$32)</f>
        <v>01/05/2023</v>
      </c>
      <c r="R78">
        <f t="shared" si="32"/>
        <v>39</v>
      </c>
      <c r="S78" s="13">
        <v>4.3999999999999997E-2</v>
      </c>
      <c r="T78" s="11">
        <f t="shared" si="33"/>
        <v>0.10671613333333335</v>
      </c>
      <c r="U78" s="12">
        <v>0.13750000000000001</v>
      </c>
      <c r="V78" s="6">
        <f t="shared" si="8"/>
        <v>3.0783866666666659</v>
      </c>
      <c r="W78" s="15">
        <v>15</v>
      </c>
      <c r="X78" s="15">
        <v>20</v>
      </c>
      <c r="Y78" s="15">
        <v>25</v>
      </c>
      <c r="Z78" s="4">
        <f t="shared" si="34"/>
        <v>10.671613333333335</v>
      </c>
      <c r="AA78" s="4">
        <f t="shared" si="35"/>
        <v>13.750000000000002</v>
      </c>
      <c r="AB78" s="4">
        <f t="shared" si="11"/>
        <v>3.0783866666666659</v>
      </c>
      <c r="AE78" s="44" cm="1">
        <f t="array" ref="AE78">_xll.BDH("COMXGOLD Comdty","PX_Last", N78)</f>
        <v>21357630.556000002</v>
      </c>
      <c r="AF78" s="15" t="str" cm="1">
        <f t="array" ref="AF78">_xll.BDS("GCA Comdty","FUT_CHAIN", "CHAIN_DATE",A78,"endrow=1")</f>
        <v>GCH23 Comdty</v>
      </c>
      <c r="AG78" s="44" cm="1">
        <f t="array" ref="AG78">_xll.BDH(AF78,"FUT_AGGTE_OPEN_INT",A78)</f>
        <v>469874</v>
      </c>
      <c r="AH78" s="44">
        <f t="shared" si="12"/>
        <v>46987400</v>
      </c>
      <c r="AI78" s="48">
        <f t="shared" si="13"/>
        <v>0.45453952668162106</v>
      </c>
      <c r="AJ78" s="45"/>
      <c r="AK78" s="44" cm="1">
        <f t="array" ref="AK78">_xll.BDH("COMXSILV Comdty","PX_Last", N78)</f>
        <v>282423.84000000003</v>
      </c>
      <c r="AL78" s="15" t="str" cm="1">
        <f t="array" ref="AL78">_xll.BDS("SIA Comdty","FUT_CHAIN", "CHAIN_DATE",A78,"endrow=1")</f>
        <v>SIH23 Comdty</v>
      </c>
      <c r="AM78" s="47" cm="1">
        <f t="array" ref="AM78">_xll.BDH(AL78,"FUT_AGGTE_OPEN_INT",A78)</f>
        <v>119082</v>
      </c>
      <c r="AN78" s="45">
        <f t="shared" si="14"/>
        <v>474.3350632337382</v>
      </c>
      <c r="AO78" s="46">
        <f t="shared" si="15"/>
        <v>28242384000.000004</v>
      </c>
      <c r="AP78" s="46">
        <f t="shared" si="16"/>
        <v>595410</v>
      </c>
      <c r="AQ78" s="46"/>
    </row>
    <row r="79" spans="1:43" x14ac:dyDescent="0.2">
      <c r="A79" s="24">
        <v>45007</v>
      </c>
      <c r="B79" s="2" cm="1">
        <f t="array" ref="B79">_xll.BADDPERIODS(A79, "PER=WD", "NUMBEROFPERIODS=2", "BUSDAYADJ=-2", "CDR=GQ", "CDR=P9")</f>
        <v>45009</v>
      </c>
      <c r="C79" cm="1">
        <f t="array" ref="C79">_xll.BDH("XAU Curncy","PX_LAST",A79,A79)</f>
        <v>1970.11</v>
      </c>
      <c r="D79" s="15" t="str" cm="1">
        <f t="array" ref="D79">_xll.BDP("GCJ23 Comdty",$M$32)</f>
        <v>03/04/2023</v>
      </c>
      <c r="E79">
        <f t="shared" si="29"/>
        <v>10</v>
      </c>
      <c r="F79" s="13">
        <v>4.9000000000000002E-2</v>
      </c>
      <c r="G79" s="3">
        <f t="shared" si="30"/>
        <v>2.6815386111111108</v>
      </c>
      <c r="H79" s="12">
        <v>3.3</v>
      </c>
      <c r="I79" s="5">
        <f t="shared" si="31"/>
        <v>0.61846138888888902</v>
      </c>
      <c r="J79">
        <v>4</v>
      </c>
      <c r="K79">
        <v>6</v>
      </c>
      <c r="L79">
        <v>8</v>
      </c>
      <c r="N79" s="2">
        <v>45007</v>
      </c>
      <c r="O79" s="2" cm="1">
        <f t="array" ref="O79">_xll.BADDPERIODS(N79, "PER=WD", "NUMBEROFPERIODS=2", "BUSDAYADJ=-2", "CDR=GQ", "CDR=P9")</f>
        <v>45009</v>
      </c>
      <c r="P79" cm="1">
        <f t="array" ref="P79">_xll.BDH("XAG Curncy","PX_LAST",N79,N79)</f>
        <v>22.989599999999999</v>
      </c>
      <c r="Q79" s="15" t="str" cm="1">
        <f t="array" ref="Q79">_xll.BDP("SIk23 Comdty",$M$32)</f>
        <v>01/05/2023</v>
      </c>
      <c r="R79">
        <f t="shared" si="32"/>
        <v>38</v>
      </c>
      <c r="S79" s="13">
        <v>4.3999999999999997E-2</v>
      </c>
      <c r="T79" s="11">
        <f t="shared" si="33"/>
        <v>0.10677391999999998</v>
      </c>
      <c r="U79" s="12">
        <v>0.13750000000000001</v>
      </c>
      <c r="V79" s="6">
        <f t="shared" si="8"/>
        <v>3.0726080000000029</v>
      </c>
      <c r="W79" s="15">
        <v>15</v>
      </c>
      <c r="X79" s="15">
        <v>20</v>
      </c>
      <c r="Y79" s="15">
        <v>25</v>
      </c>
      <c r="Z79" s="4">
        <f t="shared" si="34"/>
        <v>10.677391999999998</v>
      </c>
      <c r="AA79" s="4">
        <f t="shared" si="35"/>
        <v>13.750000000000002</v>
      </c>
      <c r="AB79" s="4">
        <f t="shared" si="11"/>
        <v>3.0726080000000029</v>
      </c>
      <c r="AE79" s="44" cm="1">
        <f t="array" ref="AE79">_xll.BDH("COMXGOLD Comdty","PX_Last", N79)</f>
        <v>21357598.405000001</v>
      </c>
      <c r="AF79" s="15" t="str" cm="1">
        <f t="array" ref="AF79">_xll.BDS("GCA Comdty","FUT_CHAIN", "CHAIN_DATE",A79,"endrow=1")</f>
        <v>GCH23 Comdty</v>
      </c>
      <c r="AG79" s="44" cm="1">
        <f t="array" ref="AG79">_xll.BDH(AF79,"FUT_AGGTE_OPEN_INT",A79)</f>
        <v>469857</v>
      </c>
      <c r="AH79" s="44">
        <f t="shared" si="12"/>
        <v>46985700</v>
      </c>
      <c r="AI79" s="48">
        <f t="shared" si="13"/>
        <v>0.45455528820470914</v>
      </c>
      <c r="AJ79" s="45"/>
      <c r="AK79" s="44" cm="1">
        <f t="array" ref="AK79">_xll.BDH("COMXSILV Comdty","PX_Last", N79)</f>
        <v>283024.75</v>
      </c>
      <c r="AL79" s="15" t="str" cm="1">
        <f t="array" ref="AL79">_xll.BDS("SIA Comdty","FUT_CHAIN", "CHAIN_DATE",A79,"endrow=1")</f>
        <v>SIH23 Comdty</v>
      </c>
      <c r="AM79" s="47" cm="1">
        <f t="array" ref="AM79">_xll.BDH(AL79,"FUT_AGGTE_OPEN_INT",A79)</f>
        <v>119281</v>
      </c>
      <c r="AN79" s="45">
        <f t="shared" si="14"/>
        <v>474.55126969089798</v>
      </c>
      <c r="AO79" s="46">
        <f t="shared" si="15"/>
        <v>28302475000</v>
      </c>
      <c r="AP79" s="46">
        <f t="shared" si="16"/>
        <v>596405</v>
      </c>
      <c r="AQ79" s="46"/>
    </row>
    <row r="80" spans="1:43" x14ac:dyDescent="0.2">
      <c r="A80" s="24">
        <v>45008</v>
      </c>
      <c r="B80" s="2" cm="1">
        <f t="array" ref="B80">_xll.BADDPERIODS(A80, "PER=WD", "NUMBEROFPERIODS=2", "BUSDAYADJ=-2", "CDR=GQ", "CDR=P9")</f>
        <v>45012</v>
      </c>
      <c r="C80" cm="1">
        <f t="array" ref="C80">_xll.BDH("XAU Curncy","PX_LAST",A80,A80)</f>
        <v>1993.4</v>
      </c>
      <c r="D80" s="15" t="str" cm="1">
        <f t="array" ref="D80">_xll.BDP("GCJ23 Comdty",$M$32)</f>
        <v>03/04/2023</v>
      </c>
      <c r="E80">
        <f t="shared" si="29"/>
        <v>7</v>
      </c>
      <c r="F80" s="13">
        <v>4.9500000000000002E-2</v>
      </c>
      <c r="G80" s="3">
        <f t="shared" si="30"/>
        <v>1.9186475000000001</v>
      </c>
      <c r="H80" s="12">
        <v>2.5</v>
      </c>
      <c r="I80" s="5">
        <f t="shared" si="31"/>
        <v>0.58135249999999994</v>
      </c>
      <c r="J80">
        <v>4</v>
      </c>
      <c r="K80">
        <v>6</v>
      </c>
      <c r="L80">
        <v>8</v>
      </c>
      <c r="N80" s="2">
        <v>45008</v>
      </c>
      <c r="O80" s="2" cm="1">
        <f t="array" ref="O80">_xll.BADDPERIODS(N80, "PER=WD", "NUMBEROFPERIODS=2", "BUSDAYADJ=-2", "CDR=GQ", "CDR=P9")</f>
        <v>45012</v>
      </c>
      <c r="P80" cm="1">
        <f t="array" ref="P80">_xll.BDH("XAG Curncy","PX_LAST",N80,N80)</f>
        <v>23.104500000000002</v>
      </c>
      <c r="Q80" s="15" t="str" cm="1">
        <f t="array" ref="Q80">_xll.BDP("SIk23 Comdty",$M$32)</f>
        <v>01/05/2023</v>
      </c>
      <c r="R80">
        <f t="shared" si="32"/>
        <v>35</v>
      </c>
      <c r="S80" s="13">
        <v>4.3999999999999997E-2</v>
      </c>
      <c r="T80" s="11">
        <f t="shared" si="33"/>
        <v>9.8835916666666662E-2</v>
      </c>
      <c r="U80" s="12">
        <v>0.13750000000000001</v>
      </c>
      <c r="V80" s="6">
        <f t="shared" si="8"/>
        <v>3.866408333333335</v>
      </c>
      <c r="W80" s="15">
        <v>15</v>
      </c>
      <c r="X80" s="15">
        <v>20</v>
      </c>
      <c r="Y80" s="15">
        <v>25</v>
      </c>
      <c r="Z80" s="4">
        <f t="shared" si="34"/>
        <v>9.8835916666666659</v>
      </c>
      <c r="AA80" s="4">
        <f t="shared" si="35"/>
        <v>13.750000000000002</v>
      </c>
      <c r="AB80" s="4">
        <f t="shared" si="11"/>
        <v>3.866408333333335</v>
      </c>
      <c r="AE80" s="44" cm="1">
        <f t="array" ref="AE80">_xll.BDH("COMXGOLD Comdty","PX_Last", N80)</f>
        <v>21357534.105</v>
      </c>
      <c r="AF80" s="15" t="str" cm="1">
        <f t="array" ref="AF80">_xll.BDS("GCA Comdty","FUT_CHAIN", "CHAIN_DATE",A80,"endrow=1")</f>
        <v>GCH23 Comdty</v>
      </c>
      <c r="AG80" s="44" cm="1">
        <f t="array" ref="AG80">_xll.BDH(AF80,"FUT_AGGTE_OPEN_INT",A80)</f>
        <v>480174</v>
      </c>
      <c r="AH80" s="44">
        <f t="shared" si="12"/>
        <v>48017400</v>
      </c>
      <c r="AI80" s="48">
        <f t="shared" si="13"/>
        <v>0.44478739175798776</v>
      </c>
      <c r="AJ80" s="45"/>
      <c r="AK80" s="44" cm="1">
        <f t="array" ref="AK80">_xll.BDH("COMXSILV Comdty","PX_Last", N80)</f>
        <v>282387.15999999997</v>
      </c>
      <c r="AL80" s="15" t="str" cm="1">
        <f t="array" ref="AL80">_xll.BDS("SIA Comdty","FUT_CHAIN", "CHAIN_DATE",A80,"endrow=1")</f>
        <v>SIH23 Comdty</v>
      </c>
      <c r="AM80" s="47" cm="1">
        <f t="array" ref="AM80">_xll.BDH(AL80,"FUT_AGGTE_OPEN_INT",A80)</f>
        <v>118082</v>
      </c>
      <c r="AN80" s="45">
        <f t="shared" si="14"/>
        <v>478.28993411358204</v>
      </c>
      <c r="AO80" s="46">
        <f t="shared" si="15"/>
        <v>28238715999.999996</v>
      </c>
      <c r="AP80" s="46">
        <f t="shared" si="16"/>
        <v>590410</v>
      </c>
      <c r="AQ80" s="46"/>
    </row>
    <row r="81" spans="1:43" x14ac:dyDescent="0.2">
      <c r="A81" s="24">
        <v>45009</v>
      </c>
      <c r="B81" s="2" cm="1">
        <f t="array" ref="B81">_xll.BADDPERIODS(A81, "PER=WD", "NUMBEROFPERIODS=2", "BUSDAYADJ=-2", "CDR=GQ", "CDR=P9")</f>
        <v>45013</v>
      </c>
      <c r="C81" cm="1">
        <f t="array" ref="C81">_xll.BDH("XAU Curncy","PX_LAST",A81,A81)</f>
        <v>1978.21</v>
      </c>
      <c r="D81" s="15" t="str" cm="1">
        <f t="array" ref="D81">_xll.BDP("GCJ23 Comdty",$M$32)</f>
        <v>03/04/2023</v>
      </c>
      <c r="E81">
        <f t="shared" si="29"/>
        <v>6</v>
      </c>
      <c r="F81" s="13">
        <v>0.05</v>
      </c>
      <c r="G81" s="3">
        <f t="shared" si="30"/>
        <v>1.6485083333333332</v>
      </c>
      <c r="H81" s="12">
        <v>2.5</v>
      </c>
      <c r="I81" s="5">
        <f t="shared" si="31"/>
        <v>0.85149166666666676</v>
      </c>
      <c r="J81">
        <v>4</v>
      </c>
      <c r="K81">
        <v>6</v>
      </c>
      <c r="L81">
        <v>8</v>
      </c>
      <c r="N81" s="2">
        <v>45009</v>
      </c>
      <c r="O81" s="2" cm="1">
        <f t="array" ref="O81">_xll.BADDPERIODS(N81, "PER=WD", "NUMBEROFPERIODS=2", "BUSDAYADJ=-2", "CDR=GQ", "CDR=P9")</f>
        <v>45013</v>
      </c>
      <c r="P81" cm="1">
        <f t="array" ref="P81">_xll.BDH("XAG Curncy","PX_LAST",N81,N81)</f>
        <v>23.227499999999999</v>
      </c>
      <c r="Q81" s="15" t="str" cm="1">
        <f t="array" ref="Q81">_xll.BDP("SIk23 Comdty",$M$32)</f>
        <v>01/05/2023</v>
      </c>
      <c r="R81">
        <f t="shared" si="32"/>
        <v>34</v>
      </c>
      <c r="S81" s="13">
        <v>4.3999999999999997E-2</v>
      </c>
      <c r="T81" s="11">
        <f t="shared" si="33"/>
        <v>9.652316666666666E-2</v>
      </c>
      <c r="U81" s="12">
        <v>0.13750000000000001</v>
      </c>
      <c r="V81" s="6">
        <f t="shared" si="8"/>
        <v>4.0976833333333351</v>
      </c>
      <c r="W81" s="15">
        <v>15</v>
      </c>
      <c r="X81" s="15">
        <v>20</v>
      </c>
      <c r="Y81" s="15">
        <v>25</v>
      </c>
      <c r="Z81" s="4">
        <f t="shared" si="34"/>
        <v>9.6523166666666658</v>
      </c>
      <c r="AA81" s="4">
        <f t="shared" si="35"/>
        <v>13.750000000000002</v>
      </c>
      <c r="AB81" s="4">
        <f t="shared" si="11"/>
        <v>4.0976833333333351</v>
      </c>
      <c r="AE81" s="44" cm="1">
        <f t="array" ref="AE81">_xll.BDH("COMXGOLD Comdty","PX_Last", N81)</f>
        <v>21292910.594999999</v>
      </c>
      <c r="AF81" s="15" t="str" cm="1">
        <f t="array" ref="AF81">_xll.BDS("GCA Comdty","FUT_CHAIN", "CHAIN_DATE",A81,"endrow=1")</f>
        <v>GCH23 Comdty</v>
      </c>
      <c r="AG81" s="44" cm="1">
        <f t="array" ref="AG81">_xll.BDH(AF81,"FUT_AGGTE_OPEN_INT",A81)</f>
        <v>489682</v>
      </c>
      <c r="AH81" s="44">
        <f t="shared" si="12"/>
        <v>48968200</v>
      </c>
      <c r="AI81" s="48">
        <f t="shared" si="13"/>
        <v>0.43483139251595931</v>
      </c>
      <c r="AJ81" s="45"/>
      <c r="AK81" s="44" cm="1">
        <f t="array" ref="AK81">_xll.BDH("COMXSILV Comdty","PX_Last", N81)</f>
        <v>282052.46999999997</v>
      </c>
      <c r="AL81" s="15" t="str" cm="1">
        <f t="array" ref="AL81">_xll.BDS("SIA Comdty","FUT_CHAIN", "CHAIN_DATE",A81,"endrow=1")</f>
        <v>SIH23 Comdty</v>
      </c>
      <c r="AM81" s="47" cm="1">
        <f t="array" ref="AM81">_xll.BDH(AL81,"FUT_AGGTE_OPEN_INT",A81)</f>
        <v>117685</v>
      </c>
      <c r="AN81" s="45">
        <f t="shared" si="14"/>
        <v>479.3346135871181</v>
      </c>
      <c r="AO81" s="46">
        <f t="shared" si="15"/>
        <v>28205246999.999996</v>
      </c>
      <c r="AP81" s="46">
        <f t="shared" si="16"/>
        <v>588425</v>
      </c>
      <c r="AQ81" s="46"/>
    </row>
    <row r="82" spans="1:43" x14ac:dyDescent="0.2">
      <c r="A82" s="24">
        <v>45012</v>
      </c>
      <c r="B82" s="2" cm="1">
        <f t="array" ref="B82">_xll.BADDPERIODS(A82, "PER=WD", "NUMBEROFPERIODS=2", "BUSDAYADJ=-2", "CDR=GQ", "CDR=P9")</f>
        <v>45014</v>
      </c>
      <c r="C82" cm="1">
        <f t="array" ref="C82">_xll.BDH("XAU Curncy","PX_LAST",A82,A82)</f>
        <v>1956.67</v>
      </c>
      <c r="D82" s="15" t="str" cm="1">
        <f t="array" ref="D82">_xll.BDP("GCJ23 Comdty",$M$32)</f>
        <v>03/04/2023</v>
      </c>
      <c r="E82">
        <f t="shared" si="29"/>
        <v>5</v>
      </c>
      <c r="F82" s="13">
        <v>0.05</v>
      </c>
      <c r="G82" s="3">
        <f t="shared" si="30"/>
        <v>1.3587986111111112</v>
      </c>
      <c r="H82" s="12">
        <v>1.1000000000000001</v>
      </c>
      <c r="I82" s="5">
        <f t="shared" si="31"/>
        <v>-0.25879861111111113</v>
      </c>
      <c r="J82">
        <v>4</v>
      </c>
      <c r="K82">
        <v>6</v>
      </c>
      <c r="L82">
        <v>8</v>
      </c>
      <c r="N82" s="2">
        <v>45012</v>
      </c>
      <c r="O82" s="2" cm="1">
        <f t="array" ref="O82">_xll.BADDPERIODS(N82, "PER=WD", "NUMBEROFPERIODS=2", "BUSDAYADJ=-2", "CDR=GQ", "CDR=P9")</f>
        <v>45014</v>
      </c>
      <c r="P82" cm="1">
        <f t="array" ref="P82">_xll.BDH("XAG Curncy","PX_LAST",N82,N82)</f>
        <v>23.081</v>
      </c>
      <c r="Q82" s="15" t="str" cm="1">
        <f t="array" ref="Q82">_xll.BDP("SIk23 Comdty",$M$32)</f>
        <v>01/05/2023</v>
      </c>
      <c r="R82">
        <f t="shared" si="32"/>
        <v>33</v>
      </c>
      <c r="S82" s="13">
        <v>4.3999999999999997E-2</v>
      </c>
      <c r="T82" s="11">
        <f t="shared" si="33"/>
        <v>9.3093366666666649E-2</v>
      </c>
      <c r="U82" s="12">
        <v>0.14000000000000001</v>
      </c>
      <c r="V82" s="6">
        <f t="shared" si="8"/>
        <v>4.6906633333333367</v>
      </c>
      <c r="W82" s="15">
        <v>15</v>
      </c>
      <c r="X82" s="15">
        <v>20</v>
      </c>
      <c r="Y82" s="15">
        <v>25</v>
      </c>
      <c r="Z82" s="4">
        <f t="shared" si="34"/>
        <v>9.309336666666665</v>
      </c>
      <c r="AA82" s="4">
        <f t="shared" si="35"/>
        <v>14.000000000000002</v>
      </c>
      <c r="AB82" s="4">
        <f t="shared" si="11"/>
        <v>4.6906633333333367</v>
      </c>
      <c r="AE82" s="44" cm="1">
        <f t="array" ref="AE82">_xll.BDH("COMXGOLD Comdty","PX_Last", N82)</f>
        <v>21292910.594999999</v>
      </c>
      <c r="AF82" s="15" t="str" cm="1">
        <f t="array" ref="AF82">_xll.BDS("GCA Comdty","FUT_CHAIN", "CHAIN_DATE",A82,"endrow=1")</f>
        <v>GCH23 Comdty</v>
      </c>
      <c r="AG82" s="44" cm="1">
        <f t="array" ref="AG82">_xll.BDH(AF82,"FUT_AGGTE_OPEN_INT",A82)</f>
        <v>483174</v>
      </c>
      <c r="AH82" s="44">
        <f t="shared" si="12"/>
        <v>48317400</v>
      </c>
      <c r="AI82" s="48">
        <f t="shared" si="13"/>
        <v>0.44068825298960618</v>
      </c>
      <c r="AJ82" s="45"/>
      <c r="AK82" s="44" cm="1">
        <f t="array" ref="AK82">_xll.BDH("COMXSILV Comdty","PX_Last", N82)</f>
        <v>281551.28000000003</v>
      </c>
      <c r="AL82" s="15" t="str" cm="1">
        <f t="array" ref="AL82">_xll.BDS("SIA Comdty","FUT_CHAIN", "CHAIN_DATE",A82,"endrow=1")</f>
        <v>SIH23 Comdty</v>
      </c>
      <c r="AM82" s="47" cm="1">
        <f t="array" ref="AM82">_xll.BDH(AL82,"FUT_AGGTE_OPEN_INT",A82)</f>
        <v>117842</v>
      </c>
      <c r="AN82" s="45">
        <f t="shared" si="14"/>
        <v>477.84538619507481</v>
      </c>
      <c r="AO82" s="46">
        <f t="shared" si="15"/>
        <v>28155128000.000004</v>
      </c>
      <c r="AP82" s="46">
        <f t="shared" si="16"/>
        <v>589210</v>
      </c>
      <c r="AQ82" s="46"/>
    </row>
    <row r="83" spans="1:43" x14ac:dyDescent="0.2">
      <c r="A83" s="24">
        <v>45013</v>
      </c>
      <c r="B83" s="2" cm="1">
        <f t="array" ref="B83">_xll.BADDPERIODS(A83, "PER=WD", "NUMBEROFPERIODS=2", "BUSDAYADJ=-2", "CDR=GQ", "CDR=P9")</f>
        <v>45015</v>
      </c>
      <c r="C83" cm="1">
        <f t="array" ref="C83">_xll.BDH("XAU Curncy","PX_LAST",A83,A83)</f>
        <v>1973.54</v>
      </c>
      <c r="D83" s="15" t="str" cm="1">
        <f t="array" ref="D83">_xll.BDP("GCJ23 Comdty",$M$32)</f>
        <v>03/04/2023</v>
      </c>
      <c r="E83">
        <f t="shared" si="29"/>
        <v>4</v>
      </c>
      <c r="F83" s="13">
        <v>0.05</v>
      </c>
      <c r="G83" s="3">
        <f t="shared" si="30"/>
        <v>1.096411111111111</v>
      </c>
      <c r="H83" s="12">
        <v>1.1000000000000001</v>
      </c>
      <c r="I83" s="5">
        <f t="shared" si="31"/>
        <v>3.5888888888890857E-3</v>
      </c>
      <c r="J83">
        <v>4</v>
      </c>
      <c r="K83">
        <v>6</v>
      </c>
      <c r="L83">
        <v>8</v>
      </c>
      <c r="N83" s="2">
        <v>45013</v>
      </c>
      <c r="O83" s="2" cm="1">
        <f t="array" ref="O83">_xll.BADDPERIODS(N83, "PER=WD", "NUMBEROFPERIODS=2", "BUSDAYADJ=-2", "CDR=GQ", "CDR=P9")</f>
        <v>45015</v>
      </c>
      <c r="P83" cm="1">
        <f t="array" ref="P83">_xll.BDH("XAG Curncy","PX_LAST",N83,N83)</f>
        <v>23.334</v>
      </c>
      <c r="Q83" s="15" t="str" cm="1">
        <f t="array" ref="Q83">_xll.BDP("SIk23 Comdty",$M$32)</f>
        <v>01/05/2023</v>
      </c>
      <c r="R83">
        <f t="shared" si="32"/>
        <v>32</v>
      </c>
      <c r="S83" s="13">
        <v>4.8500000000000001E-2</v>
      </c>
      <c r="T83" s="11">
        <f t="shared" si="33"/>
        <v>0.10059546666666666</v>
      </c>
      <c r="U83" s="12">
        <v>0.13500000000000001</v>
      </c>
      <c r="V83" s="6">
        <f t="shared" si="8"/>
        <v>3.4404533333333349</v>
      </c>
      <c r="W83" s="15">
        <v>15</v>
      </c>
      <c r="X83" s="15">
        <v>20</v>
      </c>
      <c r="Y83" s="15">
        <v>25</v>
      </c>
      <c r="Z83" s="4">
        <f t="shared" si="34"/>
        <v>10.059546666666666</v>
      </c>
      <c r="AA83" s="4">
        <f t="shared" si="35"/>
        <v>13.5</v>
      </c>
      <c r="AB83" s="4">
        <f t="shared" si="11"/>
        <v>3.4404533333333349</v>
      </c>
      <c r="AE83" s="44" cm="1">
        <f t="array" ref="AE83">_xll.BDH("COMXGOLD Comdty","PX_Last", N83)</f>
        <v>21292910.594999999</v>
      </c>
      <c r="AF83" s="15" t="str" cm="1">
        <f t="array" ref="AF83">_xll.BDS("GCA Comdty","FUT_CHAIN", "CHAIN_DATE",A83,"endrow=1")</f>
        <v>GCH23 Comdty</v>
      </c>
      <c r="AG83" s="44" cm="1">
        <f t="array" ref="AG83">_xll.BDH(AF83,"FUT_AGGTE_OPEN_INT",A83)</f>
        <v>478611</v>
      </c>
      <c r="AH83" s="44">
        <f t="shared" si="12"/>
        <v>47861100</v>
      </c>
      <c r="AI83" s="48">
        <f t="shared" si="13"/>
        <v>0.4448897036424152</v>
      </c>
      <c r="AJ83" s="45"/>
      <c r="AK83" s="44" cm="1">
        <f t="array" ref="AK83">_xll.BDH("COMXSILV Comdty","PX_Last", N83)</f>
        <v>280489.53000000003</v>
      </c>
      <c r="AL83" s="15" t="str" cm="1">
        <f t="array" ref="AL83">_xll.BDS("SIA Comdty","FUT_CHAIN", "CHAIN_DATE",A83,"endrow=1")</f>
        <v>SIH23 Comdty</v>
      </c>
      <c r="AM83" s="47" cm="1">
        <f t="array" ref="AM83">_xll.BDH(AL83,"FUT_AGGTE_OPEN_INT",A83)</f>
        <v>117395</v>
      </c>
      <c r="AN83" s="45">
        <f t="shared" si="14"/>
        <v>477.85600749606033</v>
      </c>
      <c r="AO83" s="46">
        <f t="shared" si="15"/>
        <v>28048953000.000004</v>
      </c>
      <c r="AP83" s="46">
        <f t="shared" si="16"/>
        <v>586975</v>
      </c>
      <c r="AQ83" s="46"/>
    </row>
    <row r="84" spans="1:43" x14ac:dyDescent="0.2">
      <c r="A84" s="24">
        <v>45014</v>
      </c>
      <c r="B84" s="2" cm="1">
        <f t="array" ref="B84">_xll.BADDPERIODS(A84, "PER=WD", "NUMBEROFPERIODS=2", "BUSDAYADJ=-2", "CDR=GQ", "CDR=P9")</f>
        <v>45016</v>
      </c>
      <c r="C84" cm="1">
        <f t="array" ref="C84">_xll.BDH("XAU Curncy","PX_LAST",A84,A84)</f>
        <v>1964.7</v>
      </c>
      <c r="D84" s="15" t="str" cm="1">
        <f t="array" ref="D84">_xll.BDP("GCJ23 Comdty",$M$32)</f>
        <v>03/04/2023</v>
      </c>
      <c r="E84">
        <f t="shared" si="29"/>
        <v>3</v>
      </c>
      <c r="F84" s="13">
        <v>0.05</v>
      </c>
      <c r="G84" s="3">
        <f t="shared" si="30"/>
        <v>0.81862499999999994</v>
      </c>
      <c r="H84" s="12">
        <v>0.25</v>
      </c>
      <c r="I84" s="5">
        <f t="shared" si="31"/>
        <v>-0.56862499999999994</v>
      </c>
      <c r="J84">
        <v>4</v>
      </c>
      <c r="K84">
        <v>6</v>
      </c>
      <c r="L84">
        <v>8</v>
      </c>
      <c r="N84" s="2">
        <v>45014</v>
      </c>
      <c r="O84" s="2" cm="1">
        <f t="array" ref="O84">_xll.BADDPERIODS(N84, "PER=WD", "NUMBEROFPERIODS=2", "BUSDAYADJ=-2", "CDR=GQ", "CDR=P9")</f>
        <v>45016</v>
      </c>
      <c r="P84" cm="1">
        <f t="array" ref="P84">_xll.BDH("XAG Curncy","PX_LAST",N84,N84)</f>
        <v>23.335000000000001</v>
      </c>
      <c r="Q84" s="15" t="str" cm="1">
        <f t="array" ref="Q84">_xll.BDP("SIk23 Comdty",$M$32)</f>
        <v>01/05/2023</v>
      </c>
      <c r="R84">
        <f t="shared" si="32"/>
        <v>31</v>
      </c>
      <c r="S84" s="13">
        <v>0.05</v>
      </c>
      <c r="T84" s="11">
        <f t="shared" si="33"/>
        <v>0.10047013888888889</v>
      </c>
      <c r="U84" s="12">
        <v>0.14000000000000001</v>
      </c>
      <c r="V84" s="6">
        <f t="shared" si="8"/>
        <v>3.952986111111112</v>
      </c>
      <c r="W84" s="15">
        <v>15</v>
      </c>
      <c r="X84" s="15">
        <v>20</v>
      </c>
      <c r="Y84" s="15">
        <v>25</v>
      </c>
      <c r="Z84" s="4">
        <f t="shared" si="34"/>
        <v>10.047013888888889</v>
      </c>
      <c r="AA84" s="4">
        <f t="shared" si="35"/>
        <v>14.000000000000002</v>
      </c>
      <c r="AB84" s="4">
        <f t="shared" si="11"/>
        <v>3.952986111111112</v>
      </c>
      <c r="AE84" s="44" cm="1">
        <f t="array" ref="AE84">_xll.BDH("COMXGOLD Comdty","PX_Last", N84)</f>
        <v>21293692.965</v>
      </c>
      <c r="AF84" s="15" t="str" cm="1">
        <f t="array" ref="AF84">_xll.BDS("GCA Comdty","FUT_CHAIN", "CHAIN_DATE",A84,"endrow=1")</f>
        <v>GCH23 Comdty</v>
      </c>
      <c r="AG84" s="44" cm="1">
        <f t="array" ref="AG84">_xll.BDH(AF84,"FUT_AGGTE_OPEN_INT",A84)</f>
        <v>473865</v>
      </c>
      <c r="AH84" s="44">
        <f t="shared" si="12"/>
        <v>47386500</v>
      </c>
      <c r="AI84" s="48">
        <f t="shared" si="13"/>
        <v>0.44936201164888734</v>
      </c>
      <c r="AJ84" s="45"/>
      <c r="AK84" s="44" cm="1">
        <f t="array" ref="AK84">_xll.BDH("COMXSILV Comdty","PX_Last", N84)</f>
        <v>279942.40999999997</v>
      </c>
      <c r="AL84" s="15" t="str" cm="1">
        <f t="array" ref="AL84">_xll.BDS("SIA Comdty","FUT_CHAIN", "CHAIN_DATE",A84,"endrow=1")</f>
        <v>SIH23 Comdty</v>
      </c>
      <c r="AM84" s="47" cm="1">
        <f t="array" ref="AM84">_xll.BDH(AL84,"FUT_AGGTE_OPEN_INT",A84)</f>
        <v>118382</v>
      </c>
      <c r="AN84" s="45">
        <f t="shared" si="14"/>
        <v>472.94759338412928</v>
      </c>
      <c r="AO84" s="46">
        <f t="shared" si="15"/>
        <v>27994240999.999996</v>
      </c>
      <c r="AP84" s="46">
        <f t="shared" si="16"/>
        <v>591910</v>
      </c>
      <c r="AQ84" s="46"/>
    </row>
    <row r="85" spans="1:43" x14ac:dyDescent="0.2">
      <c r="A85" s="24">
        <v>45015</v>
      </c>
      <c r="B85" s="2" cm="1">
        <f t="array" ref="B85">_xll.BADDPERIODS(A85, "PER=WD", "NUMBEROFPERIODS=2", "BUSDAYADJ=-2", "CDR=GQ", "CDR=P9")</f>
        <v>45019</v>
      </c>
      <c r="C85" cm="1">
        <f t="array" ref="C85">_xll.BDH("XAU Curncy","PX_LAST",A85,A85)</f>
        <v>1980.37</v>
      </c>
      <c r="D85" t="str" cm="1">
        <f t="array" ref="D85">_xll.BDP("GCM23 Comdty",$M$32)</f>
        <v>01/06/2023</v>
      </c>
      <c r="E85">
        <f t="shared" si="29"/>
        <v>59</v>
      </c>
      <c r="F85" s="13">
        <v>5.0299999999999997E-2</v>
      </c>
      <c r="G85" s="3">
        <f t="shared" si="30"/>
        <v>16.32540013611111</v>
      </c>
      <c r="H85" s="12">
        <v>17.100000000000001</v>
      </c>
      <c r="I85" s="5">
        <f t="shared" si="31"/>
        <v>0.77459986388889135</v>
      </c>
      <c r="J85">
        <v>4</v>
      </c>
      <c r="K85">
        <v>6</v>
      </c>
      <c r="L85">
        <v>8</v>
      </c>
      <c r="N85" s="2">
        <v>45015</v>
      </c>
      <c r="O85" s="2" cm="1">
        <f t="array" ref="O85">_xll.BADDPERIODS(N85, "PER=WD", "NUMBEROFPERIODS=2", "BUSDAYADJ=-2", "CDR=GQ", "CDR=P9")</f>
        <v>45019</v>
      </c>
      <c r="P85" cm="1">
        <f t="array" ref="P85">_xll.BDH("XAG Curncy","PX_LAST",N85,N85)</f>
        <v>23.902999999999999</v>
      </c>
      <c r="Q85" s="15" t="str" cm="1">
        <f t="array" ref="Q85">_xll.BDP("SIk23 Comdty",$M$32)</f>
        <v>01/05/2023</v>
      </c>
      <c r="R85">
        <f t="shared" si="32"/>
        <v>28</v>
      </c>
      <c r="S85" s="13">
        <v>0.05</v>
      </c>
      <c r="T85" s="11">
        <f t="shared" si="33"/>
        <v>9.2956111111111114E-2</v>
      </c>
      <c r="U85" s="12">
        <v>0.14499999999999999</v>
      </c>
      <c r="V85" s="6">
        <f t="shared" si="8"/>
        <v>5.2043888888888876</v>
      </c>
      <c r="W85" s="15">
        <v>15</v>
      </c>
      <c r="X85" s="15">
        <v>20</v>
      </c>
      <c r="Y85" s="15">
        <v>25</v>
      </c>
      <c r="Z85" s="4">
        <f t="shared" si="34"/>
        <v>9.2956111111111106</v>
      </c>
      <c r="AA85" s="4">
        <f t="shared" si="35"/>
        <v>14.499999999999998</v>
      </c>
      <c r="AB85" s="4">
        <f t="shared" si="11"/>
        <v>5.2043888888888876</v>
      </c>
      <c r="AE85" s="44" cm="1">
        <f t="array" ref="AE85">_xll.BDH("COMXGOLD Comdty","PX_Last", N85)</f>
        <v>21291699.603</v>
      </c>
      <c r="AF85" s="15" t="str" cm="1">
        <f t="array" ref="AF85">_xll.BDS("GCA Comdty","FUT_CHAIN", "CHAIN_DATE",A85,"endrow=1")</f>
        <v>GCJ23 Comdty</v>
      </c>
      <c r="AG85" s="44" cm="1">
        <f t="array" ref="AG85">_xll.BDH(AF85,"FUT_AGGTE_OPEN_INT",A85)</f>
        <v>474852</v>
      </c>
      <c r="AH85" s="44">
        <f t="shared" si="12"/>
        <v>47485200</v>
      </c>
      <c r="AI85" s="48">
        <f t="shared" si="13"/>
        <v>0.44838601507417047</v>
      </c>
      <c r="AJ85" s="45"/>
      <c r="AK85" s="44" cm="1">
        <f t="array" ref="AK85">_xll.BDH("COMXSILV Comdty","PX_Last", N85)</f>
        <v>279086.28000000003</v>
      </c>
      <c r="AL85" s="15" t="str" cm="1">
        <f t="array" ref="AL85">_xll.BDS("SIA Comdty","FUT_CHAIN", "CHAIN_DATE",A85,"endrow=1")</f>
        <v>SIJ23 Comdty</v>
      </c>
      <c r="AM85" s="47" cm="1">
        <f t="array" ref="AM85">_xll.BDH(AL85,"FUT_AGGTE_OPEN_INT",A85)</f>
        <v>121382</v>
      </c>
      <c r="AN85" s="45">
        <f t="shared" si="14"/>
        <v>459.84788518890781</v>
      </c>
      <c r="AO85" s="46">
        <f t="shared" si="15"/>
        <v>27908628000.000004</v>
      </c>
      <c r="AP85" s="46">
        <f t="shared" si="16"/>
        <v>606910</v>
      </c>
      <c r="AQ85" s="46"/>
    </row>
    <row r="86" spans="1:43" x14ac:dyDescent="0.2">
      <c r="A86" s="24">
        <v>45016</v>
      </c>
      <c r="B86" s="2" cm="1">
        <f t="array" ref="B86">_xll.BADDPERIODS(A86, "PER=WD", "NUMBEROFPERIODS=2", "BUSDAYADJ=-2", "CDR=GQ", "CDR=P9")</f>
        <v>45020</v>
      </c>
      <c r="C86" cm="1">
        <f t="array" ref="C86">_xll.BDH("XAU Curncy","PX_LAST",A86,A86)</f>
        <v>1969.28</v>
      </c>
      <c r="D86" s="15" t="str" cm="1">
        <f t="array" ref="D86">_xll.BDP("GCM23 Comdty",$M$32)</f>
        <v>01/06/2023</v>
      </c>
      <c r="E86">
        <f t="shared" si="29"/>
        <v>58</v>
      </c>
      <c r="F86" s="13">
        <v>5.0299999999999997E-2</v>
      </c>
      <c r="G86" s="3">
        <f t="shared" si="30"/>
        <v>15.958826311111112</v>
      </c>
      <c r="H86" s="12">
        <v>17.399999999999999</v>
      </c>
      <c r="I86" s="5">
        <f t="shared" si="31"/>
        <v>1.4411736888888864</v>
      </c>
      <c r="J86">
        <v>4</v>
      </c>
      <c r="K86">
        <v>6</v>
      </c>
      <c r="L86">
        <v>8</v>
      </c>
      <c r="N86" s="2">
        <v>45016</v>
      </c>
      <c r="O86" s="2" cm="1">
        <f t="array" ref="O86">_xll.BADDPERIODS(N86, "PER=WD", "NUMBEROFPERIODS=2", "BUSDAYADJ=-2", "CDR=GQ", "CDR=P9")</f>
        <v>45020</v>
      </c>
      <c r="P86" cm="1">
        <f t="array" ref="P86">_xll.BDH("XAG Curncy","PX_LAST",N86,N86)</f>
        <v>24.099</v>
      </c>
      <c r="Q86" s="15" t="str" cm="1">
        <f t="array" ref="Q86">_xll.BDP("SIk23 Comdty",$M$32)</f>
        <v>01/05/2023</v>
      </c>
      <c r="R86">
        <f t="shared" si="32"/>
        <v>27</v>
      </c>
      <c r="S86" s="13">
        <v>0.05</v>
      </c>
      <c r="T86" s="11">
        <f t="shared" si="33"/>
        <v>9.037125E-2</v>
      </c>
      <c r="U86" s="12">
        <v>0.13500000000000001</v>
      </c>
      <c r="V86" s="6">
        <f t="shared" si="8"/>
        <v>4.4628750000000013</v>
      </c>
      <c r="W86" s="15">
        <v>15</v>
      </c>
      <c r="X86" s="15">
        <v>20</v>
      </c>
      <c r="Y86" s="15">
        <v>25</v>
      </c>
      <c r="Z86" s="4">
        <f t="shared" si="34"/>
        <v>9.0371249999999996</v>
      </c>
      <c r="AA86" s="4">
        <f t="shared" si="35"/>
        <v>13.5</v>
      </c>
      <c r="AB86" s="4">
        <f t="shared" si="11"/>
        <v>4.4628750000000013</v>
      </c>
      <c r="AE86" s="44" cm="1">
        <f t="array" ref="AE86">_xll.BDH("COMXGOLD Comdty","PX_Last", N86)</f>
        <v>21291699.603</v>
      </c>
      <c r="AF86" s="15" t="str" cm="1">
        <f t="array" ref="AF86">_xll.BDS("GCA Comdty","FUT_CHAIN", "CHAIN_DATE",A86,"endrow=1")</f>
        <v>GCJ23 Comdty</v>
      </c>
      <c r="AG86" s="44" cm="1">
        <f t="array" ref="AG86">_xll.BDH(AF86,"FUT_AGGTE_OPEN_INT",A86)</f>
        <v>456507</v>
      </c>
      <c r="AH86" s="44">
        <f t="shared" si="12"/>
        <v>45650700</v>
      </c>
      <c r="AI86" s="48">
        <f t="shared" si="13"/>
        <v>0.46640466855929918</v>
      </c>
      <c r="AJ86" s="45"/>
      <c r="AK86" s="44" cm="1">
        <f t="array" ref="AK86">_xll.BDH("COMXSILV Comdty","PX_Last", N86)</f>
        <v>278264.21999999997</v>
      </c>
      <c r="AL86" s="15" t="str" cm="1">
        <f t="array" ref="AL86">_xll.BDS("SIA Comdty","FUT_CHAIN", "CHAIN_DATE",A86,"endrow=1")</f>
        <v>SIJ23 Comdty</v>
      </c>
      <c r="AM86" s="47" cm="1">
        <f t="array" ref="AM86">_xll.BDH(AL86,"FUT_AGGTE_OPEN_INT",A86)</f>
        <v>121387</v>
      </c>
      <c r="AN86" s="45">
        <f t="shared" si="14"/>
        <v>458.47449891668788</v>
      </c>
      <c r="AO86" s="46">
        <f t="shared" si="15"/>
        <v>27826421999.999996</v>
      </c>
      <c r="AP86" s="46">
        <f t="shared" si="16"/>
        <v>606935</v>
      </c>
      <c r="AQ86" s="46"/>
    </row>
    <row r="87" spans="1:43" x14ac:dyDescent="0.2">
      <c r="A87" s="24">
        <v>45019</v>
      </c>
      <c r="B87" s="2" cm="1">
        <f t="array" ref="B87">_xll.BADDPERIODS(A87, "PER=WD", "NUMBEROFPERIODS=2", "BUSDAYADJ=-2", "CDR=GQ", "CDR=P9")</f>
        <v>45021</v>
      </c>
      <c r="C87" cm="1">
        <f t="array" ref="C87">_xll.BDH("XAU Curncy","PX_LAST",A87,A87)</f>
        <v>1984.65</v>
      </c>
      <c r="D87" s="15" t="str" cm="1">
        <f t="array" ref="D87">_xll.BDP("GCM23 Comdty",$M$32)</f>
        <v>01/06/2023</v>
      </c>
      <c r="E87">
        <f t="shared" si="29"/>
        <v>57</v>
      </c>
      <c r="F87" s="13">
        <v>0.05</v>
      </c>
      <c r="G87" s="3">
        <f t="shared" si="30"/>
        <v>15.711812500000001</v>
      </c>
      <c r="H87" s="22">
        <v>16.649999999999999</v>
      </c>
      <c r="I87" s="5">
        <f t="shared" si="31"/>
        <v>0.93818749999999795</v>
      </c>
      <c r="J87">
        <v>4</v>
      </c>
      <c r="K87">
        <v>6</v>
      </c>
      <c r="L87">
        <v>8</v>
      </c>
      <c r="N87" s="2">
        <v>45019</v>
      </c>
      <c r="O87" s="2" cm="1">
        <f t="array" ref="O87">_xll.BADDPERIODS(N87, "PER=WD", "NUMBEROFPERIODS=2", "BUSDAYADJ=-2", "CDR=GQ", "CDR=P9")</f>
        <v>45021</v>
      </c>
      <c r="P87" cm="1">
        <f t="array" ref="P87">_xll.BDH("XAG Curncy","PX_LAST",N87,N87)</f>
        <v>23.984500000000001</v>
      </c>
      <c r="Q87" s="15" t="str" cm="1">
        <f t="array" ref="Q87">_xll.BDP("SIk23 Comdty",$M$32)</f>
        <v>01/05/2023</v>
      </c>
      <c r="R87">
        <f t="shared" ref="R87:R94" si="36">_xlfn.DAYS(Q87,O87)</f>
        <v>26</v>
      </c>
      <c r="S87" s="13">
        <v>0.05</v>
      </c>
      <c r="T87" s="11">
        <f t="shared" ref="T87:T94" si="37">P87*(R87/360)*S87</f>
        <v>8.6610694444444442E-2</v>
      </c>
      <c r="U87" s="12">
        <v>0.13750000000000001</v>
      </c>
      <c r="V87" s="6">
        <f t="shared" ref="V87:V94" si="38">100*(U87-T87)</f>
        <v>5.0889305555555566</v>
      </c>
      <c r="W87" s="15">
        <v>15</v>
      </c>
      <c r="X87" s="15">
        <v>20</v>
      </c>
      <c r="Y87" s="15">
        <v>25</v>
      </c>
      <c r="Z87" s="4">
        <f t="shared" ref="Z87:Z94" si="39">100*T87</f>
        <v>8.6610694444444434</v>
      </c>
      <c r="AA87" s="4">
        <f t="shared" ref="AA87:AA94" si="40">U87*100</f>
        <v>13.750000000000002</v>
      </c>
      <c r="AB87" s="4">
        <f t="shared" ref="AB87:AB94" si="41">V87</f>
        <v>5.0889305555555566</v>
      </c>
      <c r="AE87" s="44" cm="1">
        <f t="array" ref="AE87">_xll.BDH("COMXGOLD Comdty","PX_Last", N87)</f>
        <v>21575710.866</v>
      </c>
      <c r="AF87" s="15" t="str" cm="1">
        <f t="array" ref="AF87">_xll.BDS("GCA Comdty","FUT_CHAIN", "CHAIN_DATE",A87,"endrow=1")</f>
        <v>GCJ23 Comdty</v>
      </c>
      <c r="AG87" s="44" cm="1">
        <f t="array" ref="AG87">_xll.BDH(AF87,"FUT_AGGTE_OPEN_INT",A87)</f>
        <v>461152</v>
      </c>
      <c r="AH87" s="44">
        <f t="shared" si="12"/>
        <v>46115200</v>
      </c>
      <c r="AI87" s="48">
        <f t="shared" si="13"/>
        <v>0.46786549480431616</v>
      </c>
      <c r="AJ87" s="45"/>
      <c r="AK87" s="44" cm="1">
        <f t="array" ref="AK87">_xll.BDH("COMXSILV Comdty","PX_Last", N87)</f>
        <v>277624.44</v>
      </c>
      <c r="AL87" s="15" t="str" cm="1">
        <f t="array" ref="AL87">_xll.BDS("SIA Comdty","FUT_CHAIN", "CHAIN_DATE",A87,"endrow=1")</f>
        <v>SIJ23 Comdty</v>
      </c>
      <c r="AM87" s="47" cm="1">
        <f t="array" ref="AM87">_xll.BDH(AL87,"FUT_AGGTE_OPEN_INT",A87)</f>
        <v>123738</v>
      </c>
      <c r="AN87" s="45">
        <f t="shared" si="14"/>
        <v>448.72947679775012</v>
      </c>
      <c r="AO87" s="46">
        <f t="shared" si="15"/>
        <v>27762444000</v>
      </c>
      <c r="AP87" s="46">
        <f t="shared" si="16"/>
        <v>618690</v>
      </c>
      <c r="AQ87" s="46"/>
    </row>
    <row r="88" spans="1:43" x14ac:dyDescent="0.2">
      <c r="A88" s="24">
        <v>45020</v>
      </c>
      <c r="B88" s="2" cm="1">
        <f t="array" ref="B88">_xll.BADDPERIODS(A88, "PER=WD", "NUMBEROFPERIODS=2", "BUSDAYADJ=-2", "CDR=GQ", "CDR=P9")</f>
        <v>45022</v>
      </c>
      <c r="C88" cm="1">
        <f t="array" ref="C88">_xll.BDH("XAU Curncy","PX_LAST",A88,A88)</f>
        <v>2020.42</v>
      </c>
      <c r="D88" s="15" t="str" cm="1">
        <f t="array" ref="D88">_xll.BDP("GCM23 Comdty",$M$32)</f>
        <v>01/06/2023</v>
      </c>
      <c r="E88">
        <f t="shared" si="29"/>
        <v>56</v>
      </c>
      <c r="F88" s="13">
        <v>0.05</v>
      </c>
      <c r="G88" s="3">
        <f t="shared" si="30"/>
        <v>15.714377777777779</v>
      </c>
      <c r="H88" s="22">
        <v>17.5</v>
      </c>
      <c r="I88" s="5">
        <f t="shared" si="31"/>
        <v>1.7856222222222211</v>
      </c>
      <c r="J88">
        <v>4</v>
      </c>
      <c r="K88">
        <v>6</v>
      </c>
      <c r="L88">
        <v>8</v>
      </c>
      <c r="N88" s="2">
        <v>45020</v>
      </c>
      <c r="O88" s="2" cm="1">
        <f t="array" ref="O88">_xll.BADDPERIODS(N88, "PER=WD", "NUMBEROFPERIODS=2", "BUSDAYADJ=-2", "CDR=GQ", "CDR=P9")</f>
        <v>45022</v>
      </c>
      <c r="P88" cm="1">
        <f t="array" ref="P88">_xll.BDH("XAG Curncy","PX_LAST",N88,N88)</f>
        <v>25.005600000000001</v>
      </c>
      <c r="Q88" s="15" t="str" cm="1">
        <f t="array" ref="Q88">_xll.BDP("SIk23 Comdty",$M$32)</f>
        <v>01/05/2023</v>
      </c>
      <c r="R88">
        <f t="shared" si="36"/>
        <v>25</v>
      </c>
      <c r="S88" s="13">
        <v>0.05</v>
      </c>
      <c r="T88" s="11">
        <f t="shared" si="37"/>
        <v>8.6825000000000013E-2</v>
      </c>
      <c r="U88" s="12">
        <v>0.16</v>
      </c>
      <c r="V88" s="6">
        <f t="shared" si="38"/>
        <v>7.317499999999999</v>
      </c>
      <c r="W88" s="15">
        <v>15</v>
      </c>
      <c r="X88" s="15">
        <v>20</v>
      </c>
      <c r="Y88" s="15">
        <v>25</v>
      </c>
      <c r="Z88" s="4">
        <f t="shared" si="39"/>
        <v>8.682500000000001</v>
      </c>
      <c r="AA88" s="4">
        <f t="shared" si="40"/>
        <v>16</v>
      </c>
      <c r="AB88" s="4">
        <f t="shared" si="41"/>
        <v>7.317499999999999</v>
      </c>
      <c r="AE88" s="44" cm="1">
        <f t="array" ref="AE88">_xll.BDH("COMXGOLD Comdty","PX_Last", N88)</f>
        <v>21575710.866</v>
      </c>
      <c r="AF88" s="15" t="str" cm="1">
        <f t="array" ref="AF88">_xll.BDS("GCA Comdty","FUT_CHAIN", "CHAIN_DATE",A88,"endrow=1")</f>
        <v>GCJ23 Comdty</v>
      </c>
      <c r="AG88" s="44" cm="1">
        <f t="array" ref="AG88">_xll.BDH(AF88,"FUT_AGGTE_OPEN_INT",A88)</f>
        <v>476592</v>
      </c>
      <c r="AH88" s="44">
        <f t="shared" si="12"/>
        <v>47659200</v>
      </c>
      <c r="AI88" s="48">
        <f t="shared" si="13"/>
        <v>0.45270820462785782</v>
      </c>
      <c r="AJ88" s="45"/>
      <c r="AK88" s="44" cm="1">
        <f t="array" ref="AK88">_xll.BDH("COMXSILV Comdty","PX_Last", N88)</f>
        <v>277556.38</v>
      </c>
      <c r="AL88" s="15" t="str" cm="1">
        <f t="array" ref="AL88">_xll.BDS("SIA Comdty","FUT_CHAIN", "CHAIN_DATE",A88,"endrow=1")</f>
        <v>SIJ23 Comdty</v>
      </c>
      <c r="AM88" s="47" cm="1">
        <f t="array" ref="AM88">_xll.BDH(AL88,"FUT_AGGTE_OPEN_INT",A88)</f>
        <v>131210</v>
      </c>
      <c r="AN88" s="45">
        <f t="shared" si="14"/>
        <v>423.07199146406521</v>
      </c>
      <c r="AO88" s="46">
        <f t="shared" si="15"/>
        <v>27755638000</v>
      </c>
      <c r="AP88" s="46">
        <f t="shared" si="16"/>
        <v>656050</v>
      </c>
      <c r="AQ88" s="46"/>
    </row>
    <row r="89" spans="1:43" x14ac:dyDescent="0.2">
      <c r="A89" s="24">
        <v>45021</v>
      </c>
      <c r="B89" s="2" cm="1">
        <f t="array" ref="B89">_xll.BADDPERIODS(A89, "PER=WD", "NUMBEROFPERIODS=2", "BUSDAYADJ=-2", "CDR=GQ", "CDR=P9")</f>
        <v>45027</v>
      </c>
      <c r="C89" cm="1">
        <f t="array" ref="C89">_xll.BDH("XAU Curncy","PX_LAST",A89,A89)</f>
        <v>2020.73</v>
      </c>
      <c r="D89" s="15" t="str" cm="1">
        <f t="array" ref="D89">_xll.BDP("GCM23 Comdty",$M$32)</f>
        <v>01/06/2023</v>
      </c>
      <c r="E89">
        <f t="shared" si="29"/>
        <v>51</v>
      </c>
      <c r="F89" s="13">
        <v>0.05</v>
      </c>
      <c r="G89" s="3">
        <f t="shared" si="30"/>
        <v>14.313504166666668</v>
      </c>
      <c r="H89" s="22">
        <v>16.399999999999999</v>
      </c>
      <c r="I89" s="5">
        <f t="shared" si="31"/>
        <v>2.0864958333333306</v>
      </c>
      <c r="J89">
        <v>4</v>
      </c>
      <c r="K89">
        <v>6</v>
      </c>
      <c r="L89">
        <v>8</v>
      </c>
      <c r="N89" s="2">
        <v>45021</v>
      </c>
      <c r="O89" s="2" cm="1">
        <f t="array" ref="O89">_xll.BADDPERIODS(N89, "PER=WD", "NUMBEROFPERIODS=2", "BUSDAYADJ=-2", "CDR=GQ", "CDR=P9")</f>
        <v>45027</v>
      </c>
      <c r="P89" cm="1">
        <f t="array" ref="P89">_xll.BDH("XAG Curncy","PX_LAST",N89,N89)</f>
        <v>24.941500000000001</v>
      </c>
      <c r="Q89" s="15" t="str" cm="1">
        <f t="array" ref="Q89">_xll.BDP("SIk23 Comdty",$M$32)</f>
        <v>01/05/2023</v>
      </c>
      <c r="R89">
        <f t="shared" si="36"/>
        <v>20</v>
      </c>
      <c r="S89" s="13">
        <v>0.05</v>
      </c>
      <c r="T89" s="11">
        <f t="shared" si="37"/>
        <v>6.9281944444444452E-2</v>
      </c>
      <c r="U89" s="12">
        <v>0.14499999999999999</v>
      </c>
      <c r="V89" s="6">
        <f t="shared" si="38"/>
        <v>7.5718055555555539</v>
      </c>
      <c r="W89" s="15">
        <v>15</v>
      </c>
      <c r="X89" s="15">
        <v>20</v>
      </c>
      <c r="Y89" s="15">
        <v>25</v>
      </c>
      <c r="Z89" s="4">
        <f t="shared" si="39"/>
        <v>6.9281944444444452</v>
      </c>
      <c r="AA89" s="4">
        <f t="shared" si="40"/>
        <v>14.499999999999998</v>
      </c>
      <c r="AB89" s="4">
        <f t="shared" si="41"/>
        <v>7.5718055555555539</v>
      </c>
      <c r="AE89" s="44" cm="1">
        <f t="array" ref="AE89">_xll.BDH("COMXGOLD Comdty","PX_Last", N89)</f>
        <v>21769099.131000001</v>
      </c>
      <c r="AF89" s="15" t="str" cm="1">
        <f t="array" ref="AF89">_xll.BDS("GCA Comdty","FUT_CHAIN", "CHAIN_DATE",A89,"endrow=1")</f>
        <v>GCJ23 Comdty</v>
      </c>
      <c r="AG89" s="44" cm="1">
        <f t="array" ref="AG89">_xll.BDH(AF89,"FUT_AGGTE_OPEN_INT",A89)</f>
        <v>477122</v>
      </c>
      <c r="AH89" s="44">
        <f t="shared" ref="AH89:AH152" si="42">AG89*$AG$17</f>
        <v>47712200</v>
      </c>
      <c r="AI89" s="48">
        <f t="shared" ref="AI89:AI152" si="43">AE89/AH89</f>
        <v>0.45625854877788075</v>
      </c>
      <c r="AJ89" s="45"/>
      <c r="AK89" s="44" cm="1">
        <f t="array" ref="AK89">_xll.BDH("COMXSILV Comdty","PX_Last", N89)</f>
        <v>276742.31</v>
      </c>
      <c r="AL89" s="15" t="str" cm="1">
        <f t="array" ref="AL89">_xll.BDS("SIA Comdty","FUT_CHAIN", "CHAIN_DATE",A89,"endrow=1")</f>
        <v>SIJ23 Comdty</v>
      </c>
      <c r="AM89" s="47" cm="1">
        <f t="array" ref="AM89">_xll.BDH(AL89,"FUT_AGGTE_OPEN_INT",A89)</f>
        <v>134231</v>
      </c>
      <c r="AN89" s="45">
        <f t="shared" ref="AN89:AN152" si="44">(AO89/AP89)/100</f>
        <v>412.33740343139812</v>
      </c>
      <c r="AO89" s="46">
        <f t="shared" ref="AO89:AO152" si="45">AK89*100000</f>
        <v>27674231000</v>
      </c>
      <c r="AP89" s="46">
        <f t="shared" ref="AP89:AP152" si="46">(AM89*5000)/1000</f>
        <v>671155</v>
      </c>
      <c r="AQ89" s="46"/>
    </row>
    <row r="90" spans="1:43" x14ac:dyDescent="0.2">
      <c r="A90" s="24">
        <v>45022</v>
      </c>
      <c r="B90" s="2" cm="1">
        <f t="array" ref="B90">_xll.BADDPERIODS(A90, "PER=WD", "NUMBEROFPERIODS=2", "BUSDAYADJ=-2", "CDR=GQ", "CDR=P9")</f>
        <v>45028</v>
      </c>
      <c r="C90" cm="1">
        <f t="array" ref="C90">_xll.BDH("XAU Curncy","PX_LAST",A90,A90)</f>
        <v>2007.91</v>
      </c>
      <c r="D90" s="15" t="str" cm="1">
        <f t="array" ref="D90">_xll.BDP("GCM23 Comdty",$M$32)</f>
        <v>01/06/2023</v>
      </c>
      <c r="E90">
        <f t="shared" si="29"/>
        <v>50</v>
      </c>
      <c r="F90" s="13">
        <v>0.05</v>
      </c>
      <c r="G90" s="3">
        <f t="shared" si="30"/>
        <v>13.943819444444447</v>
      </c>
      <c r="H90" s="22">
        <v>15.85</v>
      </c>
      <c r="I90" s="5">
        <f t="shared" si="31"/>
        <v>1.9061805555555527</v>
      </c>
      <c r="J90">
        <v>4</v>
      </c>
      <c r="K90">
        <v>6</v>
      </c>
      <c r="L90">
        <v>8</v>
      </c>
      <c r="N90" s="2">
        <v>45022</v>
      </c>
      <c r="O90" s="2" cm="1">
        <f t="array" ref="O90">_xll.BADDPERIODS(N90, "PER=WD", "NUMBEROFPERIODS=2", "BUSDAYADJ=-2", "CDR=GQ", "CDR=P9")</f>
        <v>45028</v>
      </c>
      <c r="P90" cm="1">
        <f t="array" ref="P90">_xll.BDH("XAG Curncy","PX_LAST",N90,N90)</f>
        <v>24.979800000000001</v>
      </c>
      <c r="Q90" s="15" t="str" cm="1">
        <f t="array" ref="Q90">_xll.BDP("SIk23 Comdty",$M$32)</f>
        <v>01/05/2023</v>
      </c>
      <c r="R90">
        <f t="shared" si="36"/>
        <v>19</v>
      </c>
      <c r="S90" s="13">
        <v>0.05</v>
      </c>
      <c r="T90" s="11">
        <f t="shared" si="37"/>
        <v>6.5918916666666674E-2</v>
      </c>
      <c r="U90" s="12">
        <v>0.14499999999999999</v>
      </c>
      <c r="V90" s="6">
        <f t="shared" si="38"/>
        <v>7.908108333333332</v>
      </c>
      <c r="W90" s="15">
        <v>15</v>
      </c>
      <c r="X90" s="15">
        <v>20</v>
      </c>
      <c r="Y90" s="15">
        <v>25</v>
      </c>
      <c r="Z90" s="4">
        <f t="shared" si="39"/>
        <v>6.5918916666666671</v>
      </c>
      <c r="AA90" s="4">
        <f t="shared" si="40"/>
        <v>14.499999999999998</v>
      </c>
      <c r="AB90" s="4">
        <f t="shared" si="41"/>
        <v>7.908108333333332</v>
      </c>
      <c r="AE90" s="44" cm="1">
        <f t="array" ref="AE90">_xll.BDH("COMXGOLD Comdty","PX_Last", N90)</f>
        <v>21769099.131000001</v>
      </c>
      <c r="AF90" s="15" t="str" cm="1">
        <f t="array" ref="AF90">_xll.BDS("GCA Comdty","FUT_CHAIN", "CHAIN_DATE",A90,"endrow=1")</f>
        <v>GCJ23 Comdty</v>
      </c>
      <c r="AG90" s="44" cm="1">
        <f t="array" ref="AG90">_xll.BDH(AF90,"FUT_AGGTE_OPEN_INT",A90)</f>
        <v>477136</v>
      </c>
      <c r="AH90" s="44">
        <f t="shared" si="42"/>
        <v>47713600</v>
      </c>
      <c r="AI90" s="48">
        <f t="shared" si="43"/>
        <v>0.45624516135860638</v>
      </c>
      <c r="AJ90" s="45"/>
      <c r="AK90" s="44" cm="1">
        <f t="array" ref="AK90">_xll.BDH("COMXSILV Comdty","PX_Last", N90)</f>
        <v>275170.06</v>
      </c>
      <c r="AL90" s="15" t="str" cm="1">
        <f t="array" ref="AL90">_xll.BDS("SIA Comdty","FUT_CHAIN", "CHAIN_DATE",A90,"endrow=1")</f>
        <v>SIJ23 Comdty</v>
      </c>
      <c r="AM90" s="47" cm="1">
        <f t="array" ref="AM90">_xll.BDH(AL90,"FUT_AGGTE_OPEN_INT",A90)</f>
        <v>135291</v>
      </c>
      <c r="AN90" s="45">
        <f t="shared" si="44"/>
        <v>406.78250585774367</v>
      </c>
      <c r="AO90" s="46">
        <f t="shared" si="45"/>
        <v>27517006000</v>
      </c>
      <c r="AP90" s="46">
        <f t="shared" si="46"/>
        <v>676455</v>
      </c>
      <c r="AQ90" s="46"/>
    </row>
    <row r="91" spans="1:43" x14ac:dyDescent="0.2">
      <c r="A91" s="24">
        <v>45027</v>
      </c>
      <c r="B91" s="2" cm="1">
        <f t="array" ref="B91">_xll.BADDPERIODS(A91, "PER=WD", "NUMBEROFPERIODS=2", "BUSDAYADJ=-2", "CDR=GQ", "CDR=P9")</f>
        <v>45029</v>
      </c>
      <c r="C91" cm="1">
        <f t="array" ref="C91">_xll.BDH("XAU Curncy","PX_LAST",A91,A91)</f>
        <v>2003.62</v>
      </c>
      <c r="D91" s="15" t="str" cm="1">
        <f t="array" ref="D91">_xll.BDP("GCM23 Comdty",$M$32)</f>
        <v>01/06/2023</v>
      </c>
      <c r="E91">
        <f t="shared" si="29"/>
        <v>49</v>
      </c>
      <c r="F91" s="13">
        <v>5.0299999999999997E-2</v>
      </c>
      <c r="G91" s="3">
        <f t="shared" si="30"/>
        <v>13.717561705555553</v>
      </c>
      <c r="H91" s="12">
        <v>15</v>
      </c>
      <c r="I91" s="5">
        <f t="shared" si="31"/>
        <v>1.2824382944444466</v>
      </c>
      <c r="J91">
        <v>4</v>
      </c>
      <c r="K91">
        <v>6</v>
      </c>
      <c r="L91">
        <v>8</v>
      </c>
      <c r="N91" s="2">
        <v>45027</v>
      </c>
      <c r="O91" s="2" cm="1">
        <f t="array" ref="O91">_xll.BADDPERIODS(N91, "PER=WD", "NUMBEROFPERIODS=2", "BUSDAYADJ=-2", "CDR=GQ", "CDR=P9")</f>
        <v>45029</v>
      </c>
      <c r="P91" cm="1">
        <f t="array" ref="P91">_xll.BDH("XAG Curncy","PX_LAST",N91,N91)</f>
        <v>25.061499999999999</v>
      </c>
      <c r="Q91" s="15" t="str" cm="1">
        <f t="array" ref="Q91">_xll.BDP("SIk23 Comdty",$M$32)</f>
        <v>01/05/2023</v>
      </c>
      <c r="R91">
        <f t="shared" si="36"/>
        <v>18</v>
      </c>
      <c r="S91" s="13">
        <v>0.05</v>
      </c>
      <c r="T91" s="11">
        <f t="shared" si="37"/>
        <v>6.2653749999999994E-2</v>
      </c>
      <c r="U91" s="12">
        <v>0.13500000000000001</v>
      </c>
      <c r="V91" s="6">
        <f t="shared" si="38"/>
        <v>7.2346250000000012</v>
      </c>
      <c r="W91" s="15">
        <v>15</v>
      </c>
      <c r="X91" s="15">
        <v>20</v>
      </c>
      <c r="Y91" s="15">
        <v>25</v>
      </c>
      <c r="Z91" s="4">
        <f t="shared" si="39"/>
        <v>6.2653749999999997</v>
      </c>
      <c r="AA91" s="4">
        <f t="shared" si="40"/>
        <v>13.5</v>
      </c>
      <c r="AB91" s="4">
        <f t="shared" si="41"/>
        <v>7.2346250000000012</v>
      </c>
      <c r="AE91" s="44" cm="1">
        <f t="array" ref="AE91">_xll.BDH("COMXGOLD Comdty","PX_Last", N91)</f>
        <v>21800639.265999999</v>
      </c>
      <c r="AF91" s="15" t="str" cm="1">
        <f t="array" ref="AF91">_xll.BDS("GCA Comdty","FUT_CHAIN", "CHAIN_DATE",A91,"endrow=1")</f>
        <v>GCJ23 Comdty</v>
      </c>
      <c r="AG91" s="44" cm="1">
        <f t="array" ref="AG91">_xll.BDH(AF91,"FUT_AGGTE_OPEN_INT",A91)</f>
        <v>476567</v>
      </c>
      <c r="AH91" s="44">
        <f t="shared" si="42"/>
        <v>47656700</v>
      </c>
      <c r="AI91" s="48">
        <f t="shared" si="43"/>
        <v>0.45745171751296249</v>
      </c>
      <c r="AJ91" s="45"/>
      <c r="AK91" s="44" cm="1">
        <f t="array" ref="AK91">_xll.BDH("COMXSILV Comdty","PX_Last", N91)</f>
        <v>274037.84000000003</v>
      </c>
      <c r="AL91" s="15" t="str" cm="1">
        <f t="array" ref="AL91">_xll.BDS("SIA Comdty","FUT_CHAIN", "CHAIN_DATE",A91,"endrow=1")</f>
        <v>SIJ23 Comdty</v>
      </c>
      <c r="AM91" s="47" cm="1">
        <f t="array" ref="AM91">_xll.BDH(AL91,"FUT_AGGTE_OPEN_INT",A91)</f>
        <v>142699</v>
      </c>
      <c r="AN91" s="45">
        <f t="shared" si="44"/>
        <v>384.07815051261753</v>
      </c>
      <c r="AO91" s="46">
        <f t="shared" si="45"/>
        <v>27403784000.000004</v>
      </c>
      <c r="AP91" s="46">
        <f t="shared" si="46"/>
        <v>713495</v>
      </c>
      <c r="AQ91" s="46"/>
    </row>
    <row r="92" spans="1:43" s="15" customFormat="1" x14ac:dyDescent="0.2">
      <c r="A92" s="24">
        <v>45028</v>
      </c>
      <c r="B92" s="16" cm="1">
        <f t="array" ref="B92">_xll.BADDPERIODS(A92, "PER=WD", "NUMBEROFPERIODS=2", "BUSDAYADJ=-2", "CDR=GQ", "CDR=P9")</f>
        <v>45030</v>
      </c>
      <c r="C92" s="15" cm="1">
        <f t="array" ref="C92">_xll.BDH("XAU Curncy","PX_LAST",A92,A92)</f>
        <v>2014.93</v>
      </c>
      <c r="D92" s="15" t="str" cm="1">
        <f t="array" ref="D92">_xll.BDP("GCM23 Comdty",$M$32)</f>
        <v>01/06/2023</v>
      </c>
      <c r="E92" s="15">
        <f t="shared" si="29"/>
        <v>48</v>
      </c>
      <c r="F92" s="23">
        <v>0.05</v>
      </c>
      <c r="G92" s="17">
        <f t="shared" si="30"/>
        <v>13.432866666666667</v>
      </c>
      <c r="H92" s="22">
        <v>14.8</v>
      </c>
      <c r="I92" s="19">
        <f t="shared" si="31"/>
        <v>1.3671333333333333</v>
      </c>
      <c r="J92" s="15">
        <v>4</v>
      </c>
      <c r="K92" s="15">
        <v>6</v>
      </c>
      <c r="L92" s="15">
        <v>8</v>
      </c>
      <c r="N92" s="16">
        <v>45028</v>
      </c>
      <c r="O92" s="16" cm="1">
        <f t="array" ref="O92">_xll.BADDPERIODS(N92, "PER=WD", "NUMBEROFPERIODS=2", "BUSDAYADJ=-2", "CDR=GQ", "CDR=P9")</f>
        <v>45030</v>
      </c>
      <c r="P92" s="15" cm="1">
        <f t="array" ref="P92">_xll.BDH("XAG Curncy","PX_LAST",N92,N92)</f>
        <v>25.501300000000001</v>
      </c>
      <c r="Q92" s="15" t="str" cm="1">
        <f t="array" ref="Q92">_xll.BDP("SIk23 Comdty",$M$32)</f>
        <v>01/05/2023</v>
      </c>
      <c r="R92" s="15">
        <f t="shared" si="36"/>
        <v>17</v>
      </c>
      <c r="S92" s="23">
        <v>0.05</v>
      </c>
      <c r="T92" s="21">
        <f t="shared" si="37"/>
        <v>6.0211402777777784E-2</v>
      </c>
      <c r="U92" s="22">
        <v>0.14000000000000001</v>
      </c>
      <c r="V92" s="20">
        <f t="shared" si="38"/>
        <v>7.9788597222222233</v>
      </c>
      <c r="W92" s="15">
        <v>15</v>
      </c>
      <c r="X92" s="15">
        <v>20</v>
      </c>
      <c r="Y92" s="15">
        <v>25</v>
      </c>
      <c r="Z92" s="18">
        <f t="shared" si="39"/>
        <v>6.0211402777777785</v>
      </c>
      <c r="AA92" s="18">
        <f t="shared" si="40"/>
        <v>14.000000000000002</v>
      </c>
      <c r="AB92" s="18">
        <f t="shared" si="41"/>
        <v>7.9788597222222233</v>
      </c>
      <c r="AE92" s="44" cm="1">
        <f t="array" ref="AE92">_xll.BDH("COMXGOLD Comdty","PX_Last", N92)</f>
        <v>21949369.791999999</v>
      </c>
      <c r="AF92" s="15" t="str" cm="1">
        <f t="array" ref="AF92">_xll.BDS("GCA Comdty","FUT_CHAIN", "CHAIN_DATE",A92,"endrow=1")</f>
        <v>GCJ23 Comdty</v>
      </c>
      <c r="AG92" s="44" cm="1">
        <f t="array" ref="AG92">_xll.BDH(AF92,"FUT_AGGTE_OPEN_INT",A92)</f>
        <v>483431</v>
      </c>
      <c r="AH92" s="44">
        <f t="shared" si="42"/>
        <v>48343100</v>
      </c>
      <c r="AI92" s="48">
        <f t="shared" si="43"/>
        <v>0.4540331462401046</v>
      </c>
      <c r="AJ92" s="45"/>
      <c r="AK92" s="44" cm="1">
        <f t="array" ref="AK92">_xll.BDH("COMXSILV Comdty","PX_Last", N92)</f>
        <v>275563.40999999997</v>
      </c>
      <c r="AL92" s="15" t="str" cm="1">
        <f t="array" ref="AL92">_xll.BDS("SIA Comdty","FUT_CHAIN", "CHAIN_DATE",A92,"endrow=1")</f>
        <v>SIJ23 Comdty</v>
      </c>
      <c r="AM92" s="47" cm="1">
        <f t="array" ref="AM92">_xll.BDH(AL92,"FUT_AGGTE_OPEN_INT",A92)</f>
        <v>145695</v>
      </c>
      <c r="AN92" s="45">
        <f t="shared" si="44"/>
        <v>378.2743539586121</v>
      </c>
      <c r="AO92" s="46">
        <f t="shared" si="45"/>
        <v>27556340999.999996</v>
      </c>
      <c r="AP92" s="46">
        <f t="shared" si="46"/>
        <v>728475</v>
      </c>
      <c r="AQ92" s="46"/>
    </row>
    <row r="93" spans="1:43" s="15" customFormat="1" x14ac:dyDescent="0.2">
      <c r="A93" s="24">
        <v>45029</v>
      </c>
      <c r="B93" s="16" cm="1">
        <f t="array" ref="B93">_xll.BADDPERIODS(A93, "PER=WD", "NUMBEROFPERIODS=2", "BUSDAYADJ=-2", "CDR=GQ", "CDR=P9")</f>
        <v>45033</v>
      </c>
      <c r="C93" s="15" cm="1">
        <f t="array" ref="C93">_xll.BDH("XAU Curncy","PX_LAST",A93,A93)</f>
        <v>2040.22</v>
      </c>
      <c r="D93" s="15" t="str" cm="1">
        <f t="array" ref="D93">_xll.BDP("GCM23 Comdty",$M$32)</f>
        <v>01/06/2023</v>
      </c>
      <c r="E93" s="15">
        <f t="shared" si="29"/>
        <v>45</v>
      </c>
      <c r="F93" s="23">
        <v>0.05</v>
      </c>
      <c r="G93" s="17">
        <f t="shared" si="30"/>
        <v>12.751375000000001</v>
      </c>
      <c r="H93" s="22">
        <v>14</v>
      </c>
      <c r="I93" s="19">
        <f t="shared" si="31"/>
        <v>1.2486249999999988</v>
      </c>
      <c r="J93" s="15">
        <v>4</v>
      </c>
      <c r="K93" s="15">
        <v>6</v>
      </c>
      <c r="L93" s="15">
        <v>8</v>
      </c>
      <c r="N93" s="16">
        <v>45029</v>
      </c>
      <c r="O93" s="16" cm="1">
        <f t="array" ref="O93">_xll.BADDPERIODS(N93, "PER=WD", "NUMBEROFPERIODS=2", "BUSDAYADJ=-2", "CDR=GQ", "CDR=P9")</f>
        <v>45033</v>
      </c>
      <c r="P93" s="15" cm="1">
        <f t="array" ref="P93">_xll.BDH("XAG Curncy","PX_LAST",N93,N93)</f>
        <v>25.827999999999999</v>
      </c>
      <c r="Q93" s="15" t="str" cm="1">
        <f t="array" ref="Q93">_xll.BDP("SIk23 Comdty",$M$32)</f>
        <v>01/05/2023</v>
      </c>
      <c r="R93" s="15">
        <f t="shared" si="36"/>
        <v>14</v>
      </c>
      <c r="S93" s="23">
        <v>0.05</v>
      </c>
      <c r="T93" s="21">
        <f t="shared" si="37"/>
        <v>5.0221111111111105E-2</v>
      </c>
      <c r="U93" s="22">
        <v>0.12</v>
      </c>
      <c r="V93" s="20">
        <f t="shared" si="38"/>
        <v>6.9778888888888888</v>
      </c>
      <c r="W93" s="15">
        <v>15</v>
      </c>
      <c r="X93" s="15">
        <v>20</v>
      </c>
      <c r="Y93" s="15">
        <v>25</v>
      </c>
      <c r="Z93" s="18">
        <f t="shared" si="39"/>
        <v>5.0221111111111103</v>
      </c>
      <c r="AA93" s="18">
        <f t="shared" si="40"/>
        <v>12</v>
      </c>
      <c r="AB93" s="18">
        <f t="shared" si="41"/>
        <v>6.9778888888888888</v>
      </c>
      <c r="AE93" s="44" cm="1">
        <f t="array" ref="AE93">_xll.BDH("COMXGOLD Comdty","PX_Last", N93)</f>
        <v>21948726.772</v>
      </c>
      <c r="AF93" s="15" t="str" cm="1">
        <f t="array" ref="AF93">_xll.BDS("GCA Comdty","FUT_CHAIN", "CHAIN_DATE",A93,"endrow=1")</f>
        <v>GCJ23 Comdty</v>
      </c>
      <c r="AG93" s="44" cm="1">
        <f t="array" ref="AG93">_xll.BDH(AF93,"FUT_AGGTE_OPEN_INT",A93)</f>
        <v>492348</v>
      </c>
      <c r="AH93" s="44">
        <f t="shared" si="42"/>
        <v>49234800</v>
      </c>
      <c r="AI93" s="48">
        <f t="shared" si="43"/>
        <v>0.44579701292581669</v>
      </c>
      <c r="AJ93" s="45"/>
      <c r="AK93" s="44" cm="1">
        <f t="array" ref="AK93">_xll.BDH("COMXSILV Comdty","PX_Last", N93)</f>
        <v>274401.65999999997</v>
      </c>
      <c r="AL93" s="15" t="str" cm="1">
        <f t="array" ref="AL93">_xll.BDS("SIA Comdty","FUT_CHAIN", "CHAIN_DATE",A93,"endrow=1")</f>
        <v>SIJ23 Comdty</v>
      </c>
      <c r="AM93" s="47" cm="1">
        <f t="array" ref="AM93">_xll.BDH(AL93,"FUT_AGGTE_OPEN_INT",A93)</f>
        <v>152363</v>
      </c>
      <c r="AN93" s="45">
        <f t="shared" si="44"/>
        <v>360.19461417798283</v>
      </c>
      <c r="AO93" s="46">
        <f t="shared" si="45"/>
        <v>27440165999.999996</v>
      </c>
      <c r="AP93" s="46">
        <f t="shared" si="46"/>
        <v>761815</v>
      </c>
      <c r="AQ93" s="46"/>
    </row>
    <row r="94" spans="1:43" s="15" customFormat="1" x14ac:dyDescent="0.2">
      <c r="A94" s="24">
        <v>45030</v>
      </c>
      <c r="B94" s="16" cm="1">
        <f t="array" ref="B94">_xll.BADDPERIODS(A94, "PER=WD", "NUMBEROFPERIODS=2", "BUSDAYADJ=-2", "CDR=GQ", "CDR=P9")</f>
        <v>45034</v>
      </c>
      <c r="C94" s="15" cm="1">
        <f t="array" ref="C94">_xll.BDH("XAU Curncy","PX_LAST",A94,A94)</f>
        <v>2004.17</v>
      </c>
      <c r="D94" s="15" t="str" cm="1">
        <f t="array" ref="D94">_xll.BDP("GCM23 Comdty",$M$32)</f>
        <v>01/06/2023</v>
      </c>
      <c r="E94" s="15">
        <f t="shared" si="29"/>
        <v>44</v>
      </c>
      <c r="F94" s="23">
        <v>0.05</v>
      </c>
      <c r="G94" s="17">
        <f t="shared" si="30"/>
        <v>12.247705555555555</v>
      </c>
      <c r="H94" s="22">
        <v>13.7</v>
      </c>
      <c r="I94" s="19">
        <f t="shared" si="31"/>
        <v>1.4522944444444441</v>
      </c>
      <c r="J94" s="15">
        <v>4</v>
      </c>
      <c r="K94" s="15">
        <v>6</v>
      </c>
      <c r="L94" s="15">
        <v>8</v>
      </c>
      <c r="N94" s="16">
        <v>45030</v>
      </c>
      <c r="O94" s="16" cm="1">
        <f t="array" ref="O94">_xll.BADDPERIODS(N94, "PER=WD", "NUMBEROFPERIODS=2", "BUSDAYADJ=-2", "CDR=GQ", "CDR=P9")</f>
        <v>45034</v>
      </c>
      <c r="P94" s="15" cm="1">
        <f t="array" ref="P94">_xll.BDH("XAG Curncy","PX_LAST",N94,N94)</f>
        <v>25.347999999999999</v>
      </c>
      <c r="Q94" s="15" t="str" cm="1">
        <f t="array" ref="Q94">_xll.BDP("SIk23 Comdty",$M$32)</f>
        <v>01/05/2023</v>
      </c>
      <c r="R94" s="15">
        <f t="shared" si="36"/>
        <v>13</v>
      </c>
      <c r="S94" s="23">
        <v>0.05</v>
      </c>
      <c r="T94" s="21">
        <f t="shared" si="37"/>
        <v>4.5767222222222216E-2</v>
      </c>
      <c r="U94" s="22">
        <v>0.12</v>
      </c>
      <c r="V94" s="20">
        <f t="shared" si="38"/>
        <v>7.4232777777777788</v>
      </c>
      <c r="W94" s="15">
        <v>15</v>
      </c>
      <c r="X94" s="15">
        <v>20</v>
      </c>
      <c r="Y94" s="15">
        <v>25</v>
      </c>
      <c r="Z94" s="18">
        <f t="shared" si="39"/>
        <v>4.5767222222222212</v>
      </c>
      <c r="AA94" s="18">
        <f t="shared" si="40"/>
        <v>12</v>
      </c>
      <c r="AB94" s="18">
        <f t="shared" si="41"/>
        <v>7.4232777777777788</v>
      </c>
      <c r="AE94" s="44" cm="1">
        <f t="array" ref="AE94">_xll.BDH("COMXGOLD Comdty","PX_Last", N94)</f>
        <v>21948598.168000001</v>
      </c>
      <c r="AF94" s="15" t="str" cm="1">
        <f t="array" ref="AF94">_xll.BDS("GCA Comdty","FUT_CHAIN", "CHAIN_DATE",A94,"endrow=1")</f>
        <v>GCJ23 Comdty</v>
      </c>
      <c r="AG94" s="44" cm="1">
        <f t="array" ref="AG94">_xll.BDH(AF94,"FUT_AGGTE_OPEN_INT",A94)</f>
        <v>483401</v>
      </c>
      <c r="AH94" s="44">
        <f t="shared" si="42"/>
        <v>48340100</v>
      </c>
      <c r="AI94" s="48">
        <f t="shared" si="43"/>
        <v>0.45404536126321626</v>
      </c>
      <c r="AJ94" s="45"/>
      <c r="AK94" s="44" cm="1">
        <f t="array" ref="AK94">_xll.BDH("COMXSILV Comdty","PX_Last", N94)</f>
        <v>274064.21999999997</v>
      </c>
      <c r="AL94" s="15" t="str" cm="1">
        <f t="array" ref="AL94">_xll.BDS("SIA Comdty","FUT_CHAIN", "CHAIN_DATE",A94,"endrow=1")</f>
        <v>SIJ23 Comdty</v>
      </c>
      <c r="AM94" s="47" cm="1">
        <f t="array" ref="AM94">_xll.BDH(AL94,"FUT_AGGTE_OPEN_INT",A94)</f>
        <v>155747</v>
      </c>
      <c r="AN94" s="45">
        <f t="shared" si="44"/>
        <v>351.93515123886812</v>
      </c>
      <c r="AO94" s="46">
        <f t="shared" si="45"/>
        <v>27406421999.999996</v>
      </c>
      <c r="AP94" s="46">
        <f t="shared" si="46"/>
        <v>778735</v>
      </c>
      <c r="AQ94" s="46"/>
    </row>
    <row r="95" spans="1:43" s="15" customFormat="1" x14ac:dyDescent="0.2">
      <c r="A95" s="24">
        <v>45033</v>
      </c>
      <c r="B95" s="16" cm="1">
        <f t="array" ref="B95">_xll.BADDPERIODS(A95, "PER=WD", "NUMBEROFPERIODS=2", "BUSDAYADJ=-2", "CDR=GQ", "CDR=P9")</f>
        <v>45035</v>
      </c>
      <c r="C95" s="15" cm="1">
        <f t="array" ref="C95">_xll.BDH("XAU Curncy","PX_LAST",A95,A95)</f>
        <v>1995.19</v>
      </c>
      <c r="D95" s="15" t="str" cm="1">
        <f t="array" ref="D95">_xll.BDP("GCM23 Comdty",$M$32)</f>
        <v>01/06/2023</v>
      </c>
      <c r="E95" s="15">
        <f t="shared" ref="E95:E126" si="47">_xlfn.DAYS(D95,B95)</f>
        <v>43</v>
      </c>
      <c r="F95" s="23">
        <v>0.05</v>
      </c>
      <c r="G95" s="17">
        <f t="shared" ref="G95:G126" si="48">C95*(E95/360)*F95</f>
        <v>11.915718055555558</v>
      </c>
      <c r="H95" s="22">
        <v>12.6</v>
      </c>
      <c r="I95" s="19">
        <f t="shared" ref="I95:I126" si="49">H95-G95</f>
        <v>0.68428194444444124</v>
      </c>
      <c r="J95" s="15">
        <v>4</v>
      </c>
      <c r="K95" s="15">
        <v>6</v>
      </c>
      <c r="L95" s="15">
        <v>8</v>
      </c>
      <c r="N95" s="16">
        <v>45033</v>
      </c>
      <c r="O95" s="16" cm="1">
        <f t="array" ref="O95">_xll.BADDPERIODS(N95, "PER=WD", "NUMBEROFPERIODS=2", "BUSDAYADJ=-2", "CDR=GQ", "CDR=P9")</f>
        <v>45035</v>
      </c>
      <c r="P95" s="15" cm="1">
        <f t="array" ref="P95">_xll.BDH("XAG Curncy","PX_LAST",N95,N95)</f>
        <v>25.033000000000001</v>
      </c>
      <c r="Q95" s="15" t="str" cm="1">
        <f t="array" ref="Q95">_xll.BDP("SIk23 Comdty",$M$32)</f>
        <v>01/05/2023</v>
      </c>
      <c r="R95" s="15">
        <f t="shared" ref="R95:R103" si="50">_xlfn.DAYS(Q95,O95)</f>
        <v>12</v>
      </c>
      <c r="S95" s="23">
        <v>0.05</v>
      </c>
      <c r="T95" s="21">
        <f t="shared" ref="T95:T103" si="51">P95*(R95/360)*S95</f>
        <v>4.1721666666666671E-2</v>
      </c>
      <c r="U95" s="22">
        <v>0.11</v>
      </c>
      <c r="V95" s="20">
        <f t="shared" ref="V95:V103" si="52">100*(U95-T95)</f>
        <v>6.8278333333333325</v>
      </c>
      <c r="W95" s="15">
        <v>15</v>
      </c>
      <c r="X95" s="15">
        <v>20</v>
      </c>
      <c r="Y95" s="15">
        <v>25</v>
      </c>
      <c r="Z95" s="18">
        <f t="shared" ref="Z95:Z103" si="53">100*T95</f>
        <v>4.1721666666666675</v>
      </c>
      <c r="AA95" s="18">
        <f t="shared" ref="AA95:AA103" si="54">U95*100</f>
        <v>11</v>
      </c>
      <c r="AB95" s="18">
        <f t="shared" ref="AB95:AB103" si="55">V95</f>
        <v>6.8278333333333325</v>
      </c>
      <c r="AE95" s="44" cm="1">
        <f t="array" ref="AE95">_xll.BDH("COMXGOLD Comdty","PX_Last", N95)</f>
        <v>21946829.863000002</v>
      </c>
      <c r="AF95" s="15" t="str" cm="1">
        <f t="array" ref="AF95">_xll.BDS("GCA Comdty","FUT_CHAIN", "CHAIN_DATE",A95,"endrow=1")</f>
        <v>GCJ23 Comdty</v>
      </c>
      <c r="AG95" s="44" cm="1">
        <f t="array" ref="AG95">_xll.BDH(AF95,"FUT_AGGTE_OPEN_INT",A95)</f>
        <v>481532</v>
      </c>
      <c r="AH95" s="44">
        <f t="shared" si="42"/>
        <v>48153200</v>
      </c>
      <c r="AI95" s="48">
        <f t="shared" si="43"/>
        <v>0.4557709531869118</v>
      </c>
      <c r="AJ95" s="45"/>
      <c r="AK95" s="44" cm="1">
        <f t="array" ref="AK95">_xll.BDH("COMXSILV Comdty","PX_Last", N95)</f>
        <v>273854.31</v>
      </c>
      <c r="AL95" s="15" t="str" cm="1">
        <f t="array" ref="AL95">_xll.BDS("SIA Comdty","FUT_CHAIN", "CHAIN_DATE",A95,"endrow=1")</f>
        <v>SIJ23 Comdty</v>
      </c>
      <c r="AM95" s="47" cm="1">
        <f t="array" ref="AM95">_xll.BDH(AL95,"FUT_AGGTE_OPEN_INT",A95)</f>
        <v>157861</v>
      </c>
      <c r="AN95" s="45">
        <f t="shared" si="44"/>
        <v>346.95625898733698</v>
      </c>
      <c r="AO95" s="46">
        <f t="shared" si="45"/>
        <v>27385431000</v>
      </c>
      <c r="AP95" s="46">
        <f t="shared" si="46"/>
        <v>789305</v>
      </c>
      <c r="AQ95" s="46"/>
    </row>
    <row r="96" spans="1:43" s="15" customFormat="1" x14ac:dyDescent="0.2">
      <c r="A96" s="24">
        <v>45034</v>
      </c>
      <c r="B96" s="16" cm="1">
        <f t="array" ref="B96">_xll.BADDPERIODS(A96, "PER=WD", "NUMBEROFPERIODS=2", "BUSDAYADJ=-2", "CDR=GQ", "CDR=P9")</f>
        <v>45036</v>
      </c>
      <c r="C96" s="15" cm="1">
        <f t="array" ref="C96">_xll.BDH("XAU Curncy","PX_LAST",A96,A96)</f>
        <v>2005.45</v>
      </c>
      <c r="D96" s="15" t="str" cm="1">
        <f t="array" ref="D96">_xll.BDP("GCM23 Comdty",$M$32)</f>
        <v>01/06/2023</v>
      </c>
      <c r="E96" s="15">
        <f t="shared" si="47"/>
        <v>42</v>
      </c>
      <c r="F96" s="23">
        <v>0.05</v>
      </c>
      <c r="G96" s="17">
        <f t="shared" si="48"/>
        <v>11.698458333333335</v>
      </c>
      <c r="H96" s="22">
        <v>11.8</v>
      </c>
      <c r="I96" s="19">
        <f t="shared" si="49"/>
        <v>0.10154166666666598</v>
      </c>
      <c r="J96" s="15">
        <v>4</v>
      </c>
      <c r="K96" s="15">
        <v>6</v>
      </c>
      <c r="L96" s="15">
        <v>8</v>
      </c>
      <c r="N96" s="16">
        <v>45034</v>
      </c>
      <c r="O96" s="16" cm="1">
        <f t="array" ref="O96">_xll.BADDPERIODS(N96, "PER=WD", "NUMBEROFPERIODS=2", "BUSDAYADJ=-2", "CDR=GQ", "CDR=P9")</f>
        <v>45036</v>
      </c>
      <c r="P96" s="15" cm="1">
        <f t="array" ref="P96">_xll.BDH("XAG Curncy","PX_LAST",N96,N96)</f>
        <v>25.192499999999999</v>
      </c>
      <c r="Q96" s="15" t="str" cm="1">
        <f t="array" ref="Q96">_xll.BDP("SIk23 Comdty",$M$32)</f>
        <v>01/05/2023</v>
      </c>
      <c r="R96" s="15">
        <f t="shared" si="50"/>
        <v>11</v>
      </c>
      <c r="S96" s="23">
        <v>0.05</v>
      </c>
      <c r="T96" s="21">
        <f t="shared" si="51"/>
        <v>3.8488541666666667E-2</v>
      </c>
      <c r="U96" s="22">
        <v>9.5000000000000001E-2</v>
      </c>
      <c r="V96" s="20">
        <f t="shared" si="52"/>
        <v>5.6511458333333335</v>
      </c>
      <c r="W96" s="15">
        <v>15</v>
      </c>
      <c r="X96" s="15">
        <v>20</v>
      </c>
      <c r="Y96" s="15">
        <v>25</v>
      </c>
      <c r="Z96" s="18">
        <f t="shared" si="53"/>
        <v>3.8488541666666669</v>
      </c>
      <c r="AA96" s="18">
        <f t="shared" si="54"/>
        <v>9.5</v>
      </c>
      <c r="AB96" s="18">
        <f t="shared" si="55"/>
        <v>5.6511458333333335</v>
      </c>
      <c r="AE96" s="44" cm="1">
        <f t="array" ref="AE96">_xll.BDH("COMXGOLD Comdty","PX_Last", N96)</f>
        <v>21943454.002999999</v>
      </c>
      <c r="AF96" s="15" t="str" cm="1">
        <f t="array" ref="AF96">_xll.BDS("GCA Comdty","FUT_CHAIN", "CHAIN_DATE",A96,"endrow=1")</f>
        <v>GCJ23 Comdty</v>
      </c>
      <c r="AG96" s="44" cm="1">
        <f t="array" ref="AG96">_xll.BDH(AF96,"FUT_AGGTE_OPEN_INT",A96)</f>
        <v>482254</v>
      </c>
      <c r="AH96" s="44">
        <f t="shared" si="42"/>
        <v>48225400</v>
      </c>
      <c r="AI96" s="48">
        <f t="shared" si="43"/>
        <v>0.45501860021897172</v>
      </c>
      <c r="AJ96" s="45"/>
      <c r="AK96" s="44" cm="1">
        <f t="array" ref="AK96">_xll.BDH("COMXSILV Comdty","PX_Last", N96)</f>
        <v>273179.65999999997</v>
      </c>
      <c r="AL96" s="15" t="str" cm="1">
        <f t="array" ref="AL96">_xll.BDS("SIA Comdty","FUT_CHAIN", "CHAIN_DATE",A96,"endrow=1")</f>
        <v>SIJ23 Comdty</v>
      </c>
      <c r="AM96" s="47" cm="1">
        <f t="array" ref="AM96">_xll.BDH(AL96,"FUT_AGGTE_OPEN_INT",A96)</f>
        <v>158371</v>
      </c>
      <c r="AN96" s="45">
        <f t="shared" si="44"/>
        <v>344.98697362522171</v>
      </c>
      <c r="AO96" s="46">
        <f t="shared" si="45"/>
        <v>27317965999.999996</v>
      </c>
      <c r="AP96" s="46">
        <f t="shared" si="46"/>
        <v>791855</v>
      </c>
      <c r="AQ96" s="46"/>
    </row>
    <row r="97" spans="1:43" s="15" customFormat="1" x14ac:dyDescent="0.2">
      <c r="A97" s="24">
        <v>45035</v>
      </c>
      <c r="B97" s="16" cm="1">
        <f t="array" ref="B97">_xll.BADDPERIODS(A97, "PER=WD", "NUMBEROFPERIODS=2", "BUSDAYADJ=-2", "CDR=GQ", "CDR=P9")</f>
        <v>45037</v>
      </c>
      <c r="C97" s="15" cm="1">
        <f t="array" ref="C97">_xll.BDH("XAU Curncy","PX_LAST",A97,A97)</f>
        <v>1994.93</v>
      </c>
      <c r="D97" s="15" t="str" cm="1">
        <f t="array" ref="D97">_xll.BDP("GCM23 Comdty",$M$32)</f>
        <v>01/06/2023</v>
      </c>
      <c r="E97" s="15">
        <f t="shared" si="47"/>
        <v>41</v>
      </c>
      <c r="F97" s="23">
        <v>5.0500000000000003E-2</v>
      </c>
      <c r="G97" s="17">
        <f t="shared" si="48"/>
        <v>11.473618236111111</v>
      </c>
      <c r="H97" s="22">
        <v>11.8</v>
      </c>
      <c r="I97" s="19">
        <f t="shared" si="49"/>
        <v>0.32638176388888951</v>
      </c>
      <c r="J97" s="15">
        <v>4</v>
      </c>
      <c r="K97" s="15">
        <v>6</v>
      </c>
      <c r="L97" s="15">
        <v>8</v>
      </c>
      <c r="N97" s="16">
        <v>45035</v>
      </c>
      <c r="O97" s="16" cm="1">
        <f t="array" ref="O97">_xll.BADDPERIODS(N97, "PER=WD", "NUMBEROFPERIODS=2", "BUSDAYADJ=-2", "CDR=GQ", "CDR=P9")</f>
        <v>45037</v>
      </c>
      <c r="P97" s="15" cm="1">
        <f t="array" ref="P97">_xll.BDH("XAG Curncy","PX_LAST",N97,N97)</f>
        <v>25.291499999999999</v>
      </c>
      <c r="Q97" s="15" t="str" cm="1">
        <f t="array" ref="Q97">_xll.BDP("SIk23 Comdty",$M$32)</f>
        <v>01/05/2023</v>
      </c>
      <c r="R97" s="15">
        <f t="shared" si="50"/>
        <v>10</v>
      </c>
      <c r="S97" s="23">
        <v>0.05</v>
      </c>
      <c r="T97" s="21">
        <f t="shared" si="51"/>
        <v>3.512708333333333E-2</v>
      </c>
      <c r="U97" s="22">
        <v>7.0000000000000007E-2</v>
      </c>
      <c r="V97" s="20">
        <f t="shared" si="52"/>
        <v>3.4872916666666676</v>
      </c>
      <c r="W97" s="15">
        <v>15</v>
      </c>
      <c r="X97" s="15">
        <v>20</v>
      </c>
      <c r="Y97" s="15">
        <v>25</v>
      </c>
      <c r="Z97" s="18">
        <f t="shared" si="53"/>
        <v>3.5127083333333329</v>
      </c>
      <c r="AA97" s="18">
        <f t="shared" si="54"/>
        <v>7.0000000000000009</v>
      </c>
      <c r="AB97" s="18">
        <f t="shared" si="55"/>
        <v>3.4872916666666676</v>
      </c>
      <c r="AE97" s="44" cm="1">
        <f t="array" ref="AE97">_xll.BDH("COMXGOLD Comdty","PX_Last", N97)</f>
        <v>21943132.493000001</v>
      </c>
      <c r="AF97" s="15" t="str" cm="1">
        <f t="array" ref="AF97">_xll.BDS("GCA Comdty","FUT_CHAIN", "CHAIN_DATE",A97,"endrow=1")</f>
        <v>GCJ23 Comdty</v>
      </c>
      <c r="AG97" s="44" cm="1">
        <f t="array" ref="AG97">_xll.BDH(AF97,"FUT_AGGTE_OPEN_INT",A97)</f>
        <v>475026</v>
      </c>
      <c r="AH97" s="44">
        <f t="shared" si="42"/>
        <v>47502600</v>
      </c>
      <c r="AI97" s="48">
        <f t="shared" si="43"/>
        <v>0.46193539917815024</v>
      </c>
      <c r="AJ97" s="45"/>
      <c r="AK97" s="44" cm="1">
        <f t="array" ref="AK97">_xll.BDH("COMXSILV Comdty","PX_Last", N97)</f>
        <v>273704.69</v>
      </c>
      <c r="AL97" s="15" t="str" cm="1">
        <f t="array" ref="AL97">_xll.BDS("SIA Comdty","FUT_CHAIN", "CHAIN_DATE",A97,"endrow=1")</f>
        <v>SIJ23 Comdty</v>
      </c>
      <c r="AM97" s="47" cm="1">
        <f t="array" ref="AM97">_xll.BDH(AL97,"FUT_AGGTE_OPEN_INT",A97)</f>
        <v>158879</v>
      </c>
      <c r="AN97" s="45">
        <f t="shared" si="44"/>
        <v>344.54482971317799</v>
      </c>
      <c r="AO97" s="46">
        <f t="shared" si="45"/>
        <v>27370469000</v>
      </c>
      <c r="AP97" s="46">
        <f t="shared" si="46"/>
        <v>794395</v>
      </c>
      <c r="AQ97" s="46"/>
    </row>
    <row r="98" spans="1:43" s="15" customFormat="1" x14ac:dyDescent="0.2">
      <c r="A98" s="24">
        <v>45036</v>
      </c>
      <c r="B98" s="16" cm="1">
        <f t="array" ref="B98">_xll.BADDPERIODS(A98, "PER=WD", "NUMBEROFPERIODS=2", "BUSDAYADJ=-2", "CDR=GQ", "CDR=P9")</f>
        <v>45040</v>
      </c>
      <c r="C98" s="15" cm="1">
        <f t="array" ref="C98">_xll.BDH("XAU Curncy","PX_LAST",A98,A98)</f>
        <v>2004.8</v>
      </c>
      <c r="D98" s="15" t="str" cm="1">
        <f t="array" ref="D98">_xll.BDP("GCM23 Comdty",$M$32)</f>
        <v>01/06/2023</v>
      </c>
      <c r="E98" s="15">
        <f t="shared" si="47"/>
        <v>38</v>
      </c>
      <c r="F98" s="23">
        <v>5.0500000000000003E-2</v>
      </c>
      <c r="G98" s="17">
        <f t="shared" si="48"/>
        <v>10.686697777777779</v>
      </c>
      <c r="H98" s="22">
        <v>11.5</v>
      </c>
      <c r="I98" s="19">
        <f t="shared" si="49"/>
        <v>0.81330222222222126</v>
      </c>
      <c r="J98" s="15">
        <v>4</v>
      </c>
      <c r="K98" s="15">
        <v>6</v>
      </c>
      <c r="L98" s="15">
        <v>8</v>
      </c>
      <c r="N98" s="16">
        <v>45036</v>
      </c>
      <c r="O98" s="16" cm="1">
        <f t="array" ref="O98">_xll.BADDPERIODS(N98, "PER=WD", "NUMBEROFPERIODS=2", "BUSDAYADJ=-2", "CDR=GQ", "CDR=P9")</f>
        <v>45040</v>
      </c>
      <c r="P98" s="15" cm="1">
        <f t="array" ref="P98">_xll.BDH("XAG Curncy","PX_LAST",N98,N98)</f>
        <v>25.290199999999999</v>
      </c>
      <c r="Q98" s="15" t="str" cm="1">
        <f t="array" ref="Q98">_xll.BDP("SIk23 Comdty",$M$32)</f>
        <v>01/05/2023</v>
      </c>
      <c r="R98" s="15">
        <f t="shared" si="50"/>
        <v>7</v>
      </c>
      <c r="S98" s="23">
        <v>0.05</v>
      </c>
      <c r="T98" s="21">
        <f t="shared" si="51"/>
        <v>2.4587694444444447E-2</v>
      </c>
      <c r="U98" s="22">
        <v>0.09</v>
      </c>
      <c r="V98" s="20">
        <f t="shared" si="52"/>
        <v>6.541230555555555</v>
      </c>
      <c r="W98" s="15">
        <v>15</v>
      </c>
      <c r="X98" s="15">
        <v>20</v>
      </c>
      <c r="Y98" s="15">
        <v>25</v>
      </c>
      <c r="Z98" s="18">
        <f t="shared" si="53"/>
        <v>2.4587694444444446</v>
      </c>
      <c r="AA98" s="18">
        <f t="shared" si="54"/>
        <v>9</v>
      </c>
      <c r="AB98" s="18">
        <f t="shared" si="55"/>
        <v>6.541230555555555</v>
      </c>
      <c r="AE98" s="44" cm="1">
        <f t="array" ref="AE98">_xll.BDH("COMXGOLD Comdty","PX_Last", N98)</f>
        <v>22133246.333000001</v>
      </c>
      <c r="AF98" s="15" t="str" cm="1">
        <f t="array" ref="AF98">_xll.BDS("GCA Comdty","FUT_CHAIN", "CHAIN_DATE",A98,"endrow=1")</f>
        <v>GCJ23 Comdty</v>
      </c>
      <c r="AG98" s="44" cm="1">
        <f t="array" ref="AG98">_xll.BDH(AF98,"FUT_AGGTE_OPEN_INT",A98)</f>
        <v>478479</v>
      </c>
      <c r="AH98" s="44">
        <f t="shared" si="42"/>
        <v>47847900</v>
      </c>
      <c r="AI98" s="48">
        <f t="shared" si="43"/>
        <v>0.46257508339968945</v>
      </c>
      <c r="AJ98" s="45"/>
      <c r="AK98" s="44" cm="1">
        <f t="array" ref="AK98">_xll.BDH("COMXSILV Comdty","PX_Last", N98)</f>
        <v>273640.03000000003</v>
      </c>
      <c r="AL98" s="15" t="str" cm="1">
        <f t="array" ref="AL98">_xll.BDS("SIA Comdty","FUT_CHAIN", "CHAIN_DATE",A98,"endrow=1")</f>
        <v>SIJ23 Comdty</v>
      </c>
      <c r="AM98" s="47" cm="1">
        <f t="array" ref="AM98">_xll.BDH(AL98,"FUT_AGGTE_OPEN_INT",A98)</f>
        <v>156741</v>
      </c>
      <c r="AN98" s="45">
        <f t="shared" si="44"/>
        <v>349.16203163180029</v>
      </c>
      <c r="AO98" s="46">
        <f t="shared" si="45"/>
        <v>27364003000.000004</v>
      </c>
      <c r="AP98" s="46">
        <f t="shared" si="46"/>
        <v>783705</v>
      </c>
      <c r="AQ98" s="46"/>
    </row>
    <row r="99" spans="1:43" s="15" customFormat="1" x14ac:dyDescent="0.2">
      <c r="A99" s="24">
        <v>45037</v>
      </c>
      <c r="B99" s="16" cm="1">
        <f t="array" ref="B99">_xll.BADDPERIODS(A99, "PER=WD", "NUMBEROFPERIODS=2", "BUSDAYADJ=-2", "CDR=GQ", "CDR=P9")</f>
        <v>45041</v>
      </c>
      <c r="C99" s="15" cm="1">
        <f t="array" ref="C99">_xll.BDH("XAU Curncy","PX_LAST",A99,A99)</f>
        <v>1983.06</v>
      </c>
      <c r="D99" s="15" t="str" cm="1">
        <f t="array" ref="D99">_xll.BDP("GCM23 Comdty",$M$32)</f>
        <v>01/06/2023</v>
      </c>
      <c r="E99" s="15">
        <f t="shared" si="47"/>
        <v>37</v>
      </c>
      <c r="F99" s="23">
        <v>5.0500000000000003E-2</v>
      </c>
      <c r="G99" s="17">
        <f t="shared" si="48"/>
        <v>10.29263225</v>
      </c>
      <c r="H99" s="22">
        <v>10.9</v>
      </c>
      <c r="I99" s="19">
        <f t="shared" si="49"/>
        <v>0.60736774999999987</v>
      </c>
      <c r="J99" s="15">
        <v>4</v>
      </c>
      <c r="K99" s="15">
        <v>6</v>
      </c>
      <c r="L99" s="15">
        <v>8</v>
      </c>
      <c r="N99" s="16">
        <v>45037</v>
      </c>
      <c r="O99" s="16" cm="1">
        <f t="array" ref="O99">_xll.BADDPERIODS(N99, "PER=WD", "NUMBEROFPERIODS=2", "BUSDAYADJ=-2", "CDR=GQ", "CDR=P9")</f>
        <v>45041</v>
      </c>
      <c r="P99" s="15" cm="1">
        <f t="array" ref="P99">_xll.BDH("XAG Curncy","PX_LAST",N99,N99)</f>
        <v>25.084599999999998</v>
      </c>
      <c r="Q99" s="15" t="str" cm="1">
        <f t="array" ref="Q99">_xll.BDP("SIk23 Comdty",$M$32)</f>
        <v>01/05/2023</v>
      </c>
      <c r="R99" s="15">
        <f t="shared" si="50"/>
        <v>6</v>
      </c>
      <c r="S99" s="23">
        <v>0.05</v>
      </c>
      <c r="T99" s="21">
        <f t="shared" si="51"/>
        <v>2.0903833333333333E-2</v>
      </c>
      <c r="U99" s="22">
        <v>7.4999999999999997E-2</v>
      </c>
      <c r="V99" s="20">
        <f t="shared" si="52"/>
        <v>5.4096166666666665</v>
      </c>
      <c r="W99" s="15">
        <v>15</v>
      </c>
      <c r="X99" s="15">
        <v>20</v>
      </c>
      <c r="Y99" s="15">
        <v>25</v>
      </c>
      <c r="Z99" s="18">
        <f t="shared" si="53"/>
        <v>2.0903833333333335</v>
      </c>
      <c r="AA99" s="18">
        <f t="shared" si="54"/>
        <v>7.5</v>
      </c>
      <c r="AB99" s="18">
        <f t="shared" si="55"/>
        <v>5.4096166666666665</v>
      </c>
      <c r="AE99" s="44" cm="1">
        <f t="array" ref="AE99">_xll.BDH("COMXGOLD Comdty","PX_Last", N99)</f>
        <v>22180861.964000002</v>
      </c>
      <c r="AF99" s="15" t="str" cm="1">
        <f t="array" ref="AF99">_xll.BDS("GCA Comdty","FUT_CHAIN", "CHAIN_DATE",A99,"endrow=1")</f>
        <v>GCJ23 Comdty</v>
      </c>
      <c r="AG99" s="44" cm="1">
        <f t="array" ref="AG99">_xll.BDH(AF99,"FUT_AGGTE_OPEN_INT",A99)</f>
        <v>472803</v>
      </c>
      <c r="AH99" s="44">
        <f t="shared" si="42"/>
        <v>47280300</v>
      </c>
      <c r="AI99" s="48">
        <f t="shared" si="43"/>
        <v>0.46913538966546325</v>
      </c>
      <c r="AJ99" s="45"/>
      <c r="AK99" s="44" cm="1">
        <f t="array" ref="AK99">_xll.BDH("COMXSILV Comdty","PX_Last", N99)</f>
        <v>273767</v>
      </c>
      <c r="AL99" s="15" t="str" cm="1">
        <f t="array" ref="AL99">_xll.BDS("SIA Comdty","FUT_CHAIN", "CHAIN_DATE",A99,"endrow=1")</f>
        <v>SIJ23 Comdty</v>
      </c>
      <c r="AM99" s="47" cm="1">
        <f t="array" ref="AM99">_xll.BDH(AL99,"FUT_AGGTE_OPEN_INT",A99)</f>
        <v>157068</v>
      </c>
      <c r="AN99" s="45">
        <f t="shared" si="44"/>
        <v>348.59678610538111</v>
      </c>
      <c r="AO99" s="46">
        <f t="shared" si="45"/>
        <v>27376700000</v>
      </c>
      <c r="AP99" s="46">
        <f t="shared" si="46"/>
        <v>785340</v>
      </c>
      <c r="AQ99" s="46"/>
    </row>
    <row r="100" spans="1:43" s="15" customFormat="1" x14ac:dyDescent="0.2">
      <c r="A100" s="24">
        <v>45040</v>
      </c>
      <c r="B100" s="16" cm="1">
        <f t="array" ref="B100">_xll.BADDPERIODS(A100, "PER=WD", "NUMBEROFPERIODS=2", "BUSDAYADJ=-2", "CDR=GQ", "CDR=P9")</f>
        <v>45042</v>
      </c>
      <c r="C100" s="15" cm="1">
        <f t="array" ref="C100">_xll.BDH("XAU Curncy","PX_LAST",A100,A100)</f>
        <v>1989.14</v>
      </c>
      <c r="D100" s="15" t="str" cm="1">
        <f t="array" ref="D100">_xll.BDP("GCM23 Comdty",$M$32)</f>
        <v>01/06/2023</v>
      </c>
      <c r="E100" s="15">
        <f t="shared" si="47"/>
        <v>36</v>
      </c>
      <c r="F100" s="23">
        <v>5.0500000000000003E-2</v>
      </c>
      <c r="G100" s="17">
        <f t="shared" si="48"/>
        <v>10.045157000000001</v>
      </c>
      <c r="H100" s="22">
        <v>10.45</v>
      </c>
      <c r="I100" s="19">
        <f t="shared" si="49"/>
        <v>0.40484299999999784</v>
      </c>
      <c r="J100" s="15">
        <v>4</v>
      </c>
      <c r="K100" s="15">
        <v>6</v>
      </c>
      <c r="L100" s="15">
        <v>8</v>
      </c>
      <c r="N100" s="24">
        <v>45040</v>
      </c>
      <c r="O100" s="16" cm="1">
        <f t="array" ref="O100">_xll.BADDPERIODS(N100, "PER=WD", "NUMBEROFPERIODS=2", "BUSDAYADJ=-2", "CDR=GQ", "CDR=P9")</f>
        <v>45042</v>
      </c>
      <c r="P100" s="15" cm="1">
        <f t="array" ref="P100">_xll.BDH("XAG Curncy","PX_LAST",N100,N100)</f>
        <v>25.16</v>
      </c>
      <c r="Q100" s="15" t="str" cm="1">
        <f t="array" ref="Q100">_xll.BDP("SIk23 Comdty",$M$32)</f>
        <v>01/05/2023</v>
      </c>
      <c r="R100" s="15">
        <f t="shared" si="50"/>
        <v>5</v>
      </c>
      <c r="S100" s="23">
        <v>0.05</v>
      </c>
      <c r="T100" s="21">
        <f t="shared" si="51"/>
        <v>1.7472222222222222E-2</v>
      </c>
      <c r="U100" s="22">
        <v>7.0000000000000007E-2</v>
      </c>
      <c r="V100" s="20">
        <f t="shared" si="52"/>
        <v>5.2527777777777782</v>
      </c>
      <c r="W100" s="15">
        <v>15</v>
      </c>
      <c r="X100" s="15">
        <v>20</v>
      </c>
      <c r="Y100" s="15">
        <v>25</v>
      </c>
      <c r="Z100" s="18">
        <f t="shared" si="53"/>
        <v>1.7472222222222222</v>
      </c>
      <c r="AA100" s="18">
        <f t="shared" si="54"/>
        <v>7.0000000000000009</v>
      </c>
      <c r="AB100" s="18">
        <f t="shared" si="55"/>
        <v>5.2527777777777782</v>
      </c>
      <c r="AE100" s="44" cm="1">
        <f t="array" ref="AE100">_xll.BDH("COMXGOLD Comdty","PX_Last", N100)</f>
        <v>22180669.057999998</v>
      </c>
      <c r="AF100" s="15" t="str" cm="1">
        <f t="array" ref="AF100">_xll.BDS("GCA Comdty","FUT_CHAIN", "CHAIN_DATE",A100,"endrow=1")</f>
        <v>GCJ23 Comdty</v>
      </c>
      <c r="AG100" s="44" cm="1">
        <f t="array" ref="AG100">_xll.BDH(AF100,"FUT_AGGTE_OPEN_INT",A100)</f>
        <v>473847</v>
      </c>
      <c r="AH100" s="44">
        <f t="shared" si="42"/>
        <v>47384700</v>
      </c>
      <c r="AI100" s="48">
        <f t="shared" si="43"/>
        <v>0.46809769942618606</v>
      </c>
      <c r="AJ100" s="45"/>
      <c r="AK100" s="44" cm="1">
        <f t="array" ref="AK100">_xll.BDH("COMXSILV Comdty","PX_Last", N100)</f>
        <v>271605</v>
      </c>
      <c r="AL100" s="15" t="str" cm="1">
        <f t="array" ref="AL100">_xll.BDS("SIA Comdty","FUT_CHAIN", "CHAIN_DATE",A100,"endrow=1")</f>
        <v>SIJ23 Comdty</v>
      </c>
      <c r="AM100" s="47" cm="1">
        <f t="array" ref="AM100">_xll.BDH(AL100,"FUT_AGGTE_OPEN_INT",A100)</f>
        <v>156290</v>
      </c>
      <c r="AN100" s="45">
        <f t="shared" si="44"/>
        <v>347.56542325164759</v>
      </c>
      <c r="AO100" s="46">
        <f t="shared" si="45"/>
        <v>27160500000</v>
      </c>
      <c r="AP100" s="46">
        <f t="shared" si="46"/>
        <v>781450</v>
      </c>
      <c r="AQ100" s="46"/>
    </row>
    <row r="101" spans="1:43" s="15" customFormat="1" x14ac:dyDescent="0.2">
      <c r="A101" s="24">
        <v>45041</v>
      </c>
      <c r="B101" s="16" cm="1">
        <f t="array" ref="B101">_xll.BADDPERIODS(A101, "PER=WD", "NUMBEROFPERIODS=2", "BUSDAYADJ=-2", "CDR=GQ", "CDR=P9")</f>
        <v>45043</v>
      </c>
      <c r="C101" s="15" cm="1">
        <f t="array" ref="C101">_xll.BDH("XAU Curncy","PX_LAST",A101,A101)</f>
        <v>1997.39</v>
      </c>
      <c r="D101" s="15" t="str" cm="1">
        <f t="array" ref="D101">_xll.BDP("GCM23 Comdty",$M$32)</f>
        <v>01/06/2023</v>
      </c>
      <c r="E101" s="15">
        <f t="shared" si="47"/>
        <v>35</v>
      </c>
      <c r="F101" s="23">
        <v>5.0500000000000003E-2</v>
      </c>
      <c r="G101" s="17">
        <f t="shared" si="48"/>
        <v>9.806630069444445</v>
      </c>
      <c r="H101" s="22">
        <v>10.25</v>
      </c>
      <c r="I101" s="19">
        <f t="shared" si="49"/>
        <v>0.44336993055555496</v>
      </c>
      <c r="J101" s="15">
        <v>4</v>
      </c>
      <c r="K101" s="15">
        <v>6</v>
      </c>
      <c r="L101" s="15">
        <v>8</v>
      </c>
      <c r="N101" s="24">
        <v>45041</v>
      </c>
      <c r="O101" s="16" cm="1">
        <f t="array" ref="O101">_xll.BADDPERIODS(N101, "PER=WD", "NUMBEROFPERIODS=2", "BUSDAYADJ=-2", "CDR=GQ", "CDR=P9")</f>
        <v>45043</v>
      </c>
      <c r="P101" s="15" cm="1">
        <f t="array" ref="P101">_xll.BDH("XAG Curncy","PX_LAST",N101,N101)</f>
        <v>25.013999999999999</v>
      </c>
      <c r="Q101" s="15" t="str" cm="1">
        <f t="array" ref="Q101">_xll.BDP("SIk23 Comdty",$M$32)</f>
        <v>01/05/2023</v>
      </c>
      <c r="R101" s="15">
        <f t="shared" si="50"/>
        <v>4</v>
      </c>
      <c r="S101" s="23">
        <v>0.05</v>
      </c>
      <c r="T101" s="21">
        <f t="shared" si="51"/>
        <v>1.3896666666666667E-2</v>
      </c>
      <c r="U101" s="22">
        <v>7.2499999999999995E-2</v>
      </c>
      <c r="V101" s="20">
        <f t="shared" si="52"/>
        <v>5.8603333333333323</v>
      </c>
      <c r="W101" s="15">
        <v>15</v>
      </c>
      <c r="X101" s="15">
        <v>20</v>
      </c>
      <c r="Y101" s="15">
        <v>25</v>
      </c>
      <c r="Z101" s="18">
        <f t="shared" si="53"/>
        <v>1.3896666666666666</v>
      </c>
      <c r="AA101" s="18">
        <f t="shared" si="54"/>
        <v>7.2499999999999991</v>
      </c>
      <c r="AB101" s="18">
        <f t="shared" si="55"/>
        <v>5.8603333333333323</v>
      </c>
      <c r="AE101" s="44" cm="1">
        <f t="array" ref="AE101">_xll.BDH("COMXGOLD Comdty","PX_Last", N101)</f>
        <v>22180315.397999998</v>
      </c>
      <c r="AF101" s="15" t="str" cm="1">
        <f t="array" ref="AF101">_xll.BDS("GCA Comdty","FUT_CHAIN", "CHAIN_DATE",A101,"endrow=1")</f>
        <v>GCJ23 Comdty</v>
      </c>
      <c r="AG101" s="44" cm="1">
        <f t="array" ref="AG101">_xll.BDH(AF101,"FUT_AGGTE_OPEN_INT",A101)</f>
        <v>473209</v>
      </c>
      <c r="AH101" s="44">
        <f t="shared" si="42"/>
        <v>47320900</v>
      </c>
      <c r="AI101" s="48">
        <f t="shared" si="43"/>
        <v>0.46872133450547215</v>
      </c>
      <c r="AJ101" s="45"/>
      <c r="AK101" s="44" cm="1">
        <f t="array" ref="AK101">_xll.BDH("COMXSILV Comdty","PX_Last", N101)</f>
        <v>272434.5</v>
      </c>
      <c r="AL101" s="15" t="str" cm="1">
        <f t="array" ref="AL101">_xll.BDS("SIA Comdty","FUT_CHAIN", "CHAIN_DATE",A101,"endrow=1")</f>
        <v>SIJ23 Comdty</v>
      </c>
      <c r="AM101" s="47" cm="1">
        <f t="array" ref="AM101">_xll.BDH(AL101,"FUT_AGGTE_OPEN_INT",A101)</f>
        <v>149692</v>
      </c>
      <c r="AN101" s="45">
        <f t="shared" si="44"/>
        <v>363.99339978088341</v>
      </c>
      <c r="AO101" s="46">
        <f t="shared" si="45"/>
        <v>27243450000</v>
      </c>
      <c r="AP101" s="46">
        <f t="shared" si="46"/>
        <v>748460</v>
      </c>
      <c r="AQ101" s="46"/>
    </row>
    <row r="102" spans="1:43" s="15" customFormat="1" x14ac:dyDescent="0.2">
      <c r="A102" s="24">
        <v>45042</v>
      </c>
      <c r="B102" s="16" cm="1">
        <f t="array" ref="B102">_xll.BADDPERIODS(A102, "PER=WD", "NUMBEROFPERIODS=2", "BUSDAYADJ=-2", "CDR=GQ", "CDR=P9")</f>
        <v>45044</v>
      </c>
      <c r="C102" s="15" cm="1">
        <f t="array" ref="C102">_xll.BDH("XAU Curncy","PX_LAST",A102,A102)</f>
        <v>1989.04</v>
      </c>
      <c r="D102" s="15" t="str" cm="1">
        <f t="array" ref="D102">_xll.BDP("GCM23 Comdty",$M$32)</f>
        <v>01/06/2023</v>
      </c>
      <c r="E102" s="15">
        <f t="shared" si="47"/>
        <v>34</v>
      </c>
      <c r="F102" s="23">
        <v>5.0500000000000003E-2</v>
      </c>
      <c r="G102" s="17">
        <f t="shared" si="48"/>
        <v>9.4866157777777769</v>
      </c>
      <c r="H102" s="22">
        <v>10.3</v>
      </c>
      <c r="I102" s="19">
        <f t="shared" si="49"/>
        <v>0.81338422222222384</v>
      </c>
      <c r="J102" s="15">
        <v>4</v>
      </c>
      <c r="K102" s="15">
        <v>6</v>
      </c>
      <c r="L102" s="15">
        <v>8</v>
      </c>
      <c r="N102" s="24">
        <v>45042</v>
      </c>
      <c r="O102" s="16" cm="1">
        <f t="array" ref="O102">_xll.BADDPERIODS(N102, "PER=WD", "NUMBEROFPERIODS=2", "BUSDAYADJ=-2", "CDR=GQ", "CDR=P9")</f>
        <v>45044</v>
      </c>
      <c r="P102" s="15" cm="1">
        <f t="array" ref="P102">_xll.BDH("XAG Curncy","PX_LAST",N102,N102)</f>
        <v>24.8812</v>
      </c>
      <c r="Q102" s="15" t="str" cm="1">
        <f t="array" ref="Q102">_xll.BDP("SIk23 Comdty",$M$32)</f>
        <v>01/05/2023</v>
      </c>
      <c r="R102" s="15">
        <f t="shared" si="50"/>
        <v>3</v>
      </c>
      <c r="S102" s="23">
        <v>0.05</v>
      </c>
      <c r="T102" s="21">
        <f t="shared" si="51"/>
        <v>1.0367166666666667E-2</v>
      </c>
      <c r="U102" s="22">
        <v>0.08</v>
      </c>
      <c r="V102" s="20">
        <f t="shared" si="52"/>
        <v>6.9632833333333339</v>
      </c>
      <c r="W102" s="15">
        <v>15</v>
      </c>
      <c r="X102" s="15">
        <v>20</v>
      </c>
      <c r="Y102" s="15">
        <v>25</v>
      </c>
      <c r="Z102" s="18">
        <f t="shared" si="53"/>
        <v>1.0367166666666667</v>
      </c>
      <c r="AA102" s="18">
        <f t="shared" si="54"/>
        <v>8</v>
      </c>
      <c r="AB102" s="18">
        <f t="shared" si="55"/>
        <v>6.9632833333333339</v>
      </c>
      <c r="AE102" s="44" cm="1">
        <f t="array" ref="AE102">_xll.BDH("COMXGOLD Comdty","PX_Last", N102)</f>
        <v>22180444.002</v>
      </c>
      <c r="AF102" s="15" t="str" cm="1">
        <f t="array" ref="AF102">_xll.BDS("GCA Comdty","FUT_CHAIN", "CHAIN_DATE",A102,"endrow=1")</f>
        <v>GCJ23 Comdty</v>
      </c>
      <c r="AG102" s="44" cm="1">
        <f t="array" ref="AG102">_xll.BDH(AF102,"FUT_AGGTE_OPEN_INT",A102)</f>
        <v>479256</v>
      </c>
      <c r="AH102" s="44">
        <f t="shared" si="42"/>
        <v>47925600</v>
      </c>
      <c r="AI102" s="48">
        <f t="shared" si="43"/>
        <v>0.46280993878010918</v>
      </c>
      <c r="AJ102" s="45"/>
      <c r="AK102" s="44" cm="1">
        <f t="array" ref="AK102">_xll.BDH("COMXSILV Comdty","PX_Last", N102)</f>
        <v>271816.44</v>
      </c>
      <c r="AL102" s="15" t="str" cm="1">
        <f t="array" ref="AL102">_xll.BDS("SIA Comdty","FUT_CHAIN", "CHAIN_DATE",A102,"endrow=1")</f>
        <v>SIJ23 Comdty</v>
      </c>
      <c r="AM102" s="47" cm="1">
        <f t="array" ref="AM102">_xll.BDH(AL102,"FUT_AGGTE_OPEN_INT",A102)</f>
        <v>143963</v>
      </c>
      <c r="AN102" s="45">
        <f t="shared" si="44"/>
        <v>377.61986065864147</v>
      </c>
      <c r="AO102" s="46">
        <f t="shared" si="45"/>
        <v>27181644000</v>
      </c>
      <c r="AP102" s="46">
        <f t="shared" si="46"/>
        <v>719815</v>
      </c>
      <c r="AQ102" s="46"/>
    </row>
    <row r="103" spans="1:43" s="15" customFormat="1" x14ac:dyDescent="0.2">
      <c r="A103" s="24">
        <v>45043</v>
      </c>
      <c r="B103" s="16" cm="1">
        <f t="array" ref="B103">_xll.BADDPERIODS(A103, "PER=WD", "NUMBEROFPERIODS=2", "BUSDAYADJ=-2", "CDR=GQ", "CDR=P9")</f>
        <v>45048</v>
      </c>
      <c r="C103" s="15" cm="1">
        <f t="array" ref="C103">_xll.BDH("XAU Curncy","PX_LAST",A103,A103)</f>
        <v>1987.78</v>
      </c>
      <c r="D103" s="15" t="str" cm="1">
        <f t="array" ref="D103">_xll.BDP("GCM23 Comdty",$M$32)</f>
        <v>01/06/2023</v>
      </c>
      <c r="E103" s="15">
        <f t="shared" si="47"/>
        <v>30</v>
      </c>
      <c r="F103" s="23">
        <v>5.0500000000000003E-2</v>
      </c>
      <c r="G103" s="17">
        <f t="shared" si="48"/>
        <v>8.365240833333333</v>
      </c>
      <c r="H103" s="22">
        <v>9</v>
      </c>
      <c r="I103" s="19">
        <f t="shared" si="49"/>
        <v>0.63475916666666699</v>
      </c>
      <c r="J103" s="15">
        <v>4</v>
      </c>
      <c r="K103" s="15">
        <v>6</v>
      </c>
      <c r="L103" s="15">
        <v>8</v>
      </c>
      <c r="N103" s="24">
        <v>45043</v>
      </c>
      <c r="O103" s="16" cm="1">
        <f t="array" ref="O103">_xll.BADDPERIODS(N103, "PER=WD", "NUMBEROFPERIODS=2", "BUSDAYADJ=-2", "CDR=GQ", "CDR=P9")</f>
        <v>45048</v>
      </c>
      <c r="P103" s="15" cm="1">
        <f t="array" ref="P103">_xll.BDH("XAG Curncy","PX_LAST",N103,N103)</f>
        <v>24.927600000000002</v>
      </c>
      <c r="Q103" s="15" t="str" cm="1">
        <f t="array" ref="Q103">_xll.BDP("SIk23 Comdty",$M$32)</f>
        <v>01/05/2023</v>
      </c>
      <c r="R103" s="15">
        <f t="shared" si="50"/>
        <v>-1</v>
      </c>
      <c r="S103" s="23">
        <v>0.05</v>
      </c>
      <c r="T103" s="21">
        <f t="shared" si="51"/>
        <v>-3.4621666666666672E-3</v>
      </c>
      <c r="U103" s="22">
        <v>0.08</v>
      </c>
      <c r="V103" s="20">
        <f t="shared" si="52"/>
        <v>8.3462166666666668</v>
      </c>
      <c r="W103" s="15">
        <v>15</v>
      </c>
      <c r="X103" s="15">
        <v>20</v>
      </c>
      <c r="Y103" s="15">
        <v>25</v>
      </c>
      <c r="Z103" s="18">
        <f t="shared" si="53"/>
        <v>-0.34621666666666673</v>
      </c>
      <c r="AA103" s="18">
        <f t="shared" si="54"/>
        <v>8</v>
      </c>
      <c r="AB103" s="18">
        <f t="shared" si="55"/>
        <v>8.3462166666666668</v>
      </c>
      <c r="AE103" s="44" cm="1">
        <f t="array" ref="AE103">_xll.BDH("COMXGOLD Comdty","PX_Last", N103)</f>
        <v>22340997.250999998</v>
      </c>
      <c r="AF103" s="15" t="str" cm="1">
        <f t="array" ref="AF103">_xll.BDS("GCA Comdty","FUT_CHAIN", "CHAIN_DATE",A103,"endrow=1")</f>
        <v>GCK23 Comdty</v>
      </c>
      <c r="AG103" s="44" cm="1">
        <f t="array" ref="AG103">_xll.BDH(AF103,"FUT_AGGTE_OPEN_INT",A103)</f>
        <v>475737</v>
      </c>
      <c r="AH103" s="44">
        <f t="shared" si="42"/>
        <v>47573700</v>
      </c>
      <c r="AI103" s="48">
        <f t="shared" si="43"/>
        <v>0.46960815011235196</v>
      </c>
      <c r="AJ103" s="45"/>
      <c r="AK103" s="44" cm="1">
        <f t="array" ref="AK103">_xll.BDH("COMXSILV Comdty","PX_Last", N103)</f>
        <v>271314.09000000003</v>
      </c>
      <c r="AL103" s="15" t="str" cm="1">
        <f t="array" ref="AL103">_xll.BDS("SIA Comdty","FUT_CHAIN", "CHAIN_DATE",A103,"endrow=1")</f>
        <v>SIK23 Comdty</v>
      </c>
      <c r="AM103" s="47" cm="1">
        <f t="array" ref="AM103">_xll.BDH(AL103,"FUT_AGGTE_OPEN_INT",A103)</f>
        <v>140794</v>
      </c>
      <c r="AN103" s="45">
        <f t="shared" si="44"/>
        <v>385.40575592709922</v>
      </c>
      <c r="AO103" s="46">
        <f t="shared" si="45"/>
        <v>27131409000.000004</v>
      </c>
      <c r="AP103" s="46">
        <f t="shared" si="46"/>
        <v>703970</v>
      </c>
      <c r="AQ103" s="46"/>
    </row>
    <row r="104" spans="1:43" s="15" customFormat="1" x14ac:dyDescent="0.2">
      <c r="A104" s="24">
        <v>45044</v>
      </c>
      <c r="B104" s="16" cm="1">
        <f t="array" ref="B104">_xll.BADDPERIODS(A104, "PER=WD", "NUMBEROFPERIODS=2", "BUSDAYADJ=-2", "CDR=GQ", "CDR=P9")</f>
        <v>45049</v>
      </c>
      <c r="C104" s="15" cm="1">
        <f t="array" ref="C104">_xll.BDH("XAU Curncy","PX_LAST",A104,A104)</f>
        <v>1990</v>
      </c>
      <c r="D104" s="15" t="str" cm="1">
        <f t="array" ref="D104">_xll.BDP("GCM23 Comdty",$M$32)</f>
        <v>01/06/2023</v>
      </c>
      <c r="E104" s="15">
        <f t="shared" si="47"/>
        <v>29</v>
      </c>
      <c r="F104" s="23">
        <v>5.1499999999999997E-2</v>
      </c>
      <c r="G104" s="17">
        <f t="shared" si="48"/>
        <v>8.2557361111111121</v>
      </c>
      <c r="H104" s="22">
        <v>8.6</v>
      </c>
      <c r="I104" s="19">
        <f t="shared" si="49"/>
        <v>0.34426388888888759</v>
      </c>
      <c r="J104" s="15">
        <v>4</v>
      </c>
      <c r="K104" s="15">
        <v>6</v>
      </c>
      <c r="L104" s="15">
        <v>8</v>
      </c>
      <c r="N104" s="24">
        <v>45044</v>
      </c>
      <c r="O104" s="16" cm="1">
        <f t="array" ref="O104">_xll.BADDPERIODS(N104, "PER=WD", "NUMBEROFPERIODS=2", "BUSDAYADJ=-2", "CDR=GQ", "CDR=P9")</f>
        <v>45049</v>
      </c>
      <c r="P104" s="15" cm="1">
        <f t="array" ref="P104">_xll.BDH("XAG Curncy","PX_LAST",N104,N104)</f>
        <v>25.054500000000001</v>
      </c>
      <c r="Q104" s="15" t="str" cm="1">
        <f t="array" ref="Q104">_xll.BDP("SIN23 Comdty",$M$32)</f>
        <v>03/07/2023</v>
      </c>
      <c r="R104" s="15">
        <f t="shared" ref="R104:R111" si="56">_xlfn.DAYS(Q104,O104)</f>
        <v>61</v>
      </c>
      <c r="S104" s="23">
        <v>0.05</v>
      </c>
      <c r="T104" s="21">
        <f t="shared" ref="T104:T111" si="57">P104*(R104/360)*S104</f>
        <v>0.21226729166666669</v>
      </c>
      <c r="U104" s="22">
        <v>0.25</v>
      </c>
      <c r="V104" s="20">
        <f t="shared" ref="V104:V111" si="58">100*(U104-T104)</f>
        <v>3.7732708333333309</v>
      </c>
      <c r="W104" s="15">
        <v>15</v>
      </c>
      <c r="X104" s="15">
        <v>20</v>
      </c>
      <c r="Y104" s="15">
        <v>25</v>
      </c>
      <c r="Z104" s="18">
        <f t="shared" ref="Z104:Z111" si="59">100*T104</f>
        <v>21.226729166666669</v>
      </c>
      <c r="AA104" s="18">
        <f t="shared" ref="AA104:AA111" si="60">U104*100</f>
        <v>25</v>
      </c>
      <c r="AB104" s="18">
        <f t="shared" ref="AB104:AB111" si="61">V104</f>
        <v>3.7732708333333309</v>
      </c>
      <c r="AE104" s="44" cm="1">
        <f t="array" ref="AE104">_xll.BDH("COMXGOLD Comdty","PX_Last", N104)</f>
        <v>22362216.910999998</v>
      </c>
      <c r="AF104" s="15" t="str" cm="1">
        <f t="array" ref="AF104">_xll.BDS("GCA Comdty","FUT_CHAIN", "CHAIN_DATE",A104,"endrow=1")</f>
        <v>GCK23 Comdty</v>
      </c>
      <c r="AG104" s="44" cm="1">
        <f t="array" ref="AG104">_xll.BDH(AF104,"FUT_AGGTE_OPEN_INT",A104)</f>
        <v>475817</v>
      </c>
      <c r="AH104" s="44">
        <f t="shared" si="42"/>
        <v>47581700</v>
      </c>
      <c r="AI104" s="48">
        <f t="shared" si="43"/>
        <v>0.46997515664635769</v>
      </c>
      <c r="AJ104" s="45"/>
      <c r="AK104" s="44" cm="1">
        <f t="array" ref="AK104">_xll.BDH("COMXSILV Comdty","PX_Last", N104)</f>
        <v>270974.34000000003</v>
      </c>
      <c r="AL104" s="15" t="str" cm="1">
        <f t="array" ref="AL104">_xll.BDS("SIA Comdty","FUT_CHAIN", "CHAIN_DATE",A104,"endrow=1")</f>
        <v>SIK23 Comdty</v>
      </c>
      <c r="AM104" s="47" cm="1">
        <f t="array" ref="AM104">_xll.BDH(AL104,"FUT_AGGTE_OPEN_INT",A104)</f>
        <v>140253</v>
      </c>
      <c r="AN104" s="45">
        <f t="shared" si="44"/>
        <v>386.40790571324681</v>
      </c>
      <c r="AO104" s="46">
        <f t="shared" si="45"/>
        <v>27097434000.000004</v>
      </c>
      <c r="AP104" s="46">
        <f t="shared" si="46"/>
        <v>701265</v>
      </c>
      <c r="AQ104" s="46"/>
    </row>
    <row r="105" spans="1:43" s="15" customFormat="1" x14ac:dyDescent="0.2">
      <c r="A105" s="24">
        <v>45048</v>
      </c>
      <c r="B105" s="16" cm="1">
        <f t="array" ref="B105">_xll.BADDPERIODS(A105, "PER=WD", "NUMBEROFPERIODS=2", "BUSDAYADJ=-2", "CDR=GQ", "CDR=P9")</f>
        <v>45050</v>
      </c>
      <c r="C105" s="15" cm="1">
        <f t="array" ref="C105">_xll.BDH("XAU Curncy","PX_LAST",A105,A105)</f>
        <v>2016.68</v>
      </c>
      <c r="D105" s="15" t="str" cm="1">
        <f t="array" ref="D105">_xll.BDP("GCM23 Comdty",$M$32)</f>
        <v>01/06/2023</v>
      </c>
      <c r="E105" s="15">
        <f t="shared" si="47"/>
        <v>28</v>
      </c>
      <c r="F105" s="23">
        <v>5.2499999999999998E-2</v>
      </c>
      <c r="G105" s="17">
        <f t="shared" si="48"/>
        <v>8.2347766666666669</v>
      </c>
      <c r="H105" s="22">
        <v>8.6</v>
      </c>
      <c r="I105" s="19">
        <f t="shared" si="49"/>
        <v>0.36522333333333279</v>
      </c>
      <c r="J105" s="15">
        <v>4</v>
      </c>
      <c r="K105" s="15">
        <v>6</v>
      </c>
      <c r="L105" s="15">
        <v>8</v>
      </c>
      <c r="N105" s="24">
        <v>45048</v>
      </c>
      <c r="O105" s="16" cm="1">
        <f t="array" ref="O105">_xll.BADDPERIODS(N105, "PER=WD", "NUMBEROFPERIODS=2", "BUSDAYADJ=-2", "CDR=GQ", "CDR=P9")</f>
        <v>45050</v>
      </c>
      <c r="P105" s="15" cm="1">
        <f t="array" ref="P105">_xll.BDH("XAG Curncy","PX_LAST",N105,N105)</f>
        <v>25.371500000000001</v>
      </c>
      <c r="Q105" s="15" t="str" cm="1">
        <f t="array" ref="Q105">_xll.BDP("SIN23 Comdty",$M$32)</f>
        <v>03/07/2023</v>
      </c>
      <c r="R105" s="15">
        <f t="shared" si="56"/>
        <v>60</v>
      </c>
      <c r="S105" s="23">
        <v>0.05</v>
      </c>
      <c r="T105" s="21">
        <f t="shared" si="57"/>
        <v>0.21142916666666667</v>
      </c>
      <c r="U105" s="22">
        <v>0.245</v>
      </c>
      <c r="V105" s="20">
        <f t="shared" si="58"/>
        <v>3.3570833333333328</v>
      </c>
      <c r="W105" s="15">
        <v>15</v>
      </c>
      <c r="X105" s="15">
        <v>20</v>
      </c>
      <c r="Y105" s="15">
        <v>25</v>
      </c>
      <c r="Z105" s="18">
        <f t="shared" si="59"/>
        <v>21.142916666666668</v>
      </c>
      <c r="AA105" s="18">
        <f t="shared" si="60"/>
        <v>24.5</v>
      </c>
      <c r="AB105" s="18">
        <f t="shared" si="61"/>
        <v>3.3570833333333328</v>
      </c>
      <c r="AE105" s="44" cm="1">
        <f t="array" ref="AE105">_xll.BDH("COMXGOLD Comdty","PX_Last", N105)</f>
        <v>22359418.061000001</v>
      </c>
      <c r="AF105" s="15" t="str" cm="1">
        <f t="array" ref="AF105">_xll.BDS("GCA Comdty","FUT_CHAIN", "CHAIN_DATE",A105,"endrow=1")</f>
        <v>GCK23 Comdty</v>
      </c>
      <c r="AG105" s="44" cm="1">
        <f t="array" ref="AG105">_xll.BDH(AF105,"FUT_AGGTE_OPEN_INT",A105)</f>
        <v>493804</v>
      </c>
      <c r="AH105" s="44">
        <f t="shared" si="42"/>
        <v>49380400</v>
      </c>
      <c r="AI105" s="48">
        <f t="shared" si="43"/>
        <v>0.45279945202955019</v>
      </c>
      <c r="AJ105" s="45"/>
      <c r="AK105" s="44" cm="1">
        <f t="array" ref="AK105">_xll.BDH("COMXSILV Comdty","PX_Last", N105)</f>
        <v>270024.75</v>
      </c>
      <c r="AL105" s="15" t="str" cm="1">
        <f t="array" ref="AL105">_xll.BDS("SIA Comdty","FUT_CHAIN", "CHAIN_DATE",A105,"endrow=1")</f>
        <v>SIK23 Comdty</v>
      </c>
      <c r="AM105" s="47" cm="1">
        <f t="array" ref="AM105">_xll.BDH(AL105,"FUT_AGGTE_OPEN_INT",A105)</f>
        <v>142538</v>
      </c>
      <c r="AN105" s="45">
        <f t="shared" si="44"/>
        <v>378.88107031107495</v>
      </c>
      <c r="AO105" s="46">
        <f t="shared" si="45"/>
        <v>27002475000</v>
      </c>
      <c r="AP105" s="46">
        <f t="shared" si="46"/>
        <v>712690</v>
      </c>
      <c r="AQ105" s="46"/>
    </row>
    <row r="106" spans="1:43" s="15" customFormat="1" x14ac:dyDescent="0.2">
      <c r="A106" s="24">
        <v>45049</v>
      </c>
      <c r="B106" s="16" cm="1">
        <f t="array" ref="B106">_xll.BADDPERIODS(A106, "PER=WD", "NUMBEROFPERIODS=2", "BUSDAYADJ=-2", "CDR=GQ", "CDR=P9")</f>
        <v>45051</v>
      </c>
      <c r="C106" s="15" cm="1">
        <f t="array" ref="C106">_xll.BDH("XAU Curncy","PX_LAST",A106,A106)</f>
        <v>2038.97</v>
      </c>
      <c r="D106" s="15" t="str" cm="1">
        <f t="array" ref="D106">_xll.BDP("GCM23 Comdty",$M$32)</f>
        <v>01/06/2023</v>
      </c>
      <c r="E106" s="15">
        <f t="shared" si="47"/>
        <v>27</v>
      </c>
      <c r="F106" s="23">
        <v>5.2499999999999998E-2</v>
      </c>
      <c r="G106" s="17">
        <f t="shared" si="48"/>
        <v>8.0284443749999994</v>
      </c>
      <c r="H106" s="22">
        <v>9.0500000000000007</v>
      </c>
      <c r="I106" s="19">
        <f t="shared" si="49"/>
        <v>1.0215556250000013</v>
      </c>
      <c r="J106" s="15">
        <v>4</v>
      </c>
      <c r="K106" s="15">
        <v>6</v>
      </c>
      <c r="L106" s="15">
        <v>8</v>
      </c>
      <c r="N106" s="24">
        <v>45049</v>
      </c>
      <c r="O106" s="16" cm="1">
        <f t="array" ref="O106">_xll.BADDPERIODS(N106, "PER=WD", "NUMBEROFPERIODS=2", "BUSDAYADJ=-2", "CDR=GQ", "CDR=P9")</f>
        <v>45051</v>
      </c>
      <c r="P106" s="15" cm="1">
        <f t="array" ref="P106">_xll.BDH("XAG Curncy","PX_LAST",N106,N106)</f>
        <v>25.577000000000002</v>
      </c>
      <c r="Q106" s="15" t="str" cm="1">
        <f t="array" ref="Q106">_xll.BDP("SIN23 Comdty",$M$32)</f>
        <v>03/07/2023</v>
      </c>
      <c r="R106" s="15">
        <f t="shared" si="56"/>
        <v>59</v>
      </c>
      <c r="S106" s="23">
        <v>0.05</v>
      </c>
      <c r="T106" s="21">
        <f t="shared" si="57"/>
        <v>0.20958930555555555</v>
      </c>
      <c r="U106" s="22">
        <v>0.28000000000000003</v>
      </c>
      <c r="V106" s="20">
        <f t="shared" si="58"/>
        <v>7.0410694444444477</v>
      </c>
      <c r="W106" s="15">
        <v>15</v>
      </c>
      <c r="X106" s="15">
        <v>20</v>
      </c>
      <c r="Y106" s="15">
        <v>25</v>
      </c>
      <c r="Z106" s="18">
        <f t="shared" si="59"/>
        <v>20.958930555555554</v>
      </c>
      <c r="AA106" s="18">
        <f t="shared" si="60"/>
        <v>28.000000000000004</v>
      </c>
      <c r="AB106" s="18">
        <f t="shared" si="61"/>
        <v>7.0410694444444477</v>
      </c>
      <c r="AE106" s="44" cm="1">
        <f t="array" ref="AE106">_xll.BDH("COMXGOLD Comdty","PX_Last", N106)</f>
        <v>22519465.739</v>
      </c>
      <c r="AF106" s="15" t="str" cm="1">
        <f t="array" ref="AF106">_xll.BDS("GCA Comdty","FUT_CHAIN", "CHAIN_DATE",A106,"endrow=1")</f>
        <v>GCK23 Comdty</v>
      </c>
      <c r="AG106" s="44" cm="1">
        <f t="array" ref="AG106">_xll.BDH(AF106,"FUT_AGGTE_OPEN_INT",A106)</f>
        <v>504204</v>
      </c>
      <c r="AH106" s="44">
        <f t="shared" si="42"/>
        <v>50420400</v>
      </c>
      <c r="AI106" s="48">
        <f t="shared" si="43"/>
        <v>0.44663401597369318</v>
      </c>
      <c r="AJ106" s="45"/>
      <c r="AK106" s="44" cm="1">
        <f t="array" ref="AK106">_xll.BDH("COMXSILV Comdty","PX_Last", N106)</f>
        <v>269687.25</v>
      </c>
      <c r="AL106" s="15" t="str" cm="1">
        <f t="array" ref="AL106">_xll.BDS("SIA Comdty","FUT_CHAIN", "CHAIN_DATE",A106,"endrow=1")</f>
        <v>SIK23 Comdty</v>
      </c>
      <c r="AM106" s="47" cm="1">
        <f t="array" ref="AM106">_xll.BDH(AL106,"FUT_AGGTE_OPEN_INT",A106)</f>
        <v>142490</v>
      </c>
      <c r="AN106" s="45">
        <f t="shared" si="44"/>
        <v>378.53498491122184</v>
      </c>
      <c r="AO106" s="46">
        <f t="shared" si="45"/>
        <v>26968725000</v>
      </c>
      <c r="AP106" s="46">
        <f t="shared" si="46"/>
        <v>712450</v>
      </c>
      <c r="AQ106" s="46"/>
    </row>
    <row r="107" spans="1:43" s="15" customFormat="1" x14ac:dyDescent="0.2">
      <c r="A107" s="24">
        <v>45050</v>
      </c>
      <c r="B107" s="16" cm="1">
        <f t="array" ref="B107">_xll.BADDPERIODS(A107, "PER=WD", "NUMBEROFPERIODS=2", "BUSDAYADJ=-2", "CDR=GQ", "CDR=P9")</f>
        <v>45055</v>
      </c>
      <c r="C107" s="15" cm="1">
        <f t="array" ref="C107">_xll.BDH("XAU Curncy","PX_LAST",A107,A107)</f>
        <v>2050.2800000000002</v>
      </c>
      <c r="D107" s="15" t="str" cm="1">
        <f t="array" ref="D107">_xll.BDP("GCM23 Comdty",$M$32)</f>
        <v>01/06/2023</v>
      </c>
      <c r="E107" s="15">
        <f t="shared" si="47"/>
        <v>23</v>
      </c>
      <c r="F107" s="23">
        <v>5.2499999999999998E-2</v>
      </c>
      <c r="G107" s="17">
        <f t="shared" si="48"/>
        <v>6.8769808333333327</v>
      </c>
      <c r="H107" s="22">
        <v>8.1999999999999993</v>
      </c>
      <c r="I107" s="19">
        <f t="shared" si="49"/>
        <v>1.3230191666666666</v>
      </c>
      <c r="J107" s="15">
        <v>4</v>
      </c>
      <c r="K107" s="15">
        <v>6</v>
      </c>
      <c r="L107" s="15">
        <v>8</v>
      </c>
      <c r="N107" s="24">
        <v>45050</v>
      </c>
      <c r="O107" s="16" cm="1">
        <f t="array" ref="O107">_xll.BADDPERIODS(N107, "PER=WD", "NUMBEROFPERIODS=2", "BUSDAYADJ=-2", "CDR=GQ", "CDR=P9")</f>
        <v>45055</v>
      </c>
      <c r="P107" s="15" cm="1">
        <f t="array" ref="P107">_xll.BDH("XAG Curncy","PX_LAST",N107,N107)</f>
        <v>26.0505</v>
      </c>
      <c r="Q107" s="15" t="str" cm="1">
        <f t="array" ref="Q107">_xll.BDP("SIN23 Comdty",$M$32)</f>
        <v>03/07/2023</v>
      </c>
      <c r="R107" s="15">
        <f t="shared" si="56"/>
        <v>55</v>
      </c>
      <c r="S107" s="23">
        <v>0.05</v>
      </c>
      <c r="T107" s="21">
        <f t="shared" si="57"/>
        <v>0.19899687500000002</v>
      </c>
      <c r="U107" s="22">
        <v>0.28000000000000003</v>
      </c>
      <c r="V107" s="20">
        <f t="shared" si="58"/>
        <v>8.1003125000000011</v>
      </c>
      <c r="W107" s="15">
        <v>15</v>
      </c>
      <c r="X107" s="15">
        <v>20</v>
      </c>
      <c r="Y107" s="15">
        <v>25</v>
      </c>
      <c r="Z107" s="18">
        <f t="shared" si="59"/>
        <v>19.899687500000002</v>
      </c>
      <c r="AA107" s="18">
        <f t="shared" si="60"/>
        <v>28.000000000000004</v>
      </c>
      <c r="AB107" s="18">
        <f t="shared" si="61"/>
        <v>8.1003125000000011</v>
      </c>
      <c r="AE107" s="44" cm="1">
        <f t="array" ref="AE107">_xll.BDH("COMXGOLD Comdty","PX_Last", N107)</f>
        <v>22518887.019000001</v>
      </c>
      <c r="AF107" s="15" t="str" cm="1">
        <f t="array" ref="AF107">_xll.BDS("GCA Comdty","FUT_CHAIN", "CHAIN_DATE",A107,"endrow=1")</f>
        <v>GCK23 Comdty</v>
      </c>
      <c r="AG107" s="44" cm="1">
        <f t="array" ref="AG107">_xll.BDH(AF107,"FUT_AGGTE_OPEN_INT",A107)</f>
        <v>520664</v>
      </c>
      <c r="AH107" s="44">
        <f t="shared" si="42"/>
        <v>52066400</v>
      </c>
      <c r="AI107" s="48">
        <f t="shared" si="43"/>
        <v>0.43250324622021113</v>
      </c>
      <c r="AJ107" s="45"/>
      <c r="AK107" s="44" cm="1">
        <f t="array" ref="AK107">_xll.BDH("COMXSILV Comdty","PX_Last", N107)</f>
        <v>269022.34000000003</v>
      </c>
      <c r="AL107" s="15" t="str" cm="1">
        <f t="array" ref="AL107">_xll.BDS("SIA Comdty","FUT_CHAIN", "CHAIN_DATE",A107,"endrow=1")</f>
        <v>SIK23 Comdty</v>
      </c>
      <c r="AM107" s="47" cm="1">
        <f t="array" ref="AM107">_xll.BDH(AL107,"FUT_AGGTE_OPEN_INT",A107)</f>
        <v>148139</v>
      </c>
      <c r="AN107" s="45">
        <f t="shared" si="44"/>
        <v>363.20258675973241</v>
      </c>
      <c r="AO107" s="46">
        <f t="shared" si="45"/>
        <v>26902234000.000004</v>
      </c>
      <c r="AP107" s="46">
        <f t="shared" si="46"/>
        <v>740695</v>
      </c>
      <c r="AQ107" s="46"/>
    </row>
    <row r="108" spans="1:43" s="15" customFormat="1" x14ac:dyDescent="0.2">
      <c r="A108" s="24">
        <v>45051</v>
      </c>
      <c r="B108" s="16" cm="1">
        <f t="array" ref="B108">_xll.BADDPERIODS(A108, "PER=WD", "NUMBEROFPERIODS=2", "BUSDAYADJ=-2", "CDR=GQ", "CDR=P9")</f>
        <v>45056</v>
      </c>
      <c r="C108" s="15" cm="1">
        <f t="array" ref="C108">_xll.BDH("XAU Curncy","PX_LAST",A108,A108)</f>
        <v>2016.79</v>
      </c>
      <c r="D108" s="15" t="str" cm="1">
        <f t="array" ref="D108">_xll.BDP("GCM23 Comdty",$M$32)</f>
        <v>01/06/2023</v>
      </c>
      <c r="E108" s="15">
        <f t="shared" si="47"/>
        <v>22</v>
      </c>
      <c r="F108" s="23">
        <v>5.2499999999999998E-2</v>
      </c>
      <c r="G108" s="17">
        <f t="shared" si="48"/>
        <v>6.4705345833333325</v>
      </c>
      <c r="H108" s="22">
        <v>8</v>
      </c>
      <c r="I108" s="19">
        <f t="shared" si="49"/>
        <v>1.5294654166666675</v>
      </c>
      <c r="J108" s="15">
        <v>4</v>
      </c>
      <c r="K108" s="15">
        <v>6</v>
      </c>
      <c r="L108" s="15">
        <v>8</v>
      </c>
      <c r="N108" s="24">
        <v>45051</v>
      </c>
      <c r="O108" s="16" cm="1">
        <f t="array" ref="O108">_xll.BADDPERIODS(N108, "PER=WD", "NUMBEROFPERIODS=2", "BUSDAYADJ=-2", "CDR=GQ", "CDR=P9")</f>
        <v>45056</v>
      </c>
      <c r="P108" s="15" cm="1">
        <f t="array" ref="P108">_xll.BDH("XAG Curncy","PX_LAST",N108,N108)</f>
        <v>25.6663</v>
      </c>
      <c r="Q108" s="15" t="str" cm="1">
        <f t="array" ref="Q108">_xll.BDP("SIN23 Comdty",$M$32)</f>
        <v>03/07/2023</v>
      </c>
      <c r="R108" s="15">
        <f t="shared" si="56"/>
        <v>54</v>
      </c>
      <c r="S108" s="23">
        <v>0.05</v>
      </c>
      <c r="T108" s="21">
        <f t="shared" si="57"/>
        <v>0.19249725000000001</v>
      </c>
      <c r="U108" s="22">
        <v>0.28000000000000003</v>
      </c>
      <c r="V108" s="20">
        <f t="shared" si="58"/>
        <v>8.750275000000002</v>
      </c>
      <c r="W108" s="15">
        <v>15</v>
      </c>
      <c r="X108" s="15">
        <v>20</v>
      </c>
      <c r="Y108" s="15">
        <v>25</v>
      </c>
      <c r="Z108" s="18">
        <f t="shared" si="59"/>
        <v>19.249725000000002</v>
      </c>
      <c r="AA108" s="18">
        <f t="shared" si="60"/>
        <v>28.000000000000004</v>
      </c>
      <c r="AB108" s="18">
        <f t="shared" si="61"/>
        <v>8.750275000000002</v>
      </c>
      <c r="AE108" s="44" cm="1">
        <f t="array" ref="AE108">_xll.BDH("COMXGOLD Comdty","PX_Last", N108)</f>
        <v>22509203.896000002</v>
      </c>
      <c r="AF108" s="15" t="str" cm="1">
        <f t="array" ref="AF108">_xll.BDS("GCA Comdty","FUT_CHAIN", "CHAIN_DATE",A108,"endrow=1")</f>
        <v>GCK23 Comdty</v>
      </c>
      <c r="AG108" s="44" cm="1">
        <f t="array" ref="AG108">_xll.BDH(AF108,"FUT_AGGTE_OPEN_INT",A108)</f>
        <v>510576</v>
      </c>
      <c r="AH108" s="44">
        <f t="shared" si="42"/>
        <v>51057600</v>
      </c>
      <c r="AI108" s="48">
        <f t="shared" si="43"/>
        <v>0.44085902776472063</v>
      </c>
      <c r="AJ108" s="45"/>
      <c r="AK108" s="44" cm="1">
        <f t="array" ref="AK108">_xll.BDH("COMXSILV Comdty","PX_Last", N108)</f>
        <v>269484.46999999997</v>
      </c>
      <c r="AL108" s="15" t="str" cm="1">
        <f t="array" ref="AL108">_xll.BDS("SIA Comdty","FUT_CHAIN", "CHAIN_DATE",A108,"endrow=1")</f>
        <v>SIK23 Comdty</v>
      </c>
      <c r="AM108" s="47" cm="1">
        <f t="array" ref="AM108">_xll.BDH(AL108,"FUT_AGGTE_OPEN_INT",A108)</f>
        <v>145543</v>
      </c>
      <c r="AN108" s="45">
        <f t="shared" si="44"/>
        <v>370.31594786420499</v>
      </c>
      <c r="AO108" s="46">
        <f t="shared" si="45"/>
        <v>26948446999.999996</v>
      </c>
      <c r="AP108" s="46">
        <f t="shared" si="46"/>
        <v>727715</v>
      </c>
      <c r="AQ108" s="46"/>
    </row>
    <row r="109" spans="1:43" s="15" customFormat="1" x14ac:dyDescent="0.2">
      <c r="A109" s="24">
        <v>45055</v>
      </c>
      <c r="B109" s="16" cm="1">
        <f t="array" ref="B109">_xll.BADDPERIODS(A109, "PER=WD", "NUMBEROFPERIODS=2", "BUSDAYADJ=-2", "CDR=GQ", "CDR=P9")</f>
        <v>45057</v>
      </c>
      <c r="C109" s="15" cm="1">
        <f t="array" ref="C109">_xll.BDH("XAU Curncy","PX_LAST",A109,A109)</f>
        <v>2034.56</v>
      </c>
      <c r="D109" s="15" t="str" cm="1">
        <f t="array" ref="D109">_xll.BDP("GCM23 Comdty",$M$32)</f>
        <v>01/06/2023</v>
      </c>
      <c r="E109" s="15">
        <f t="shared" si="47"/>
        <v>21</v>
      </c>
      <c r="F109" s="23">
        <v>5.2499999999999998E-2</v>
      </c>
      <c r="G109" s="17">
        <f t="shared" si="48"/>
        <v>6.2308399999999997</v>
      </c>
      <c r="H109" s="22">
        <v>7.1</v>
      </c>
      <c r="I109" s="19">
        <f t="shared" si="49"/>
        <v>0.86915999999999993</v>
      </c>
      <c r="J109" s="15">
        <v>4</v>
      </c>
      <c r="K109" s="15">
        <v>6</v>
      </c>
      <c r="L109" s="15">
        <v>8</v>
      </c>
      <c r="N109" s="24">
        <v>45055</v>
      </c>
      <c r="O109" s="16" cm="1">
        <f t="array" ref="O109">_xll.BADDPERIODS(N109, "PER=WD", "NUMBEROFPERIODS=2", "BUSDAYADJ=-2", "CDR=GQ", "CDR=P9")</f>
        <v>45057</v>
      </c>
      <c r="P109" s="15" cm="1">
        <f t="array" ref="P109">_xll.BDH("XAG Curncy","PX_LAST",N109,N109)</f>
        <v>25.6022</v>
      </c>
      <c r="Q109" s="15" t="str" cm="1">
        <f t="array" ref="Q109">_xll.BDP("SIN23 Comdty",$M$32)</f>
        <v>03/07/2023</v>
      </c>
      <c r="R109" s="15">
        <f t="shared" si="56"/>
        <v>53</v>
      </c>
      <c r="S109" s="23">
        <v>0.05</v>
      </c>
      <c r="T109" s="21">
        <f t="shared" si="57"/>
        <v>0.18846063888888889</v>
      </c>
      <c r="U109" s="22">
        <v>0.255</v>
      </c>
      <c r="V109" s="20">
        <f t="shared" si="58"/>
        <v>6.6539361111111113</v>
      </c>
      <c r="W109" s="15">
        <v>15</v>
      </c>
      <c r="X109" s="15">
        <v>20</v>
      </c>
      <c r="Y109" s="15">
        <v>25</v>
      </c>
      <c r="Z109" s="18">
        <f t="shared" si="59"/>
        <v>18.846063888888889</v>
      </c>
      <c r="AA109" s="18">
        <f t="shared" si="60"/>
        <v>25.5</v>
      </c>
      <c r="AB109" s="18">
        <f t="shared" si="61"/>
        <v>6.6539361111111113</v>
      </c>
      <c r="AE109" s="44" cm="1">
        <f t="array" ref="AE109">_xll.BDH("COMXGOLD Comdty","PX_Last", N109)</f>
        <v>22540551.120999999</v>
      </c>
      <c r="AF109" s="15" t="str" cm="1">
        <f t="array" ref="AF109">_xll.BDS("GCA Comdty","FUT_CHAIN", "CHAIN_DATE",A109,"endrow=1")</f>
        <v>GCK23 Comdty</v>
      </c>
      <c r="AG109" s="44" cm="1">
        <f t="array" ref="AG109">_xll.BDH(AF109,"FUT_AGGTE_OPEN_INT",A109)</f>
        <v>518951</v>
      </c>
      <c r="AH109" s="44">
        <f t="shared" si="42"/>
        <v>51895100</v>
      </c>
      <c r="AI109" s="48">
        <f t="shared" si="43"/>
        <v>0.43434835121234949</v>
      </c>
      <c r="AJ109" s="45"/>
      <c r="AK109" s="44" cm="1">
        <f t="array" ref="AK109">_xll.BDH("COMXSILV Comdty","PX_Last", N109)</f>
        <v>271242.94</v>
      </c>
      <c r="AL109" s="15" t="str" cm="1">
        <f t="array" ref="AL109">_xll.BDS("SIA Comdty","FUT_CHAIN", "CHAIN_DATE",A109,"endrow=1")</f>
        <v>SIK23 Comdty</v>
      </c>
      <c r="AM109" s="47" cm="1">
        <f t="array" ref="AM109">_xll.BDH(AL109,"FUT_AGGTE_OPEN_INT",A109)</f>
        <v>145445</v>
      </c>
      <c r="AN109" s="45">
        <f t="shared" si="44"/>
        <v>372.98351954347004</v>
      </c>
      <c r="AO109" s="46">
        <f t="shared" si="45"/>
        <v>27124294000</v>
      </c>
      <c r="AP109" s="46">
        <f t="shared" si="46"/>
        <v>727225</v>
      </c>
      <c r="AQ109" s="46"/>
    </row>
    <row r="110" spans="1:43" s="15" customFormat="1" x14ac:dyDescent="0.2">
      <c r="A110" s="24">
        <v>45056</v>
      </c>
      <c r="B110" s="16" cm="1">
        <f t="array" ref="B110">_xll.BADDPERIODS(A110, "PER=WD", "NUMBEROFPERIODS=2", "BUSDAYADJ=-2", "CDR=GQ", "CDR=P9")</f>
        <v>45058</v>
      </c>
      <c r="C110" s="15" cm="1">
        <f t="array" ref="C110">_xll.BDH("XAU Curncy","PX_LAST",A110,A110)</f>
        <v>2030.09</v>
      </c>
      <c r="D110" s="15" t="str" cm="1">
        <f t="array" ref="D110">_xll.BDP("GCM23 Comdty",$M$32)</f>
        <v>01/06/2023</v>
      </c>
      <c r="E110" s="15">
        <f t="shared" si="47"/>
        <v>20</v>
      </c>
      <c r="F110" s="23">
        <v>5.2499999999999998E-2</v>
      </c>
      <c r="G110" s="17">
        <f t="shared" si="48"/>
        <v>5.9210958333333323</v>
      </c>
      <c r="H110" s="22">
        <v>6.75</v>
      </c>
      <c r="I110" s="19">
        <f t="shared" si="49"/>
        <v>0.82890416666666766</v>
      </c>
      <c r="J110" s="15">
        <v>4</v>
      </c>
      <c r="K110" s="15">
        <v>6</v>
      </c>
      <c r="L110" s="15">
        <v>8</v>
      </c>
      <c r="N110" s="24">
        <v>45056</v>
      </c>
      <c r="O110" s="16" cm="1">
        <f t="array" ref="O110">_xll.BADDPERIODS(N110, "PER=WD", "NUMBEROFPERIODS=2", "BUSDAYADJ=-2", "CDR=GQ", "CDR=P9")</f>
        <v>45058</v>
      </c>
      <c r="P110" s="15" cm="1">
        <f t="array" ref="P110">_xll.BDH("XAG Curncy","PX_LAST",N110,N110)</f>
        <v>25.402200000000001</v>
      </c>
      <c r="Q110" s="15" t="str" cm="1">
        <f t="array" ref="Q110">_xll.BDP("SIN23 Comdty",$M$32)</f>
        <v>03/07/2023</v>
      </c>
      <c r="R110" s="15">
        <f t="shared" si="56"/>
        <v>52</v>
      </c>
      <c r="S110" s="23">
        <v>0.05</v>
      </c>
      <c r="T110" s="21">
        <f t="shared" si="57"/>
        <v>0.18346033333333334</v>
      </c>
      <c r="U110" s="22">
        <v>0.26500000000000001</v>
      </c>
      <c r="V110" s="20">
        <f t="shared" si="58"/>
        <v>8.1539666666666673</v>
      </c>
      <c r="W110" s="15">
        <v>15</v>
      </c>
      <c r="X110" s="15">
        <v>20</v>
      </c>
      <c r="Y110" s="15">
        <v>25</v>
      </c>
      <c r="Z110" s="18">
        <f t="shared" si="59"/>
        <v>18.346033333333335</v>
      </c>
      <c r="AA110" s="18">
        <f t="shared" si="60"/>
        <v>26.5</v>
      </c>
      <c r="AB110" s="18">
        <f t="shared" si="61"/>
        <v>8.1539666666666673</v>
      </c>
      <c r="AE110" s="44" cm="1">
        <f t="array" ref="AE110">_xll.BDH("COMXGOLD Comdty","PX_Last", N110)</f>
        <v>22595175.670000002</v>
      </c>
      <c r="AF110" s="15" t="str" cm="1">
        <f t="array" ref="AF110">_xll.BDS("GCA Comdty","FUT_CHAIN", "CHAIN_DATE",A110,"endrow=1")</f>
        <v>GCK23 Comdty</v>
      </c>
      <c r="AG110" s="44" cm="1">
        <f t="array" ref="AG110">_xll.BDH(AF110,"FUT_AGGTE_OPEN_INT",A110)</f>
        <v>523668</v>
      </c>
      <c r="AH110" s="44">
        <f t="shared" si="42"/>
        <v>52366800</v>
      </c>
      <c r="AI110" s="48">
        <f t="shared" si="43"/>
        <v>0.43147902239586916</v>
      </c>
      <c r="AJ110" s="45"/>
      <c r="AK110" s="44" cm="1">
        <f t="array" ref="AK110">_xll.BDH("COMXSILV Comdty","PX_Last", N110)</f>
        <v>271022.90999999997</v>
      </c>
      <c r="AL110" s="15" t="str" cm="1">
        <f t="array" ref="AL110">_xll.BDS("SIA Comdty","FUT_CHAIN", "CHAIN_DATE",A110,"endrow=1")</f>
        <v>SIK23 Comdty</v>
      </c>
      <c r="AM110" s="47" cm="1">
        <f t="array" ref="AM110">_xll.BDH(AL110,"FUT_AGGTE_OPEN_INT",A110)</f>
        <v>146796</v>
      </c>
      <c r="AN110" s="45">
        <f t="shared" si="44"/>
        <v>369.25108313578022</v>
      </c>
      <c r="AO110" s="46">
        <f t="shared" si="45"/>
        <v>27102290999.999996</v>
      </c>
      <c r="AP110" s="46">
        <f t="shared" si="46"/>
        <v>733980</v>
      </c>
      <c r="AQ110" s="46"/>
    </row>
    <row r="111" spans="1:43" s="15" customFormat="1" x14ac:dyDescent="0.2">
      <c r="A111" s="24">
        <v>45057</v>
      </c>
      <c r="B111" s="16" cm="1">
        <f t="array" ref="B111">_xll.BADDPERIODS(A111, "PER=WD", "NUMBEROFPERIODS=2", "BUSDAYADJ=-2", "CDR=GQ", "CDR=P9")</f>
        <v>45061</v>
      </c>
      <c r="C111" s="15" cm="1">
        <f t="array" ref="C111">_xll.BDH("XAU Curncy","PX_LAST",A111,A111)</f>
        <v>2015.05</v>
      </c>
      <c r="D111" s="15" t="str" cm="1">
        <f t="array" ref="D111">_xll.BDP("GCM23 Comdty",$M$32)</f>
        <v>01/06/2023</v>
      </c>
      <c r="E111" s="15">
        <f t="shared" si="47"/>
        <v>17</v>
      </c>
      <c r="F111" s="23">
        <v>5.2499999999999998E-2</v>
      </c>
      <c r="G111" s="17">
        <f t="shared" si="48"/>
        <v>4.995644791666666</v>
      </c>
      <c r="H111" s="22">
        <v>5.9</v>
      </c>
      <c r="I111" s="19">
        <f t="shared" si="49"/>
        <v>0.90435520833333438</v>
      </c>
      <c r="J111" s="15">
        <v>4</v>
      </c>
      <c r="K111" s="15">
        <v>6</v>
      </c>
      <c r="L111" s="15">
        <v>8</v>
      </c>
      <c r="N111" s="24">
        <v>45057</v>
      </c>
      <c r="O111" s="16" cm="1">
        <f t="array" ref="O111">_xll.BADDPERIODS(N111, "PER=WD", "NUMBEROFPERIODS=2", "BUSDAYADJ=-2", "CDR=GQ", "CDR=P9")</f>
        <v>45061</v>
      </c>
      <c r="P111" s="15" cm="1">
        <f t="array" ref="P111">_xll.BDH("XAG Curncy","PX_LAST",N111,N111)</f>
        <v>24.183499999999999</v>
      </c>
      <c r="Q111" s="15" t="str" cm="1">
        <f t="array" ref="Q111">_xll.BDP("SIN23 Comdty",$M$32)</f>
        <v>03/07/2023</v>
      </c>
      <c r="R111" s="15">
        <f t="shared" si="56"/>
        <v>49</v>
      </c>
      <c r="S111" s="23">
        <v>5.0999999999999997E-2</v>
      </c>
      <c r="T111" s="21">
        <f t="shared" si="57"/>
        <v>0.16787379583333328</v>
      </c>
      <c r="U111" s="22">
        <v>0.2</v>
      </c>
      <c r="V111" s="20">
        <f t="shared" si="58"/>
        <v>3.212620416666673</v>
      </c>
      <c r="W111" s="15">
        <v>15</v>
      </c>
      <c r="X111" s="15">
        <v>20</v>
      </c>
      <c r="Y111" s="15">
        <v>25</v>
      </c>
      <c r="Z111" s="18">
        <f t="shared" si="59"/>
        <v>16.78737958333333</v>
      </c>
      <c r="AA111" s="18">
        <f t="shared" si="60"/>
        <v>20</v>
      </c>
      <c r="AB111" s="18">
        <f t="shared" si="61"/>
        <v>3.212620416666673</v>
      </c>
      <c r="AE111" s="44" cm="1">
        <f t="array" ref="AE111">_xll.BDH("COMXGOLD Comdty","PX_Last", N111)</f>
        <v>22583086.894000001</v>
      </c>
      <c r="AF111" s="15" t="str" cm="1">
        <f t="array" ref="AF111">_xll.BDS("GCA Comdty","FUT_CHAIN", "CHAIN_DATE",A111,"endrow=1")</f>
        <v>GCK23 Comdty</v>
      </c>
      <c r="AG111" s="44" cm="1">
        <f t="array" ref="AG111">_xll.BDH(AF111,"FUT_AGGTE_OPEN_INT",A111)</f>
        <v>523752</v>
      </c>
      <c r="AH111" s="44">
        <f t="shared" si="42"/>
        <v>52375200</v>
      </c>
      <c r="AI111" s="48">
        <f t="shared" si="43"/>
        <v>0.43117901018039073</v>
      </c>
      <c r="AJ111" s="45"/>
      <c r="AK111" s="44" cm="1">
        <f t="array" ref="AK111">_xll.BDH("COMXSILV Comdty","PX_Last", N111)</f>
        <v>270403.84000000003</v>
      </c>
      <c r="AL111" s="15" t="str" cm="1">
        <f t="array" ref="AL111">_xll.BDS("SIA Comdty","FUT_CHAIN", "CHAIN_DATE",A111,"endrow=1")</f>
        <v>SIK23 Comdty</v>
      </c>
      <c r="AM111" s="47" cm="1">
        <f t="array" ref="AM111">_xll.BDH(AL111,"FUT_AGGTE_OPEN_INT",A111)</f>
        <v>148225</v>
      </c>
      <c r="AN111" s="45">
        <f t="shared" si="44"/>
        <v>364.85591499409691</v>
      </c>
      <c r="AO111" s="46">
        <f t="shared" si="45"/>
        <v>27040384000.000004</v>
      </c>
      <c r="AP111" s="46">
        <f t="shared" si="46"/>
        <v>741125</v>
      </c>
      <c r="AQ111" s="46"/>
    </row>
    <row r="112" spans="1:43" s="15" customFormat="1" x14ac:dyDescent="0.2">
      <c r="A112" s="24">
        <v>45058</v>
      </c>
      <c r="B112" s="16" cm="1">
        <f t="array" ref="B112">_xll.BADDPERIODS(A112, "PER=WD", "NUMBEROFPERIODS=2", "BUSDAYADJ=-2", "CDR=GQ", "CDR=P9")</f>
        <v>45062</v>
      </c>
      <c r="C112" s="15" cm="1">
        <f t="array" ref="C112">_xll.BDH("XAU Curncy","PX_LAST",A112,A112)</f>
        <v>2010.77</v>
      </c>
      <c r="D112" s="15" t="str" cm="1">
        <f t="array" ref="D112">_xll.BDP("GCM23 Comdty",$M$32)</f>
        <v>01/06/2023</v>
      </c>
      <c r="E112" s="15">
        <f t="shared" si="47"/>
        <v>16</v>
      </c>
      <c r="F112" s="23">
        <v>5.1799999999999999E-2</v>
      </c>
      <c r="G112" s="17">
        <f t="shared" si="48"/>
        <v>4.6292393777777781</v>
      </c>
      <c r="H112" s="22">
        <v>5</v>
      </c>
      <c r="I112" s="19">
        <f t="shared" si="49"/>
        <v>0.37076062222222195</v>
      </c>
      <c r="J112" s="15">
        <v>4</v>
      </c>
      <c r="K112" s="15">
        <v>6</v>
      </c>
      <c r="L112" s="15">
        <v>8</v>
      </c>
      <c r="N112" s="24">
        <v>45058</v>
      </c>
      <c r="O112" s="16" cm="1">
        <f t="array" ref="O112">_xll.BADDPERIODS(N112, "PER=WD", "NUMBEROFPERIODS=2", "BUSDAYADJ=-2", "CDR=GQ", "CDR=P9")</f>
        <v>45062</v>
      </c>
      <c r="P112" s="15" cm="1">
        <f t="array" ref="P112">_xll.BDH("XAG Curncy","PX_LAST",N112,N112)</f>
        <v>23.969000000000001</v>
      </c>
      <c r="Q112" s="15" t="str" cm="1">
        <f t="array" ref="Q112">_xll.BDP("SIN23 Comdty",$M$32)</f>
        <v>03/07/2023</v>
      </c>
      <c r="R112" s="15">
        <f t="shared" ref="R112:R120" si="62">_xlfn.DAYS(Q112,O112)</f>
        <v>48</v>
      </c>
      <c r="S112" s="23">
        <v>5.0999999999999997E-2</v>
      </c>
      <c r="T112" s="21">
        <f t="shared" ref="T112:T120" si="63">P112*(R112/360)*S112</f>
        <v>0.1629892</v>
      </c>
      <c r="U112" s="22">
        <v>0.19</v>
      </c>
      <c r="V112" s="20">
        <f t="shared" ref="V112:V120" si="64">100*(U112-T112)</f>
        <v>2.7010800000000001</v>
      </c>
      <c r="W112" s="15">
        <v>15</v>
      </c>
      <c r="X112" s="15">
        <v>20</v>
      </c>
      <c r="Y112" s="15">
        <v>25</v>
      </c>
      <c r="Z112" s="18">
        <f t="shared" ref="Z112:Z120" si="65">100*T112</f>
        <v>16.298919999999999</v>
      </c>
      <c r="AA112" s="18">
        <f t="shared" ref="AA112:AA120" si="66">U112*100</f>
        <v>19</v>
      </c>
      <c r="AB112" s="18">
        <f t="shared" ref="AB112:AB120" si="67">V112</f>
        <v>2.7010800000000001</v>
      </c>
      <c r="AE112" s="44" cm="1">
        <f t="array" ref="AE112">_xll.BDH("COMXGOLD Comdty","PX_Last", N112)</f>
        <v>22593059.375999998</v>
      </c>
      <c r="AF112" s="15" t="str" cm="1">
        <f t="array" ref="AF112">_xll.BDS("GCA Comdty","FUT_CHAIN", "CHAIN_DATE",A112,"endrow=1")</f>
        <v>GCK23 Comdty</v>
      </c>
      <c r="AG112" s="44" cm="1">
        <f t="array" ref="AG112">_xll.BDH(AF112,"FUT_AGGTE_OPEN_INT",A112)</f>
        <v>521605</v>
      </c>
      <c r="AH112" s="44">
        <f t="shared" si="42"/>
        <v>52160500</v>
      </c>
      <c r="AI112" s="48">
        <f t="shared" si="43"/>
        <v>0.43314499239846238</v>
      </c>
      <c r="AJ112" s="45"/>
      <c r="AK112" s="44" cm="1">
        <f t="array" ref="AK112">_xll.BDH("COMXSILV Comdty","PX_Last", N112)</f>
        <v>270359.25</v>
      </c>
      <c r="AL112" s="15" t="str" cm="1">
        <f t="array" ref="AL112">_xll.BDS("SIA Comdty","FUT_CHAIN", "CHAIN_DATE",A112,"endrow=1")</f>
        <v>SIK23 Comdty</v>
      </c>
      <c r="AM112" s="47" cm="1">
        <f t="array" ref="AM112">_xll.BDH(AL112,"FUT_AGGTE_OPEN_INT",A112)</f>
        <v>142934</v>
      </c>
      <c r="AN112" s="45">
        <f t="shared" si="44"/>
        <v>378.29942490939874</v>
      </c>
      <c r="AO112" s="46">
        <f t="shared" si="45"/>
        <v>27035925000</v>
      </c>
      <c r="AP112" s="46">
        <f t="shared" si="46"/>
        <v>714670</v>
      </c>
      <c r="AQ112" s="46"/>
    </row>
    <row r="113" spans="1:43" s="15" customFormat="1" x14ac:dyDescent="0.2">
      <c r="A113" s="24">
        <v>45061</v>
      </c>
      <c r="B113" s="16" cm="1">
        <f t="array" ref="B113">_xll.BADDPERIODS(A113, "PER=WD", "NUMBEROFPERIODS=2", "BUSDAYADJ=-2", "CDR=GQ", "CDR=P9")</f>
        <v>45063</v>
      </c>
      <c r="C113" s="15" cm="1">
        <f t="array" ref="C113">_xll.BDH("XAU Curncy","PX_LAST",A113,A113)</f>
        <v>2016.49</v>
      </c>
      <c r="D113" s="15" t="str" cm="1">
        <f t="array" ref="D113">_xll.BDP("GCM23 Comdty",$M$32)</f>
        <v>01/06/2023</v>
      </c>
      <c r="E113" s="15">
        <f t="shared" si="47"/>
        <v>15</v>
      </c>
      <c r="F113" s="23">
        <v>5.1999999999999998E-2</v>
      </c>
      <c r="G113" s="17">
        <f t="shared" si="48"/>
        <v>4.3690616666666662</v>
      </c>
      <c r="H113" s="22">
        <v>4.5999999999999996</v>
      </c>
      <c r="I113" s="19">
        <f t="shared" si="49"/>
        <v>0.23093833333333347</v>
      </c>
      <c r="J113" s="15">
        <v>4</v>
      </c>
      <c r="K113" s="15">
        <v>6</v>
      </c>
      <c r="L113" s="15">
        <v>8</v>
      </c>
      <c r="N113" s="24">
        <v>45061</v>
      </c>
      <c r="O113" s="16" cm="1">
        <f t="array" ref="O113">_xll.BADDPERIODS(N113, "PER=WD", "NUMBEROFPERIODS=2", "BUSDAYADJ=-2", "CDR=GQ", "CDR=P9")</f>
        <v>45063</v>
      </c>
      <c r="P113" s="15" cm="1">
        <f t="array" ref="P113">_xll.BDH("XAG Curncy","PX_LAST",N113,N113)</f>
        <v>24.0855</v>
      </c>
      <c r="Q113" s="15" t="str" cm="1">
        <f t="array" ref="Q113">_xll.BDP("SIN23 Comdty",$M$32)</f>
        <v>03/07/2023</v>
      </c>
      <c r="R113" s="15">
        <f t="shared" si="62"/>
        <v>47</v>
      </c>
      <c r="S113" s="23">
        <v>5.0999999999999997E-2</v>
      </c>
      <c r="T113" s="21">
        <f t="shared" si="63"/>
        <v>0.16036928749999999</v>
      </c>
      <c r="U113" s="22">
        <v>0.19</v>
      </c>
      <c r="V113" s="20">
        <f t="shared" si="64"/>
        <v>2.9630712500000018</v>
      </c>
      <c r="W113" s="15">
        <v>15</v>
      </c>
      <c r="X113" s="15">
        <v>20</v>
      </c>
      <c r="Y113" s="15">
        <v>25</v>
      </c>
      <c r="Z113" s="18">
        <f t="shared" si="65"/>
        <v>16.036928749999998</v>
      </c>
      <c r="AA113" s="18">
        <f t="shared" si="66"/>
        <v>19</v>
      </c>
      <c r="AB113" s="18">
        <f t="shared" si="67"/>
        <v>2.9630712500000018</v>
      </c>
      <c r="AE113" s="44" cm="1">
        <f t="array" ref="AE113">_xll.BDH("COMXGOLD Comdty","PX_Last", N113)</f>
        <v>22592673.563999999</v>
      </c>
      <c r="AF113" s="15" t="str" cm="1">
        <f t="array" ref="AF113">_xll.BDS("GCA Comdty","FUT_CHAIN", "CHAIN_DATE",A113,"endrow=1")</f>
        <v>GCK23 Comdty</v>
      </c>
      <c r="AG113" s="44" cm="1">
        <f t="array" ref="AG113">_xll.BDH(AF113,"FUT_AGGTE_OPEN_INT",A113)</f>
        <v>536021</v>
      </c>
      <c r="AH113" s="44">
        <f t="shared" si="42"/>
        <v>53602100</v>
      </c>
      <c r="AI113" s="48">
        <f t="shared" si="43"/>
        <v>0.42148859026045621</v>
      </c>
      <c r="AJ113" s="45"/>
      <c r="AK113" s="44" cm="1">
        <f t="array" ref="AK113">_xll.BDH("COMXSILV Comdty","PX_Last", N113)</f>
        <v>271107.13</v>
      </c>
      <c r="AL113" s="15" t="str" cm="1">
        <f t="array" ref="AL113">_xll.BDS("SIA Comdty","FUT_CHAIN", "CHAIN_DATE",A113,"endrow=1")</f>
        <v>SIK23 Comdty</v>
      </c>
      <c r="AM113" s="47" cm="1">
        <f t="array" ref="AM113">_xll.BDH(AL113,"FUT_AGGTE_OPEN_INT",A113)</f>
        <v>141131</v>
      </c>
      <c r="AN113" s="45">
        <f t="shared" si="44"/>
        <v>384.19217606337378</v>
      </c>
      <c r="AO113" s="46">
        <f t="shared" si="45"/>
        <v>27110713000</v>
      </c>
      <c r="AP113" s="46">
        <f t="shared" si="46"/>
        <v>705655</v>
      </c>
      <c r="AQ113" s="46"/>
    </row>
    <row r="114" spans="1:43" s="15" customFormat="1" x14ac:dyDescent="0.2">
      <c r="A114" s="24">
        <v>45062</v>
      </c>
      <c r="B114" s="16" cm="1">
        <f t="array" ref="B114">_xll.BADDPERIODS(A114, "PER=WD", "NUMBEROFPERIODS=2", "BUSDAYADJ=-2", "CDR=GQ", "CDR=P9")</f>
        <v>45064</v>
      </c>
      <c r="C114" s="15" cm="1">
        <f t="array" ref="C114">_xll.BDH("XAU Curncy","PX_LAST",A114,A114)</f>
        <v>1989.17</v>
      </c>
      <c r="D114" s="15" t="str" cm="1">
        <f t="array" ref="D114">_xll.BDP("GCM23 Comdty",$M$32)</f>
        <v>01/06/2023</v>
      </c>
      <c r="E114" s="15">
        <f t="shared" si="47"/>
        <v>14</v>
      </c>
      <c r="F114" s="23">
        <v>5.16E-2</v>
      </c>
      <c r="G114" s="17">
        <f t="shared" si="48"/>
        <v>3.9916011333333339</v>
      </c>
      <c r="H114" s="22">
        <v>4.2</v>
      </c>
      <c r="I114" s="19">
        <f t="shared" si="49"/>
        <v>0.20839886666666629</v>
      </c>
      <c r="J114" s="15">
        <v>4</v>
      </c>
      <c r="K114" s="15">
        <v>6</v>
      </c>
      <c r="L114" s="15">
        <v>8</v>
      </c>
      <c r="N114" s="24">
        <v>45062</v>
      </c>
      <c r="O114" s="16" cm="1">
        <f t="array" ref="O114">_xll.BADDPERIODS(N114, "PER=WD", "NUMBEROFPERIODS=2", "BUSDAYADJ=-2", "CDR=GQ", "CDR=P9")</f>
        <v>45064</v>
      </c>
      <c r="P114" s="15" cm="1">
        <f t="array" ref="P114">_xll.BDH("XAG Curncy","PX_LAST",N114,N114)</f>
        <v>23.749099999999999</v>
      </c>
      <c r="Q114" s="15" t="str" cm="1">
        <f t="array" ref="Q114">_xll.BDP("SIN23 Comdty",$M$32)</f>
        <v>03/07/2023</v>
      </c>
      <c r="R114" s="15">
        <f t="shared" si="62"/>
        <v>46</v>
      </c>
      <c r="S114" s="23">
        <v>0.05</v>
      </c>
      <c r="T114" s="21">
        <f t="shared" si="63"/>
        <v>0.1517303611111111</v>
      </c>
      <c r="U114" s="22">
        <v>0.17</v>
      </c>
      <c r="V114" s="20">
        <f t="shared" si="64"/>
        <v>1.8269638888888911</v>
      </c>
      <c r="W114" s="15">
        <v>15</v>
      </c>
      <c r="X114" s="15">
        <v>20</v>
      </c>
      <c r="Y114" s="15">
        <v>25</v>
      </c>
      <c r="Z114" s="18">
        <f t="shared" si="65"/>
        <v>15.173036111111109</v>
      </c>
      <c r="AA114" s="18">
        <f t="shared" si="66"/>
        <v>17</v>
      </c>
      <c r="AB114" s="18">
        <f t="shared" si="67"/>
        <v>1.8269638888888911</v>
      </c>
      <c r="AE114" s="44" cm="1">
        <f t="array" ref="AE114">_xll.BDH("COMXGOLD Comdty","PX_Last", N114)</f>
        <v>22592641.412999999</v>
      </c>
      <c r="AF114" s="15" t="str" cm="1">
        <f t="array" ref="AF114">_xll.BDS("GCA Comdty","FUT_CHAIN", "CHAIN_DATE",A114,"endrow=1")</f>
        <v>GCK23 Comdty</v>
      </c>
      <c r="AG114" s="44" cm="1">
        <f t="array" ref="AG114">_xll.BDH(AF114,"FUT_AGGTE_OPEN_INT",A114)</f>
        <v>521832</v>
      </c>
      <c r="AH114" s="44">
        <f t="shared" si="42"/>
        <v>52183200</v>
      </c>
      <c r="AI114" s="48">
        <f t="shared" si="43"/>
        <v>0.43294856223842154</v>
      </c>
      <c r="AJ114" s="45"/>
      <c r="AK114" s="44" cm="1">
        <f t="array" ref="AK114">_xll.BDH("COMXSILV Comdty","PX_Last", N114)</f>
        <v>271480.71999999997</v>
      </c>
      <c r="AL114" s="15" t="str" cm="1">
        <f t="array" ref="AL114">_xll.BDS("SIA Comdty","FUT_CHAIN", "CHAIN_DATE",A114,"endrow=1")</f>
        <v>SIK23 Comdty</v>
      </c>
      <c r="AM114" s="47" cm="1">
        <f t="array" ref="AM114">_xll.BDH(AL114,"FUT_AGGTE_OPEN_INT",A114)</f>
        <v>140139</v>
      </c>
      <c r="AN114" s="45">
        <f t="shared" si="44"/>
        <v>387.4449225411912</v>
      </c>
      <c r="AO114" s="46">
        <f t="shared" si="45"/>
        <v>27148071999.999996</v>
      </c>
      <c r="AP114" s="46">
        <f t="shared" si="46"/>
        <v>700695</v>
      </c>
      <c r="AQ114" s="46"/>
    </row>
    <row r="115" spans="1:43" s="15" customFormat="1" x14ac:dyDescent="0.2">
      <c r="A115" s="24">
        <v>45063</v>
      </c>
      <c r="B115" s="16" cm="1">
        <f t="array" ref="B115">_xll.BADDPERIODS(A115, "PER=WD", "NUMBEROFPERIODS=2", "BUSDAYADJ=-2", "CDR=GQ", "CDR=P9")</f>
        <v>45065</v>
      </c>
      <c r="C115" s="15" cm="1">
        <f t="array" ref="C115">_xll.BDH("XAU Curncy","PX_LAST",A115,A115)</f>
        <v>1981.84</v>
      </c>
      <c r="D115" s="15" t="str" cm="1">
        <f t="array" ref="D115">_xll.BDP("GCM23 Comdty",$M$32)</f>
        <v>01/06/2023</v>
      </c>
      <c r="E115" s="15">
        <f t="shared" si="47"/>
        <v>13</v>
      </c>
      <c r="F115" s="23">
        <v>5.16E-2</v>
      </c>
      <c r="G115" s="17">
        <f t="shared" si="48"/>
        <v>3.6928285333333326</v>
      </c>
      <c r="H115" s="22">
        <v>3.7</v>
      </c>
      <c r="I115" s="19">
        <f t="shared" si="49"/>
        <v>7.1714666666675697E-3</v>
      </c>
      <c r="J115" s="15">
        <v>4</v>
      </c>
      <c r="K115" s="15">
        <v>6</v>
      </c>
      <c r="L115" s="15">
        <v>8</v>
      </c>
      <c r="N115" s="24">
        <v>45063</v>
      </c>
      <c r="O115" s="16" cm="1">
        <f t="array" ref="O115">_xll.BADDPERIODS(N115, "PER=WD", "NUMBEROFPERIODS=2", "BUSDAYADJ=-2", "CDR=GQ", "CDR=P9")</f>
        <v>45065</v>
      </c>
      <c r="P115" s="15" cm="1">
        <f t="array" ref="P115">_xll.BDH("XAG Curncy","PX_LAST",N115,N115)</f>
        <v>23.750499999999999</v>
      </c>
      <c r="Q115" s="15" t="str" cm="1">
        <f t="array" ref="Q115">_xll.BDP("SIN23 Comdty",$M$32)</f>
        <v>03/07/2023</v>
      </c>
      <c r="R115" s="15">
        <f t="shared" si="62"/>
        <v>45</v>
      </c>
      <c r="S115" s="23">
        <v>0.05</v>
      </c>
      <c r="T115" s="21">
        <f t="shared" si="63"/>
        <v>0.14844062499999999</v>
      </c>
      <c r="U115" s="22">
        <v>0.17</v>
      </c>
      <c r="V115" s="20">
        <f t="shared" si="64"/>
        <v>2.1559375000000021</v>
      </c>
      <c r="W115" s="15">
        <v>15</v>
      </c>
      <c r="X115" s="15">
        <v>20</v>
      </c>
      <c r="Y115" s="15">
        <v>25</v>
      </c>
      <c r="Z115" s="18">
        <f t="shared" si="65"/>
        <v>14.8440625</v>
      </c>
      <c r="AA115" s="18">
        <f t="shared" si="66"/>
        <v>17</v>
      </c>
      <c r="AB115" s="18">
        <f t="shared" si="67"/>
        <v>2.1559375000000021</v>
      </c>
      <c r="AE115" s="44" cm="1">
        <f t="array" ref="AE115">_xll.BDH("COMXGOLD Comdty","PX_Last", N115)</f>
        <v>22592641.412999999</v>
      </c>
      <c r="AF115" s="15" t="str" cm="1">
        <f t="array" ref="AF115">_xll.BDS("GCA Comdty","FUT_CHAIN", "CHAIN_DATE",A115,"endrow=1")</f>
        <v>GCK23 Comdty</v>
      </c>
      <c r="AG115" s="44" cm="1">
        <f t="array" ref="AG115">_xll.BDH(AF115,"FUT_AGGTE_OPEN_INT",A115)</f>
        <v>499256</v>
      </c>
      <c r="AH115" s="44">
        <f t="shared" si="42"/>
        <v>49925600</v>
      </c>
      <c r="AI115" s="48">
        <f t="shared" si="43"/>
        <v>0.45252618722659316</v>
      </c>
      <c r="AJ115" s="45"/>
      <c r="AK115" s="44" cm="1">
        <f t="array" ref="AK115">_xll.BDH("COMXSILV Comdty","PX_Last", N115)</f>
        <v>271911.69</v>
      </c>
      <c r="AL115" s="15" t="str" cm="1">
        <f t="array" ref="AL115">_xll.BDS("SIA Comdty","FUT_CHAIN", "CHAIN_DATE",A115,"endrow=1")</f>
        <v>SIK23 Comdty</v>
      </c>
      <c r="AM115" s="47" cm="1">
        <f t="array" ref="AM115">_xll.BDH(AL115,"FUT_AGGTE_OPEN_INT",A115)</f>
        <v>139304</v>
      </c>
      <c r="AN115" s="45">
        <f t="shared" si="44"/>
        <v>390.38604778039394</v>
      </c>
      <c r="AO115" s="46">
        <f t="shared" si="45"/>
        <v>27191169000</v>
      </c>
      <c r="AP115" s="46">
        <f t="shared" si="46"/>
        <v>696520</v>
      </c>
      <c r="AQ115" s="46"/>
    </row>
    <row r="116" spans="1:43" s="15" customFormat="1" x14ac:dyDescent="0.2">
      <c r="A116" s="24">
        <v>45064</v>
      </c>
      <c r="B116" s="16" cm="1">
        <f t="array" ref="B116">_xll.BADDPERIODS(A116, "PER=WD", "NUMBEROFPERIODS=2", "BUSDAYADJ=-2", "CDR=GQ", "CDR=P9")</f>
        <v>45068</v>
      </c>
      <c r="C116" s="15" cm="1">
        <f t="array" ref="C116">_xll.BDH("XAU Curncy","PX_LAST",A116,A116)</f>
        <v>1957.55</v>
      </c>
      <c r="D116" s="15" t="str" cm="1">
        <f t="array" ref="D116">_xll.BDP("GCM23 Comdty",$M$32)</f>
        <v>01/06/2023</v>
      </c>
      <c r="E116" s="15">
        <f t="shared" si="47"/>
        <v>10</v>
      </c>
      <c r="F116" s="23">
        <v>5.16E-2</v>
      </c>
      <c r="G116" s="17">
        <f t="shared" si="48"/>
        <v>2.8058216666666662</v>
      </c>
      <c r="H116" s="22">
        <v>2.5</v>
      </c>
      <c r="I116" s="19">
        <f t="shared" si="49"/>
        <v>-0.30582166666666621</v>
      </c>
      <c r="J116" s="15">
        <v>4</v>
      </c>
      <c r="K116" s="15">
        <v>6</v>
      </c>
      <c r="L116" s="15">
        <v>8</v>
      </c>
      <c r="N116" s="24">
        <v>45064</v>
      </c>
      <c r="O116" s="16" cm="1">
        <f t="array" ref="O116">_xll.BADDPERIODS(N116, "PER=WD", "NUMBEROFPERIODS=2", "BUSDAYADJ=-2", "CDR=GQ", "CDR=P9")</f>
        <v>45068</v>
      </c>
      <c r="P116" s="15" cm="1">
        <f t="array" ref="P116">_xll.BDH("XAG Curncy","PX_LAST",N116,N116)</f>
        <v>23.4925</v>
      </c>
      <c r="Q116" s="15" t="str" cm="1">
        <f t="array" ref="Q116">_xll.BDP("SIN23 Comdty",$M$32)</f>
        <v>03/07/2023</v>
      </c>
      <c r="R116" s="15">
        <f t="shared" si="62"/>
        <v>42</v>
      </c>
      <c r="S116" s="23">
        <v>0.05</v>
      </c>
      <c r="T116" s="21">
        <f t="shared" si="63"/>
        <v>0.13703958333333333</v>
      </c>
      <c r="U116" s="22">
        <v>0.16500000000000001</v>
      </c>
      <c r="V116" s="20">
        <f t="shared" si="64"/>
        <v>2.7960416666666683</v>
      </c>
      <c r="W116" s="15">
        <v>15</v>
      </c>
      <c r="X116" s="15">
        <v>20</v>
      </c>
      <c r="Y116" s="15">
        <v>25</v>
      </c>
      <c r="Z116" s="18">
        <f t="shared" si="65"/>
        <v>13.703958333333333</v>
      </c>
      <c r="AA116" s="18">
        <f t="shared" si="66"/>
        <v>16.5</v>
      </c>
      <c r="AB116" s="18">
        <f t="shared" si="67"/>
        <v>2.7960416666666683</v>
      </c>
      <c r="AE116" s="44" cm="1">
        <f t="array" ref="AE116">_xll.BDH("COMXGOLD Comdty","PX_Last", N116)</f>
        <v>22592641.412999999</v>
      </c>
      <c r="AF116" s="15" t="str" cm="1">
        <f t="array" ref="AF116">_xll.BDS("GCA Comdty","FUT_CHAIN", "CHAIN_DATE",A116,"endrow=1")</f>
        <v>GCK23 Comdty</v>
      </c>
      <c r="AG116" s="44" cm="1">
        <f t="array" ref="AG116">_xll.BDH(AF116,"FUT_AGGTE_OPEN_INT",A116)</f>
        <v>487911</v>
      </c>
      <c r="AH116" s="44">
        <f t="shared" si="42"/>
        <v>48791100</v>
      </c>
      <c r="AI116" s="48">
        <f t="shared" si="43"/>
        <v>0.46304841278429876</v>
      </c>
      <c r="AJ116" s="45"/>
      <c r="AK116" s="44" cm="1">
        <f t="array" ref="AK116">_xll.BDH("COMXSILV Comdty","PX_Last", N116)</f>
        <v>274121</v>
      </c>
      <c r="AL116" s="15" t="str" cm="1">
        <f t="array" ref="AL116">_xll.BDS("SIA Comdty","FUT_CHAIN", "CHAIN_DATE",A116,"endrow=1")</f>
        <v>SIK23 Comdty</v>
      </c>
      <c r="AM116" s="47" cm="1">
        <f t="array" ref="AM116">_xll.BDH(AL116,"FUT_AGGTE_OPEN_INT",A116)</f>
        <v>138674</v>
      </c>
      <c r="AN116" s="45">
        <f t="shared" si="44"/>
        <v>395.34591920619584</v>
      </c>
      <c r="AO116" s="46">
        <f t="shared" si="45"/>
        <v>27412100000</v>
      </c>
      <c r="AP116" s="46">
        <f t="shared" si="46"/>
        <v>693370</v>
      </c>
      <c r="AQ116" s="46"/>
    </row>
    <row r="117" spans="1:43" s="15" customFormat="1" x14ac:dyDescent="0.2">
      <c r="A117" s="24">
        <v>45065</v>
      </c>
      <c r="B117" s="16" cm="1">
        <f t="array" ref="B117">_xll.BADDPERIODS(A117, "PER=WD", "NUMBEROFPERIODS=2", "BUSDAYADJ=-2", "CDR=GQ", "CDR=P9")</f>
        <v>45069</v>
      </c>
      <c r="C117" s="15" cm="1">
        <f t="array" ref="C117">_xll.BDH("XAU Curncy","PX_LAST",A117,A117)</f>
        <v>1977.81</v>
      </c>
      <c r="D117" s="15" t="str" cm="1">
        <f t="array" ref="D117">_xll.BDP("GCM23 Comdty",$M$32)</f>
        <v>01/06/2023</v>
      </c>
      <c r="E117" s="15">
        <f t="shared" si="47"/>
        <v>9</v>
      </c>
      <c r="F117" s="23">
        <v>5.1400000000000001E-2</v>
      </c>
      <c r="G117" s="17">
        <f t="shared" si="48"/>
        <v>2.5414858499999999</v>
      </c>
      <c r="H117" s="22">
        <v>2.25</v>
      </c>
      <c r="I117" s="19">
        <f t="shared" si="49"/>
        <v>-0.29148584999999994</v>
      </c>
      <c r="J117" s="15">
        <v>4</v>
      </c>
      <c r="K117" s="15">
        <v>6</v>
      </c>
      <c r="L117" s="15">
        <v>8</v>
      </c>
      <c r="N117" s="24">
        <v>45065</v>
      </c>
      <c r="O117" s="16" cm="1">
        <f t="array" ref="O117">_xll.BADDPERIODS(N117, "PER=WD", "NUMBEROFPERIODS=2", "BUSDAYADJ=-2", "CDR=GQ", "CDR=P9")</f>
        <v>45069</v>
      </c>
      <c r="P117" s="15" cm="1">
        <f t="array" ref="P117">_xll.BDH("XAG Curncy","PX_LAST",N117,N117)</f>
        <v>23.852499999999999</v>
      </c>
      <c r="Q117" s="15" t="str" cm="1">
        <f t="array" ref="Q117">_xll.BDP("SIN23 Comdty",$M$32)</f>
        <v>03/07/2023</v>
      </c>
      <c r="R117" s="15">
        <f t="shared" si="62"/>
        <v>41</v>
      </c>
      <c r="S117" s="23">
        <v>0.05</v>
      </c>
      <c r="T117" s="21">
        <f t="shared" si="63"/>
        <v>0.13582673611111112</v>
      </c>
      <c r="U117" s="22">
        <v>0.155</v>
      </c>
      <c r="V117" s="20">
        <f t="shared" si="64"/>
        <v>1.9173263888888874</v>
      </c>
      <c r="W117" s="15">
        <v>15</v>
      </c>
      <c r="X117" s="15">
        <v>20</v>
      </c>
      <c r="Y117" s="15">
        <v>25</v>
      </c>
      <c r="Z117" s="18">
        <f t="shared" si="65"/>
        <v>13.582673611111112</v>
      </c>
      <c r="AA117" s="18">
        <f t="shared" si="66"/>
        <v>15.5</v>
      </c>
      <c r="AB117" s="18">
        <f t="shared" si="67"/>
        <v>1.9173263888888874</v>
      </c>
      <c r="AE117" s="44" cm="1">
        <f t="array" ref="AE117">_xll.BDH("COMXGOLD Comdty","PX_Last", N117)</f>
        <v>22580639.230999999</v>
      </c>
      <c r="AF117" s="15" t="str" cm="1">
        <f t="array" ref="AF117">_xll.BDS("GCA Comdty","FUT_CHAIN", "CHAIN_DATE",A117,"endrow=1")</f>
        <v>GCK23 Comdty</v>
      </c>
      <c r="AG117" s="44" cm="1">
        <f t="array" ref="AG117">_xll.BDH(AF117,"FUT_AGGTE_OPEN_INT",A117)</f>
        <v>486697</v>
      </c>
      <c r="AH117" s="44">
        <f t="shared" si="42"/>
        <v>48669700</v>
      </c>
      <c r="AI117" s="48">
        <f t="shared" si="43"/>
        <v>0.46395681976671316</v>
      </c>
      <c r="AJ117" s="45"/>
      <c r="AK117" s="44" cm="1">
        <f t="array" ref="AK117">_xll.BDH("COMXSILV Comdty","PX_Last", N117)</f>
        <v>274195.40999999997</v>
      </c>
      <c r="AL117" s="15" t="str" cm="1">
        <f t="array" ref="AL117">_xll.BDS("SIA Comdty","FUT_CHAIN", "CHAIN_DATE",A117,"endrow=1")</f>
        <v>SIK23 Comdty</v>
      </c>
      <c r="AM117" s="47" cm="1">
        <f t="array" ref="AM117">_xll.BDH(AL117,"FUT_AGGTE_OPEN_INT",A117)</f>
        <v>137716</v>
      </c>
      <c r="AN117" s="45">
        <f t="shared" si="44"/>
        <v>398.20414476168344</v>
      </c>
      <c r="AO117" s="46">
        <f t="shared" si="45"/>
        <v>27419540999.999996</v>
      </c>
      <c r="AP117" s="46">
        <f t="shared" si="46"/>
        <v>688580</v>
      </c>
      <c r="AQ117" s="46"/>
    </row>
    <row r="118" spans="1:43" s="15" customFormat="1" x14ac:dyDescent="0.2">
      <c r="A118" s="24">
        <v>45068</v>
      </c>
      <c r="B118" s="16" cm="1">
        <f t="array" ref="B118">_xll.BADDPERIODS(A118, "PER=WD", "NUMBEROFPERIODS=2", "BUSDAYADJ=-2", "CDR=GQ", "CDR=P9")</f>
        <v>45070</v>
      </c>
      <c r="C118" s="15" cm="1">
        <f t="array" ref="C118">_xll.BDH("XAU Curncy","PX_LAST",A118,A118)</f>
        <v>1971.86</v>
      </c>
      <c r="D118" s="15" t="str" cm="1">
        <f t="array" ref="D118">_xll.BDP("GCM23 Comdty",$M$32)</f>
        <v>01/06/2023</v>
      </c>
      <c r="E118" s="15">
        <f t="shared" si="47"/>
        <v>8</v>
      </c>
      <c r="F118" s="23">
        <v>5.1400000000000001E-2</v>
      </c>
      <c r="G118" s="17">
        <f t="shared" si="48"/>
        <v>2.2523023111111113</v>
      </c>
      <c r="H118" s="22">
        <v>1.9</v>
      </c>
      <c r="I118" s="19">
        <f t="shared" si="49"/>
        <v>-0.35230231111111143</v>
      </c>
      <c r="J118" s="15">
        <v>4</v>
      </c>
      <c r="K118" s="15">
        <v>6</v>
      </c>
      <c r="L118" s="15">
        <v>8</v>
      </c>
      <c r="N118" s="24">
        <v>45068</v>
      </c>
      <c r="O118" s="16" cm="1">
        <f t="array" ref="O118">_xll.BADDPERIODS(N118, "PER=WD", "NUMBEROFPERIODS=2", "BUSDAYADJ=-2", "CDR=GQ", "CDR=P9")</f>
        <v>45070</v>
      </c>
      <c r="P118" s="15" cm="1">
        <f t="array" ref="P118">_xll.BDH("XAG Curncy","PX_LAST",N118,N118)</f>
        <v>23.627500000000001</v>
      </c>
      <c r="Q118" s="15" t="str" cm="1">
        <f t="array" ref="Q118">_xll.BDP("SIN23 Comdty",$M$32)</f>
        <v>03/07/2023</v>
      </c>
      <c r="R118" s="15">
        <f t="shared" si="62"/>
        <v>40</v>
      </c>
      <c r="S118" s="23">
        <v>0.05</v>
      </c>
      <c r="T118" s="21">
        <f t="shared" si="63"/>
        <v>0.1312638888888889</v>
      </c>
      <c r="U118" s="22">
        <v>0.155</v>
      </c>
      <c r="V118" s="20">
        <f t="shared" si="64"/>
        <v>2.3736111111111096</v>
      </c>
      <c r="W118" s="15">
        <v>15</v>
      </c>
      <c r="X118" s="15">
        <v>20</v>
      </c>
      <c r="Y118" s="15">
        <v>25</v>
      </c>
      <c r="Z118" s="18">
        <f t="shared" si="65"/>
        <v>13.12638888888889</v>
      </c>
      <c r="AA118" s="18">
        <f t="shared" si="66"/>
        <v>15.5</v>
      </c>
      <c r="AB118" s="18">
        <f t="shared" si="67"/>
        <v>2.3736111111111096</v>
      </c>
      <c r="AE118" s="44" cm="1">
        <f t="array" ref="AE118">_xll.BDH("COMXGOLD Comdty","PX_Last", N118)</f>
        <v>22580639.230999999</v>
      </c>
      <c r="AF118" s="15" t="str" cm="1">
        <f t="array" ref="AF118">_xll.BDS("GCA Comdty","FUT_CHAIN", "CHAIN_DATE",A118,"endrow=1")</f>
        <v>GCK23 Comdty</v>
      </c>
      <c r="AG118" s="44" cm="1">
        <f t="array" ref="AG118">_xll.BDH(AF118,"FUT_AGGTE_OPEN_INT",A118)</f>
        <v>480505</v>
      </c>
      <c r="AH118" s="44">
        <f t="shared" si="42"/>
        <v>48050500</v>
      </c>
      <c r="AI118" s="48">
        <f t="shared" si="43"/>
        <v>0.46993557259549845</v>
      </c>
      <c r="AJ118" s="45"/>
      <c r="AK118" s="44" cm="1">
        <f t="array" ref="AK118">_xll.BDH("COMXSILV Comdty","PX_Last", N118)</f>
        <v>274397.44</v>
      </c>
      <c r="AL118" s="15" t="str" cm="1">
        <f t="array" ref="AL118">_xll.BDS("SIA Comdty","FUT_CHAIN", "CHAIN_DATE",A118,"endrow=1")</f>
        <v>SIK23 Comdty</v>
      </c>
      <c r="AM118" s="47" cm="1">
        <f t="array" ref="AM118">_xll.BDH(AL118,"FUT_AGGTE_OPEN_INT",A118)</f>
        <v>137678</v>
      </c>
      <c r="AN118" s="45">
        <f t="shared" si="44"/>
        <v>398.6075335202429</v>
      </c>
      <c r="AO118" s="46">
        <f t="shared" si="45"/>
        <v>27439744000</v>
      </c>
      <c r="AP118" s="46">
        <f t="shared" si="46"/>
        <v>688390</v>
      </c>
      <c r="AQ118" s="46"/>
    </row>
    <row r="119" spans="1:43" s="15" customFormat="1" x14ac:dyDescent="0.2">
      <c r="A119" s="24">
        <v>45069</v>
      </c>
      <c r="B119" s="16" cm="1">
        <f t="array" ref="B119">_xll.BADDPERIODS(A119, "PER=WD", "NUMBEROFPERIODS=2", "BUSDAYADJ=-2", "CDR=GQ", "CDR=P9")</f>
        <v>45071</v>
      </c>
      <c r="C119" s="15" cm="1">
        <f t="array" ref="C119">_xll.BDH("XAU Curncy","PX_LAST",A119,A119)</f>
        <v>1975.23</v>
      </c>
      <c r="D119" s="15" t="str" cm="1">
        <f t="array" ref="D119">_xll.BDP("GCM23 Comdty",$M$32)</f>
        <v>01/06/2023</v>
      </c>
      <c r="E119" s="15">
        <f t="shared" si="47"/>
        <v>7</v>
      </c>
      <c r="F119" s="23">
        <v>5.1400000000000001E-2</v>
      </c>
      <c r="G119" s="17">
        <f t="shared" si="48"/>
        <v>1.9741326499999998</v>
      </c>
      <c r="H119" s="22">
        <v>1.85</v>
      </c>
      <c r="I119" s="19">
        <f t="shared" si="49"/>
        <v>-0.12413264999999973</v>
      </c>
      <c r="J119" s="15">
        <v>4</v>
      </c>
      <c r="K119" s="15">
        <v>6</v>
      </c>
      <c r="L119" s="15">
        <v>8</v>
      </c>
      <c r="N119" s="24">
        <v>45069</v>
      </c>
      <c r="O119" s="16" cm="1">
        <f t="array" ref="O119">_xll.BADDPERIODS(N119, "PER=WD", "NUMBEROFPERIODS=2", "BUSDAYADJ=-2", "CDR=GQ", "CDR=P9")</f>
        <v>45071</v>
      </c>
      <c r="P119" s="15" cm="1">
        <f t="array" ref="P119">_xll.BDH("XAG Curncy","PX_LAST",N119,N119)</f>
        <v>23.449100000000001</v>
      </c>
      <c r="Q119" s="15" t="str" cm="1">
        <f t="array" ref="Q119">_xll.BDP("SIN23 Comdty",$M$32)</f>
        <v>03/07/2023</v>
      </c>
      <c r="R119" s="15">
        <f t="shared" si="62"/>
        <v>39</v>
      </c>
      <c r="S119" s="23">
        <v>0.05</v>
      </c>
      <c r="T119" s="21">
        <f t="shared" si="63"/>
        <v>0.12701595833333335</v>
      </c>
      <c r="U119" s="22">
        <v>0.13500000000000001</v>
      </c>
      <c r="V119" s="20">
        <f t="shared" si="64"/>
        <v>0.79840416666666636</v>
      </c>
      <c r="W119" s="15">
        <v>15</v>
      </c>
      <c r="X119" s="15">
        <v>20</v>
      </c>
      <c r="Y119" s="15">
        <v>25</v>
      </c>
      <c r="Z119" s="18">
        <f t="shared" si="65"/>
        <v>12.701595833333334</v>
      </c>
      <c r="AA119" s="18">
        <f t="shared" si="66"/>
        <v>13.5</v>
      </c>
      <c r="AB119" s="18">
        <f t="shared" si="67"/>
        <v>0.79840416666666636</v>
      </c>
      <c r="AE119" s="44" cm="1">
        <f t="array" ref="AE119">_xll.BDH("COMXGOLD Comdty","PX_Last", N119)</f>
        <v>22612690.934</v>
      </c>
      <c r="AF119" s="15" t="str" cm="1">
        <f t="array" ref="AF119">_xll.BDS("GCA Comdty","FUT_CHAIN", "CHAIN_DATE",A119,"endrow=1")</f>
        <v>GCK23 Comdty</v>
      </c>
      <c r="AG119" s="44" cm="1">
        <f t="array" ref="AG119">_xll.BDH(AF119,"FUT_AGGTE_OPEN_INT",A119)</f>
        <v>479080</v>
      </c>
      <c r="AH119" s="44">
        <f t="shared" si="42"/>
        <v>47908000</v>
      </c>
      <c r="AI119" s="48">
        <f t="shared" si="43"/>
        <v>0.47200239905652502</v>
      </c>
      <c r="AJ119" s="45"/>
      <c r="AK119" s="44" cm="1">
        <f t="array" ref="AK119">_xll.BDH("COMXSILV Comdty","PX_Last", N119)</f>
        <v>272502.09000000003</v>
      </c>
      <c r="AL119" s="15" t="str" cm="1">
        <f t="array" ref="AL119">_xll.BDS("SIA Comdty","FUT_CHAIN", "CHAIN_DATE",A119,"endrow=1")</f>
        <v>SIK23 Comdty</v>
      </c>
      <c r="AM119" s="47" cm="1">
        <f t="array" ref="AM119">_xll.BDH(AL119,"FUT_AGGTE_OPEN_INT",A119)</f>
        <v>135740</v>
      </c>
      <c r="AN119" s="45">
        <f t="shared" si="44"/>
        <v>401.50595255635778</v>
      </c>
      <c r="AO119" s="46">
        <f t="shared" si="45"/>
        <v>27250209000.000004</v>
      </c>
      <c r="AP119" s="46">
        <f t="shared" si="46"/>
        <v>678700</v>
      </c>
      <c r="AQ119" s="46"/>
    </row>
    <row r="120" spans="1:43" s="15" customFormat="1" x14ac:dyDescent="0.2">
      <c r="A120" s="24">
        <v>45070</v>
      </c>
      <c r="B120" s="16" cm="1">
        <f t="array" ref="B120">_xll.BADDPERIODS(A120, "PER=WD", "NUMBEROFPERIODS=2", "BUSDAYADJ=-2", "CDR=GQ", "CDR=P9")</f>
        <v>45072</v>
      </c>
      <c r="C120" s="15" cm="1">
        <f t="array" ref="C120">_xll.BDH("XAU Curncy","PX_LAST",A120,A120)</f>
        <v>1957.16</v>
      </c>
      <c r="D120" s="15" t="str" cm="1">
        <f t="array" ref="D120">_xll.BDP("GCM23 Comdty",$M$32)</f>
        <v>01/06/2023</v>
      </c>
      <c r="E120" s="15">
        <f t="shared" si="47"/>
        <v>6</v>
      </c>
      <c r="F120" s="23">
        <v>5.1400000000000001E-2</v>
      </c>
      <c r="G120" s="17">
        <f t="shared" si="48"/>
        <v>1.6766337333333337</v>
      </c>
      <c r="H120" s="22">
        <v>2</v>
      </c>
      <c r="I120" s="19">
        <f t="shared" si="49"/>
        <v>0.32336626666666635</v>
      </c>
      <c r="J120" s="15">
        <v>4</v>
      </c>
      <c r="K120" s="15">
        <v>6</v>
      </c>
      <c r="L120" s="15">
        <v>8</v>
      </c>
      <c r="N120" s="24">
        <v>45070</v>
      </c>
      <c r="O120" s="16" cm="1">
        <f t="array" ref="O120">_xll.BADDPERIODS(N120, "PER=WD", "NUMBEROFPERIODS=2", "BUSDAYADJ=-2", "CDR=GQ", "CDR=P9")</f>
        <v>45072</v>
      </c>
      <c r="P120" s="15" cm="1">
        <f t="array" ref="P120">_xll.BDH("XAG Curncy","PX_LAST",N120,N120)</f>
        <v>23.056000000000001</v>
      </c>
      <c r="Q120" s="15" t="str" cm="1">
        <f t="array" ref="Q120">_xll.BDP("SIN23 Comdty",$M$32)</f>
        <v>03/07/2023</v>
      </c>
      <c r="R120" s="15">
        <f t="shared" si="62"/>
        <v>38</v>
      </c>
      <c r="S120" s="23">
        <v>0.05</v>
      </c>
      <c r="T120" s="21">
        <f t="shared" si="63"/>
        <v>0.12168444444444444</v>
      </c>
      <c r="U120" s="22">
        <v>0.13125000000000001</v>
      </c>
      <c r="V120" s="20">
        <f t="shared" si="64"/>
        <v>0.95655555555555627</v>
      </c>
      <c r="W120" s="15">
        <v>15</v>
      </c>
      <c r="X120" s="15">
        <v>20</v>
      </c>
      <c r="Y120" s="15">
        <v>25</v>
      </c>
      <c r="Z120" s="18">
        <f t="shared" si="65"/>
        <v>12.168444444444445</v>
      </c>
      <c r="AA120" s="18">
        <f t="shared" si="66"/>
        <v>13.125</v>
      </c>
      <c r="AB120" s="18">
        <f t="shared" si="67"/>
        <v>0.95655555555555627</v>
      </c>
      <c r="AE120" s="44" cm="1">
        <f t="array" ref="AE120">_xll.BDH("COMXGOLD Comdty","PX_Last", N120)</f>
        <v>22612305.124000002</v>
      </c>
      <c r="AF120" s="15" t="str" cm="1">
        <f t="array" ref="AF120">_xll.BDS("GCA Comdty","FUT_CHAIN", "CHAIN_DATE",A120,"endrow=1")</f>
        <v>GCK23 Comdty</v>
      </c>
      <c r="AG120" s="44" cm="1">
        <f t="array" ref="AG120">_xll.BDH(AF120,"FUT_AGGTE_OPEN_INT",A120)</f>
        <v>477002</v>
      </c>
      <c r="AH120" s="44">
        <f t="shared" si="42"/>
        <v>47700200</v>
      </c>
      <c r="AI120" s="48">
        <f t="shared" si="43"/>
        <v>0.47405053068959885</v>
      </c>
      <c r="AJ120" s="45"/>
      <c r="AK120" s="44" cm="1">
        <f t="array" ref="AK120">_xll.BDH("COMXSILV Comdty","PX_Last", N120)</f>
        <v>272161.13</v>
      </c>
      <c r="AL120" s="15" t="str" cm="1">
        <f t="array" ref="AL120">_xll.BDS("SIA Comdty","FUT_CHAIN", "CHAIN_DATE",A120,"endrow=1")</f>
        <v>SIK23 Comdty</v>
      </c>
      <c r="AM120" s="47" cm="1">
        <f t="array" ref="AM120">_xll.BDH(AL120,"FUT_AGGTE_OPEN_INT",A120)</f>
        <v>135658</v>
      </c>
      <c r="AN120" s="45">
        <f t="shared" si="44"/>
        <v>401.24597148712201</v>
      </c>
      <c r="AO120" s="46">
        <f t="shared" si="45"/>
        <v>27216113000</v>
      </c>
      <c r="AP120" s="46">
        <f t="shared" si="46"/>
        <v>678290</v>
      </c>
      <c r="AQ120" s="46"/>
    </row>
    <row r="121" spans="1:43" s="15" customFormat="1" x14ac:dyDescent="0.2">
      <c r="A121" s="24">
        <v>45071</v>
      </c>
      <c r="B121" s="16" cm="1">
        <f t="array" ref="B121">_xll.BADDPERIODS(A121, "PER=WD", "NUMBEROFPERIODS=2", "BUSDAYADJ=-2", "CDR=GQ", "CDR=P9")</f>
        <v>45076</v>
      </c>
      <c r="C121" s="15" cm="1">
        <f t="array" ref="C121">_xll.BDH("XAU Curncy","PX_LAST",A121,A121)</f>
        <v>1941.41</v>
      </c>
      <c r="D121" s="15" t="str" cm="1">
        <f t="array" ref="D121">_xll.BDP("GCM23 Comdty",$M$32)</f>
        <v>01/06/2023</v>
      </c>
      <c r="E121" s="15">
        <f t="shared" si="47"/>
        <v>2</v>
      </c>
      <c r="F121" s="23">
        <v>5.1400000000000001E-2</v>
      </c>
      <c r="G121" s="17">
        <f t="shared" si="48"/>
        <v>0.55438041111111125</v>
      </c>
      <c r="H121" s="22">
        <v>0.67500000000000004</v>
      </c>
      <c r="I121" s="19">
        <f t="shared" si="49"/>
        <v>0.1206195888888888</v>
      </c>
      <c r="J121" s="15">
        <v>4</v>
      </c>
      <c r="K121" s="15">
        <v>6</v>
      </c>
      <c r="L121" s="15">
        <v>8</v>
      </c>
      <c r="N121" s="24">
        <v>45071</v>
      </c>
      <c r="O121" s="16" cm="1">
        <f t="array" ref="O121">_xll.BADDPERIODS(N121, "PER=WD", "NUMBEROFPERIODS=2", "BUSDAYADJ=-2", "CDR=GQ", "CDR=P9")</f>
        <v>45076</v>
      </c>
      <c r="P121" s="15" cm="1">
        <f t="array" ref="P121">_xll.BDH("XAG Curncy","PX_LAST",N121,N121)</f>
        <v>22.740500000000001</v>
      </c>
      <c r="Q121" s="15" t="str" cm="1">
        <f t="array" ref="Q121">_xll.BDP("SIN23 Comdty",$M$32)</f>
        <v>03/07/2023</v>
      </c>
      <c r="R121" s="15">
        <f t="shared" ref="R121:R126" si="68">_xlfn.DAYS(Q121,O121)</f>
        <v>34</v>
      </c>
      <c r="S121" s="23">
        <v>0.05</v>
      </c>
      <c r="T121" s="21">
        <f t="shared" ref="T121:T126" si="69">P121*(R121/360)*S121</f>
        <v>0.10738569444444444</v>
      </c>
      <c r="U121" s="22">
        <v>0.11375</v>
      </c>
      <c r="V121" s="20">
        <f t="shared" ref="V121:V126" si="70">100*(U121-T121)</f>
        <v>0.63643055555555605</v>
      </c>
      <c r="W121" s="15">
        <v>15</v>
      </c>
      <c r="X121" s="15">
        <v>20</v>
      </c>
      <c r="Y121" s="15">
        <v>25</v>
      </c>
      <c r="Z121" s="18">
        <f t="shared" ref="Z121:Z126" si="71">100*T121</f>
        <v>10.738569444444444</v>
      </c>
      <c r="AA121" s="18">
        <f t="shared" ref="AA121:AA126" si="72">U121*100</f>
        <v>11.375</v>
      </c>
      <c r="AB121" s="18">
        <f t="shared" ref="AB121:AB126" si="73">V121</f>
        <v>0.63643055555555605</v>
      </c>
      <c r="AE121" s="44" cm="1">
        <f t="array" ref="AE121">_xll.BDH("COMXGOLD Comdty","PX_Last", N121)</f>
        <v>22843438.662999999</v>
      </c>
      <c r="AF121" s="15" t="str" cm="1">
        <f t="array" ref="AF121">_xll.BDS("GCA Comdty","FUT_CHAIN", "CHAIN_DATE",A121,"endrow=1")</f>
        <v>GCK23 Comdty</v>
      </c>
      <c r="AG121" s="44" cm="1">
        <f t="array" ref="AG121">_xll.BDH(AF121,"FUT_AGGTE_OPEN_INT",A121)</f>
        <v>466116</v>
      </c>
      <c r="AH121" s="44">
        <f t="shared" si="42"/>
        <v>46611600</v>
      </c>
      <c r="AI121" s="48">
        <f t="shared" si="43"/>
        <v>0.49008055211578233</v>
      </c>
      <c r="AJ121" s="45"/>
      <c r="AK121" s="44" cm="1">
        <f t="array" ref="AK121">_xll.BDH("COMXSILV Comdty","PX_Last", N121)</f>
        <v>271605.90999999997</v>
      </c>
      <c r="AL121" s="15" t="str" cm="1">
        <f t="array" ref="AL121">_xll.BDS("SIA Comdty","FUT_CHAIN", "CHAIN_DATE",A121,"endrow=1")</f>
        <v>SIK23 Comdty</v>
      </c>
      <c r="AM121" s="47" cm="1">
        <f t="array" ref="AM121">_xll.BDH(AL121,"FUT_AGGTE_OPEN_INT",A121)</f>
        <v>136177</v>
      </c>
      <c r="AN121" s="45">
        <f t="shared" si="44"/>
        <v>398.90129757594894</v>
      </c>
      <c r="AO121" s="46">
        <f t="shared" si="45"/>
        <v>27160590999.999996</v>
      </c>
      <c r="AP121" s="46">
        <f t="shared" si="46"/>
        <v>680885</v>
      </c>
      <c r="AQ121" s="46"/>
    </row>
    <row r="122" spans="1:43" s="15" customFormat="1" x14ac:dyDescent="0.2">
      <c r="A122" s="24">
        <v>45072</v>
      </c>
      <c r="B122" s="16" cm="1">
        <f t="array" ref="B122">_xll.BADDPERIODS(A122, "PER=WD", "NUMBEROFPERIODS=2", "BUSDAYADJ=-2", "CDR=GQ", "CDR=P9")</f>
        <v>45077</v>
      </c>
      <c r="C122" s="15" cm="1">
        <f t="array" ref="C122">_xll.BDH("XAU Curncy","PX_LAST",A122,A122)</f>
        <v>1946.46</v>
      </c>
      <c r="D122" s="15" t="str" cm="1">
        <f t="array" ref="D122">_xll.BDP("GCM23 Comdty",$M$32)</f>
        <v>01/06/2023</v>
      </c>
      <c r="E122" s="15">
        <f t="shared" si="47"/>
        <v>1</v>
      </c>
      <c r="F122" s="23">
        <v>5.1400000000000001E-2</v>
      </c>
      <c r="G122" s="17">
        <f t="shared" si="48"/>
        <v>0.2779112333333334</v>
      </c>
      <c r="H122" s="22">
        <v>0</v>
      </c>
      <c r="I122" s="19">
        <f t="shared" si="49"/>
        <v>-0.2779112333333334</v>
      </c>
      <c r="J122" s="15">
        <v>4</v>
      </c>
      <c r="K122" s="15">
        <v>6</v>
      </c>
      <c r="L122" s="15">
        <v>8</v>
      </c>
      <c r="N122" s="24">
        <v>45072</v>
      </c>
      <c r="O122" s="16" cm="1">
        <f t="array" ref="O122">_xll.BADDPERIODS(N122, "PER=WD", "NUMBEROFPERIODS=2", "BUSDAYADJ=-2", "CDR=GQ", "CDR=P9")</f>
        <v>45077</v>
      </c>
      <c r="P122" s="15" cm="1">
        <f t="array" ref="P122">_xll.BDH("XAG Curncy","PX_LAST",N122,N122)</f>
        <v>23.300999999999998</v>
      </c>
      <c r="Q122" s="15" t="str" cm="1">
        <f t="array" ref="Q122">_xll.BDP("SIN23 Comdty",$M$32)</f>
        <v>03/07/2023</v>
      </c>
      <c r="R122" s="15">
        <f t="shared" si="68"/>
        <v>33</v>
      </c>
      <c r="S122" s="23">
        <v>0.05</v>
      </c>
      <c r="T122" s="21">
        <f t="shared" si="69"/>
        <v>0.10679625</v>
      </c>
      <c r="U122" s="22">
        <v>0.11</v>
      </c>
      <c r="V122" s="20">
        <f t="shared" si="70"/>
        <v>0.32037500000000052</v>
      </c>
      <c r="W122" s="15">
        <v>15</v>
      </c>
      <c r="X122" s="15">
        <v>20</v>
      </c>
      <c r="Y122" s="15">
        <v>25</v>
      </c>
      <c r="Z122" s="18">
        <f t="shared" si="71"/>
        <v>10.679625</v>
      </c>
      <c r="AA122" s="18">
        <f t="shared" si="72"/>
        <v>11</v>
      </c>
      <c r="AB122" s="18">
        <f t="shared" si="73"/>
        <v>0.32037500000000052</v>
      </c>
      <c r="AE122" s="44" cm="1">
        <f t="array" ref="AE122">_xll.BDH("COMXGOLD Comdty","PX_Last", N122)</f>
        <v>22871329.416999999</v>
      </c>
      <c r="AF122" s="15" t="str" cm="1">
        <f t="array" ref="AF122">_xll.BDS("GCA Comdty","FUT_CHAIN", "CHAIN_DATE",A122,"endrow=1")</f>
        <v>GCK23 Comdty</v>
      </c>
      <c r="AG122" s="44" cm="1">
        <f t="array" ref="AG122">_xll.BDH(AF122,"FUT_AGGTE_OPEN_INT",A122)</f>
        <v>453644</v>
      </c>
      <c r="AH122" s="44">
        <f t="shared" si="42"/>
        <v>45364400</v>
      </c>
      <c r="AI122" s="48">
        <f t="shared" si="43"/>
        <v>0.5041691153635891</v>
      </c>
      <c r="AJ122" s="45"/>
      <c r="AK122" s="44" cm="1">
        <f t="array" ref="AK122">_xll.BDH("COMXSILV Comdty","PX_Last", N122)</f>
        <v>272143.75</v>
      </c>
      <c r="AL122" s="15" t="str" cm="1">
        <f t="array" ref="AL122">_xll.BDS("SIA Comdty","FUT_CHAIN", "CHAIN_DATE",A122,"endrow=1")</f>
        <v>SIK23 Comdty</v>
      </c>
      <c r="AM122" s="47" cm="1">
        <f t="array" ref="AM122">_xll.BDH(AL122,"FUT_AGGTE_OPEN_INT",A122)</f>
        <v>135201</v>
      </c>
      <c r="AN122" s="45">
        <f t="shared" si="44"/>
        <v>402.57653419723226</v>
      </c>
      <c r="AO122" s="46">
        <f t="shared" si="45"/>
        <v>27214375000</v>
      </c>
      <c r="AP122" s="46">
        <f t="shared" si="46"/>
        <v>676005</v>
      </c>
      <c r="AQ122" s="46"/>
    </row>
    <row r="123" spans="1:43" s="15" customFormat="1" x14ac:dyDescent="0.2">
      <c r="A123" s="24">
        <v>45076</v>
      </c>
      <c r="B123" s="16" cm="1">
        <f t="array" ref="B123">_xll.BADDPERIODS(A123, "PER=WD", "NUMBEROFPERIODS=2", "BUSDAYADJ=-2", "CDR=GQ", "CDR=P9")</f>
        <v>45078</v>
      </c>
      <c r="C123" s="15" cm="1">
        <f t="array" ref="C123">_xll.BDH("XAU Curncy","PX_LAST",A123,A123)</f>
        <v>1959.33</v>
      </c>
      <c r="D123" s="15" t="str" cm="1">
        <f t="array" ref="D123">_xll.BDP("GCQ23 Comdty",$M$32)</f>
        <v>01/08/2023</v>
      </c>
      <c r="E123" s="15">
        <f t="shared" si="47"/>
        <v>61</v>
      </c>
      <c r="F123" s="23">
        <v>5.2499999999999998E-2</v>
      </c>
      <c r="G123" s="17">
        <f t="shared" si="48"/>
        <v>17.429873125</v>
      </c>
      <c r="H123" s="22">
        <v>18.100000000000001</v>
      </c>
      <c r="I123" s="19">
        <f t="shared" si="49"/>
        <v>0.67012687500000112</v>
      </c>
      <c r="J123" s="15">
        <v>4</v>
      </c>
      <c r="K123" s="15">
        <v>6</v>
      </c>
      <c r="L123" s="15">
        <v>8</v>
      </c>
      <c r="N123" s="24">
        <v>45076</v>
      </c>
      <c r="O123" s="16" cm="1">
        <f t="array" ref="O123">_xll.BADDPERIODS(N123, "PER=WD", "NUMBEROFPERIODS=2", "BUSDAYADJ=-2", "CDR=GQ", "CDR=P9")</f>
        <v>45078</v>
      </c>
      <c r="P123" s="15" cm="1">
        <f t="array" ref="P123">_xll.BDH("XAG Curncy","PX_LAST",N123,N123)</f>
        <v>23.174900000000001</v>
      </c>
      <c r="Q123" s="15" t="str" cm="1">
        <f t="array" ref="Q123">_xll.BDP("SIN23 Comdty",$M$32)</f>
        <v>03/07/2023</v>
      </c>
      <c r="R123" s="15">
        <f t="shared" si="68"/>
        <v>32</v>
      </c>
      <c r="S123" s="23">
        <v>5.0500000000000003E-2</v>
      </c>
      <c r="T123" s="21">
        <f t="shared" si="69"/>
        <v>0.10402955111111112</v>
      </c>
      <c r="U123" s="22">
        <v>0.1</v>
      </c>
      <c r="V123" s="20">
        <f t="shared" si="70"/>
        <v>-0.40295511111111126</v>
      </c>
      <c r="W123" s="15">
        <v>15</v>
      </c>
      <c r="X123" s="15">
        <v>20</v>
      </c>
      <c r="Y123" s="15">
        <v>25</v>
      </c>
      <c r="Z123" s="18">
        <f t="shared" si="71"/>
        <v>10.402955111111112</v>
      </c>
      <c r="AA123" s="18">
        <f t="shared" si="72"/>
        <v>10</v>
      </c>
      <c r="AB123" s="18">
        <f t="shared" si="73"/>
        <v>-0.40295511111111126</v>
      </c>
      <c r="AE123" s="44" cm="1">
        <f t="array" ref="AE123">_xll.BDH("COMXGOLD Comdty","PX_Last", N123)</f>
        <v>22865285.028999999</v>
      </c>
      <c r="AF123" s="15" t="str" cm="1">
        <f t="array" ref="AF123">_xll.BDS("GCA Comdty","FUT_CHAIN", "CHAIN_DATE",A123,"endrow=1")</f>
        <v>GCM23 Comdty</v>
      </c>
      <c r="AG123" s="44" cm="1">
        <f t="array" ref="AG123">_xll.BDH(AF123,"FUT_AGGTE_OPEN_INT",A123)</f>
        <v>449515</v>
      </c>
      <c r="AH123" s="44">
        <f t="shared" si="42"/>
        <v>44951500</v>
      </c>
      <c r="AI123" s="48">
        <f t="shared" si="43"/>
        <v>0.50866567364826532</v>
      </c>
      <c r="AJ123" s="45"/>
      <c r="AK123" s="44" cm="1">
        <f t="array" ref="AK123">_xll.BDH("COMXSILV Comdty","PX_Last", N123)</f>
        <v>273670.81</v>
      </c>
      <c r="AL123" s="15" t="str" cm="1">
        <f t="array" ref="AL123">_xll.BDS("SIA Comdty","FUT_CHAIN", "CHAIN_DATE",A123,"endrow=1")</f>
        <v>SIM23 Comdty</v>
      </c>
      <c r="AM123" s="47" cm="1">
        <f t="array" ref="AM123">_xll.BDH(AL123,"FUT_AGGTE_OPEN_INT",A123)</f>
        <v>133619</v>
      </c>
      <c r="AN123" s="45">
        <f t="shared" si="44"/>
        <v>409.62858575501991</v>
      </c>
      <c r="AO123" s="46">
        <f t="shared" si="45"/>
        <v>27367081000</v>
      </c>
      <c r="AP123" s="46">
        <f t="shared" si="46"/>
        <v>668095</v>
      </c>
      <c r="AQ123" s="46"/>
    </row>
    <row r="124" spans="1:43" s="15" customFormat="1" x14ac:dyDescent="0.2">
      <c r="A124" s="24">
        <v>45077</v>
      </c>
      <c r="B124" s="16" cm="1">
        <f t="array" ref="B124">_xll.BADDPERIODS(A124, "PER=WD", "NUMBEROFPERIODS=2", "BUSDAYADJ=-2", "CDR=GQ", "CDR=P9")</f>
        <v>45079</v>
      </c>
      <c r="C124" s="15" cm="1">
        <f t="array" ref="C124">_xll.BDH("XAU Curncy","PX_LAST",A124,A124)</f>
        <v>1962.73</v>
      </c>
      <c r="D124" s="15" t="str" cm="1">
        <f t="array" ref="D124">_xll.BDP("GCQ23 Comdty",$M$32)</f>
        <v>01/08/2023</v>
      </c>
      <c r="E124" s="15">
        <f t="shared" si="47"/>
        <v>60</v>
      </c>
      <c r="F124" s="23">
        <v>5.2499999999999998E-2</v>
      </c>
      <c r="G124" s="17">
        <f t="shared" si="48"/>
        <v>17.173887499999999</v>
      </c>
      <c r="H124" s="22">
        <v>17.850000000000001</v>
      </c>
      <c r="I124" s="19">
        <f t="shared" si="49"/>
        <v>0.67611250000000211</v>
      </c>
      <c r="J124" s="15">
        <v>4</v>
      </c>
      <c r="K124" s="15">
        <v>6</v>
      </c>
      <c r="L124" s="15">
        <v>8</v>
      </c>
      <c r="N124" s="24">
        <v>45077</v>
      </c>
      <c r="O124" s="16" cm="1">
        <f t="array" ref="O124">_xll.BADDPERIODS(N124, "PER=WD", "NUMBEROFPERIODS=2", "BUSDAYADJ=-2", "CDR=GQ", "CDR=P9")</f>
        <v>45079</v>
      </c>
      <c r="P124" s="15" cm="1">
        <f t="array" ref="P124">_xll.BDH("XAG Curncy","PX_LAST",N124,N124)</f>
        <v>23.485800000000001</v>
      </c>
      <c r="Q124" s="15" t="str" cm="1">
        <f t="array" ref="Q124">_xll.BDP("SIN23 Comdty",$M$32)</f>
        <v>03/07/2023</v>
      </c>
      <c r="R124" s="15">
        <f t="shared" si="68"/>
        <v>31</v>
      </c>
      <c r="S124" s="23">
        <v>5.0500000000000003E-2</v>
      </c>
      <c r="T124" s="21">
        <f t="shared" si="69"/>
        <v>0.10213061083333333</v>
      </c>
      <c r="U124" s="22">
        <v>9.5000000000000001E-2</v>
      </c>
      <c r="V124" s="20">
        <f t="shared" si="70"/>
        <v>-0.71306108333333285</v>
      </c>
      <c r="W124" s="15">
        <v>15</v>
      </c>
      <c r="X124" s="15">
        <v>20</v>
      </c>
      <c r="Y124" s="15">
        <v>25</v>
      </c>
      <c r="Z124" s="18">
        <f t="shared" si="71"/>
        <v>10.213061083333333</v>
      </c>
      <c r="AA124" s="18">
        <f t="shared" si="72"/>
        <v>9.5</v>
      </c>
      <c r="AB124" s="18">
        <f t="shared" si="73"/>
        <v>-0.71306108333333285</v>
      </c>
      <c r="AE124" s="44" cm="1">
        <f t="array" ref="AE124">_xll.BDH("COMXGOLD Comdty","PX_Last", N124)</f>
        <v>22870917.752</v>
      </c>
      <c r="AF124" s="15" t="str" cm="1">
        <f t="array" ref="AF124">_xll.BDS("GCA Comdty","FUT_CHAIN", "CHAIN_DATE",A124,"endrow=1")</f>
        <v>GCM23 Comdty</v>
      </c>
      <c r="AG124" s="44" cm="1">
        <f t="array" ref="AG124">_xll.BDH(AF124,"FUT_AGGTE_OPEN_INT",A124)</f>
        <v>445179</v>
      </c>
      <c r="AH124" s="44">
        <f t="shared" si="42"/>
        <v>44517900</v>
      </c>
      <c r="AI124" s="48">
        <f t="shared" si="43"/>
        <v>0.51374655480155174</v>
      </c>
      <c r="AJ124" s="45"/>
      <c r="AK124" s="44" cm="1">
        <f t="array" ref="AK124">_xll.BDH("COMXSILV Comdty","PX_Last", N124)</f>
        <v>274068.21999999997</v>
      </c>
      <c r="AL124" s="15" t="str" cm="1">
        <f t="array" ref="AL124">_xll.BDS("SIA Comdty","FUT_CHAIN", "CHAIN_DATE",A124,"endrow=1")</f>
        <v>SIM23 Comdty</v>
      </c>
      <c r="AM124" s="47" cm="1">
        <f t="array" ref="AM124">_xll.BDH(AL124,"FUT_AGGTE_OPEN_INT",A124)</f>
        <v>133598</v>
      </c>
      <c r="AN124" s="45">
        <f t="shared" si="44"/>
        <v>410.2879085016242</v>
      </c>
      <c r="AO124" s="46">
        <f t="shared" si="45"/>
        <v>27406821999.999996</v>
      </c>
      <c r="AP124" s="46">
        <f t="shared" si="46"/>
        <v>667990</v>
      </c>
      <c r="AQ124" s="46"/>
    </row>
    <row r="125" spans="1:43" s="15" customFormat="1" x14ac:dyDescent="0.2">
      <c r="A125" s="24">
        <v>45078</v>
      </c>
      <c r="B125" s="16" cm="1">
        <f t="array" ref="B125">_xll.BADDPERIODS(A125, "PER=WD", "NUMBEROFPERIODS=2", "BUSDAYADJ=-2", "CDR=GQ", "CDR=P9")</f>
        <v>45082</v>
      </c>
      <c r="C125" s="15" cm="1">
        <f t="array" ref="C125">_xll.BDH("XAU Curncy","PX_LAST",A125,A125)</f>
        <v>1977.61</v>
      </c>
      <c r="D125" s="15" t="str" cm="1">
        <f t="array" ref="D125">_xll.BDP("GCQ23 Comdty",$M$32)</f>
        <v>01/08/2023</v>
      </c>
      <c r="E125" s="15">
        <f t="shared" si="47"/>
        <v>57</v>
      </c>
      <c r="F125" s="23">
        <v>5.2999999999999999E-2</v>
      </c>
      <c r="G125" s="17">
        <f t="shared" si="48"/>
        <v>16.595443916666664</v>
      </c>
      <c r="H125" s="22">
        <v>17.350000000000001</v>
      </c>
      <c r="I125" s="19">
        <f t="shared" si="49"/>
        <v>0.75455608333333757</v>
      </c>
      <c r="J125" s="15">
        <v>4</v>
      </c>
      <c r="K125" s="15">
        <v>6</v>
      </c>
      <c r="L125" s="15">
        <v>8</v>
      </c>
      <c r="N125" s="24">
        <v>45078</v>
      </c>
      <c r="O125" s="16" cm="1">
        <f t="array" ref="O125">_xll.BADDPERIODS(N125, "PER=WD", "NUMBEROFPERIODS=2", "BUSDAYADJ=-2", "CDR=GQ", "CDR=P9")</f>
        <v>45082</v>
      </c>
      <c r="P125" s="15" cm="1">
        <f t="array" ref="P125">_xll.BDH("XAG Curncy","PX_LAST",N125,N125)</f>
        <v>23.858000000000001</v>
      </c>
      <c r="Q125" s="15" t="str" cm="1">
        <f t="array" ref="Q125">_xll.BDP("SIN23 Comdty",$M$32)</f>
        <v>03/07/2023</v>
      </c>
      <c r="R125" s="15">
        <f t="shared" si="68"/>
        <v>28</v>
      </c>
      <c r="S125" s="23">
        <v>5.0500000000000003E-2</v>
      </c>
      <c r="T125" s="21">
        <f t="shared" si="69"/>
        <v>9.3708922222222227E-2</v>
      </c>
      <c r="U125" s="22">
        <v>9.5000000000000001E-2</v>
      </c>
      <c r="V125" s="20">
        <f t="shared" si="70"/>
        <v>0.12910777777777743</v>
      </c>
      <c r="W125" s="15">
        <v>15</v>
      </c>
      <c r="X125" s="15">
        <v>20</v>
      </c>
      <c r="Y125" s="15">
        <v>25</v>
      </c>
      <c r="Z125" s="18">
        <f t="shared" si="71"/>
        <v>9.3708922222222224</v>
      </c>
      <c r="AA125" s="18">
        <f t="shared" si="72"/>
        <v>9.5</v>
      </c>
      <c r="AB125" s="18">
        <f t="shared" si="73"/>
        <v>0.12910777777777743</v>
      </c>
      <c r="AE125" s="44" cm="1">
        <f t="array" ref="AE125">_xll.BDH("COMXGOLD Comdty","PX_Last", N125)</f>
        <v>22836577.877</v>
      </c>
      <c r="AF125" s="15" t="str" cm="1">
        <f t="array" ref="AF125">_xll.BDS("GCA Comdty","FUT_CHAIN", "CHAIN_DATE",A125,"endrow=1")</f>
        <v>GCM23 Comdty</v>
      </c>
      <c r="AG125" s="44" cm="1">
        <f t="array" ref="AG125">_xll.BDH(AF125,"FUT_AGGTE_OPEN_INT",A125)</f>
        <v>443362</v>
      </c>
      <c r="AH125" s="44">
        <f t="shared" si="42"/>
        <v>44336200</v>
      </c>
      <c r="AI125" s="48">
        <f t="shared" si="43"/>
        <v>0.515077473419012</v>
      </c>
      <c r="AJ125" s="45"/>
      <c r="AK125" s="44" cm="1">
        <f t="array" ref="AK125">_xll.BDH("COMXSILV Comdty","PX_Last", N125)</f>
        <v>272737.38</v>
      </c>
      <c r="AL125" s="15" t="str" cm="1">
        <f t="array" ref="AL125">_xll.BDS("SIA Comdty","FUT_CHAIN", "CHAIN_DATE",A125,"endrow=1")</f>
        <v>SIM23 Comdty</v>
      </c>
      <c r="AM125" s="47" cm="1">
        <f t="array" ref="AM125">_xll.BDH(AL125,"FUT_AGGTE_OPEN_INT",A125)</f>
        <v>133796</v>
      </c>
      <c r="AN125" s="45">
        <f t="shared" si="44"/>
        <v>407.69138090824839</v>
      </c>
      <c r="AO125" s="46">
        <f t="shared" si="45"/>
        <v>27273738000</v>
      </c>
      <c r="AP125" s="46">
        <f t="shared" si="46"/>
        <v>668980</v>
      </c>
      <c r="AQ125" s="46"/>
    </row>
    <row r="126" spans="1:43" s="15" customFormat="1" x14ac:dyDescent="0.2">
      <c r="A126" s="24">
        <v>45079</v>
      </c>
      <c r="B126" s="16" cm="1">
        <f t="array" ref="B126">_xll.BADDPERIODS(A126, "PER=WD", "NUMBEROFPERIODS=2", "BUSDAYADJ=-2", "CDR=GQ", "CDR=P9")</f>
        <v>45083</v>
      </c>
      <c r="C126" s="15" cm="1">
        <f t="array" ref="C126">_xll.BDH("XAU Curncy","PX_LAST",A126,A126)</f>
        <v>1947.97</v>
      </c>
      <c r="D126" s="15" t="str" cm="1">
        <f t="array" ref="D126">_xll.BDP("GCQ23 Comdty",$M$32)</f>
        <v>01/08/2023</v>
      </c>
      <c r="E126" s="15">
        <f t="shared" si="47"/>
        <v>56</v>
      </c>
      <c r="F126" s="23">
        <v>5.2999999999999999E-2</v>
      </c>
      <c r="G126" s="17">
        <f t="shared" si="48"/>
        <v>16.059930444444447</v>
      </c>
      <c r="H126" s="22">
        <v>16.8</v>
      </c>
      <c r="I126" s="19">
        <f t="shared" si="49"/>
        <v>0.74006955555555365</v>
      </c>
      <c r="J126" s="15">
        <v>4</v>
      </c>
      <c r="K126" s="15">
        <v>6</v>
      </c>
      <c r="L126" s="15">
        <v>8</v>
      </c>
      <c r="N126" s="24">
        <v>45079</v>
      </c>
      <c r="O126" s="16" cm="1">
        <f t="array" ref="O126">_xll.BADDPERIODS(N126, "PER=WD", "NUMBEROFPERIODS=2", "BUSDAYADJ=-2", "CDR=GQ", "CDR=P9")</f>
        <v>45083</v>
      </c>
      <c r="P126" s="15" cm="1">
        <f t="array" ref="P126">_xll.BDH("XAG Curncy","PX_LAST",N126,N126)</f>
        <v>23.606000000000002</v>
      </c>
      <c r="Q126" s="15" t="str" cm="1">
        <f t="array" ref="Q126">_xll.BDP("SIN23 Comdty",$M$32)</f>
        <v>03/07/2023</v>
      </c>
      <c r="R126" s="15">
        <f t="shared" si="68"/>
        <v>27</v>
      </c>
      <c r="S126" s="23">
        <v>5.0500000000000003E-2</v>
      </c>
      <c r="T126" s="21">
        <f t="shared" si="69"/>
        <v>8.9407725000000007E-2</v>
      </c>
      <c r="U126" s="22">
        <v>8.5000000000000006E-2</v>
      </c>
      <c r="V126" s="20">
        <f t="shared" si="70"/>
        <v>-0.44077250000000012</v>
      </c>
      <c r="W126" s="15">
        <v>15</v>
      </c>
      <c r="X126" s="15">
        <v>20</v>
      </c>
      <c r="Y126" s="15">
        <v>25</v>
      </c>
      <c r="Z126" s="18">
        <f t="shared" si="71"/>
        <v>8.9407725000000013</v>
      </c>
      <c r="AA126" s="18">
        <f t="shared" si="72"/>
        <v>8.5</v>
      </c>
      <c r="AB126" s="18">
        <f t="shared" si="73"/>
        <v>-0.44077250000000012</v>
      </c>
      <c r="AE126" s="44" cm="1">
        <f t="array" ref="AE126">_xll.BDH("COMXGOLD Comdty","PX_Last", N126)</f>
        <v>22872831.237</v>
      </c>
      <c r="AF126" s="15" t="str" cm="1">
        <f t="array" ref="AF126">_xll.BDS("GCA Comdty","FUT_CHAIN", "CHAIN_DATE",A126,"endrow=1")</f>
        <v>GCM23 Comdty</v>
      </c>
      <c r="AG126" s="44" cm="1">
        <f t="array" ref="AG126">_xll.BDH(AF126,"FUT_AGGTE_OPEN_INT",A126)</f>
        <v>435965</v>
      </c>
      <c r="AH126" s="44">
        <f t="shared" si="42"/>
        <v>43596500</v>
      </c>
      <c r="AI126" s="48">
        <f t="shared" si="43"/>
        <v>0.52464833729771887</v>
      </c>
      <c r="AJ126" s="45"/>
      <c r="AK126" s="44" cm="1">
        <f t="array" ref="AK126">_xll.BDH("COMXSILV Comdty","PX_Last", N126)</f>
        <v>273370.21999999997</v>
      </c>
      <c r="AL126" s="15" t="str" cm="1">
        <f t="array" ref="AL126">_xll.BDS("SIA Comdty","FUT_CHAIN", "CHAIN_DATE",A126,"endrow=1")</f>
        <v>SIM23 Comdty</v>
      </c>
      <c r="AM126" s="47" cm="1">
        <f t="array" ref="AM126">_xll.BDH(AL126,"FUT_AGGTE_OPEN_INT",A126)</f>
        <v>133806</v>
      </c>
      <c r="AN126" s="45">
        <f t="shared" si="44"/>
        <v>408.60681882725731</v>
      </c>
      <c r="AO126" s="46">
        <f t="shared" si="45"/>
        <v>27337021999.999996</v>
      </c>
      <c r="AP126" s="46">
        <f t="shared" si="46"/>
        <v>669030</v>
      </c>
      <c r="AQ126" s="46"/>
    </row>
    <row r="127" spans="1:43" s="15" customFormat="1" x14ac:dyDescent="0.2">
      <c r="A127" s="24">
        <v>45082</v>
      </c>
      <c r="B127" s="16" cm="1">
        <f t="array" ref="B127">_xll.BADDPERIODS(A127, "PER=WD", "NUMBEROFPERIODS=2", "BUSDAYADJ=-2", "CDR=GQ", "CDR=P9")</f>
        <v>45084</v>
      </c>
      <c r="C127" s="15" cm="1">
        <f t="array" ref="C127">_xll.BDH("XAU Curncy","PX_LAST",A127,A127)</f>
        <v>1961.86</v>
      </c>
      <c r="D127" s="15" t="str" cm="1">
        <f t="array" ref="D127">_xll.BDP("GCQ23 Comdty",$M$32)</f>
        <v>01/08/2023</v>
      </c>
      <c r="E127" s="15">
        <f t="shared" ref="E127:E135" si="74">_xlfn.DAYS(D127,B127)</f>
        <v>55</v>
      </c>
      <c r="F127" s="23">
        <v>5.2999999999999999E-2</v>
      </c>
      <c r="G127" s="17">
        <f t="shared" ref="G127:G135" si="75">C127*(E127/360)*F127</f>
        <v>15.885616388888888</v>
      </c>
      <c r="H127" s="22">
        <v>16</v>
      </c>
      <c r="I127" s="19">
        <f t="shared" ref="I127:I135" si="76">H127-G127</f>
        <v>0.11438361111111206</v>
      </c>
      <c r="J127" s="15">
        <v>4</v>
      </c>
      <c r="K127" s="15">
        <v>6</v>
      </c>
      <c r="L127" s="15">
        <v>8</v>
      </c>
      <c r="N127" s="24">
        <v>45082</v>
      </c>
      <c r="O127" s="16" cm="1">
        <f t="array" ref="O127">_xll.BADDPERIODS(N127, "PER=WD", "NUMBEROFPERIODS=2", "BUSDAYADJ=-2", "CDR=GQ", "CDR=P9")</f>
        <v>45084</v>
      </c>
      <c r="P127" s="15" cm="1">
        <f t="array" ref="P127">_xll.BDH("XAG Curncy","PX_LAST",N127,N127)</f>
        <v>23.545000000000002</v>
      </c>
      <c r="Q127" s="15" t="str" cm="1">
        <f t="array" ref="Q127">_xll.BDP("SIN23 Comdty",$M$32)</f>
        <v>03/07/2023</v>
      </c>
      <c r="R127" s="15">
        <f t="shared" ref="R127:R156" si="77">_xlfn.DAYS(Q127,O127)</f>
        <v>26</v>
      </c>
      <c r="S127" s="23">
        <v>5.0500000000000003E-2</v>
      </c>
      <c r="T127" s="21">
        <f t="shared" ref="T127:T156" si="78">P127*(R127/360)*S127</f>
        <v>8.587384722222223E-2</v>
      </c>
      <c r="U127" s="22">
        <v>9.5000000000000001E-2</v>
      </c>
      <c r="V127" s="20">
        <f t="shared" ref="V127:V156" si="79">100*(U127-T127)</f>
        <v>0.91261527777777718</v>
      </c>
      <c r="W127" s="15">
        <v>15</v>
      </c>
      <c r="X127" s="15">
        <v>20</v>
      </c>
      <c r="Y127" s="15">
        <v>25</v>
      </c>
      <c r="Z127" s="18">
        <f t="shared" ref="Z127:Z156" si="80">100*T127</f>
        <v>8.5873847222222235</v>
      </c>
      <c r="AA127" s="18">
        <f t="shared" ref="AA127:AA156" si="81">U127*100</f>
        <v>9.5</v>
      </c>
      <c r="AB127" s="18">
        <f t="shared" ref="AB127:AB156" si="82">V127</f>
        <v>0.91261527777777718</v>
      </c>
      <c r="AE127" s="44" cm="1">
        <f t="array" ref="AE127">_xll.BDH("COMXGOLD Comdty","PX_Last", N127)</f>
        <v>22872831.237</v>
      </c>
      <c r="AF127" s="15" t="str" cm="1">
        <f t="array" ref="AF127">_xll.BDS("GCA Comdty","FUT_CHAIN", "CHAIN_DATE",A127,"endrow=1")</f>
        <v>GCM23 Comdty</v>
      </c>
      <c r="AG127" s="44" cm="1">
        <f t="array" ref="AG127">_xll.BDH(AF127,"FUT_AGGTE_OPEN_INT",A127)</f>
        <v>434223</v>
      </c>
      <c r="AH127" s="44">
        <f t="shared" si="42"/>
        <v>43422300</v>
      </c>
      <c r="AI127" s="48">
        <f t="shared" si="43"/>
        <v>0.52675310236905926</v>
      </c>
      <c r="AJ127" s="45"/>
      <c r="AK127" s="44" cm="1">
        <f t="array" ref="AK127">_xll.BDH("COMXSILV Comdty","PX_Last", N127)</f>
        <v>272773.63</v>
      </c>
      <c r="AL127" s="15" t="str" cm="1">
        <f t="array" ref="AL127">_xll.BDS("SIA Comdty","FUT_CHAIN", "CHAIN_DATE",A127,"endrow=1")</f>
        <v>SIM23 Comdty</v>
      </c>
      <c r="AM127" s="47" cm="1">
        <f t="array" ref="AM127">_xll.BDH(AL127,"FUT_AGGTE_OPEN_INT",A127)</f>
        <v>135245</v>
      </c>
      <c r="AN127" s="45">
        <f t="shared" si="44"/>
        <v>403.37702687714886</v>
      </c>
      <c r="AO127" s="46">
        <f t="shared" si="45"/>
        <v>27277363000</v>
      </c>
      <c r="AP127" s="46">
        <f t="shared" si="46"/>
        <v>676225</v>
      </c>
      <c r="AQ127" s="46"/>
    </row>
    <row r="128" spans="1:43" s="15" customFormat="1" x14ac:dyDescent="0.2">
      <c r="A128" s="24">
        <v>45083</v>
      </c>
      <c r="B128" s="16" cm="1">
        <f t="array" ref="B128">_xll.BADDPERIODS(A128, "PER=WD", "NUMBEROFPERIODS=2", "BUSDAYADJ=-2", "CDR=GQ", "CDR=P9")</f>
        <v>45085</v>
      </c>
      <c r="C128" s="15" cm="1">
        <f t="array" ref="C128">_xll.BDH("XAU Curncy","PX_LAST",A128,A128)</f>
        <v>1963.52</v>
      </c>
      <c r="D128" s="15" t="str" cm="1">
        <f t="array" ref="D128">_xll.BDP("GCQ23 Comdty",$M$32)</f>
        <v>01/08/2023</v>
      </c>
      <c r="E128" s="15">
        <f t="shared" si="74"/>
        <v>54</v>
      </c>
      <c r="F128" s="23">
        <v>5.2999999999999999E-2</v>
      </c>
      <c r="G128" s="17">
        <f t="shared" si="75"/>
        <v>15.609983999999997</v>
      </c>
      <c r="H128" s="22">
        <v>16</v>
      </c>
      <c r="I128" s="19">
        <f t="shared" si="76"/>
        <v>0.3900160000000028</v>
      </c>
      <c r="J128" s="15">
        <v>4</v>
      </c>
      <c r="K128" s="15">
        <v>6</v>
      </c>
      <c r="L128" s="15">
        <v>8</v>
      </c>
      <c r="N128" s="24">
        <v>45083</v>
      </c>
      <c r="O128" s="16" cm="1">
        <f t="array" ref="O128">_xll.BADDPERIODS(N128, "PER=WD", "NUMBEROFPERIODS=2", "BUSDAYADJ=-2", "CDR=GQ", "CDR=P9")</f>
        <v>45085</v>
      </c>
      <c r="P128" s="15" cm="1">
        <f t="array" ref="P128">_xll.BDH("XAG Curncy","PX_LAST",N128,N128)</f>
        <v>23.568200000000001</v>
      </c>
      <c r="Q128" s="15" t="str" cm="1">
        <f t="array" ref="Q128">_xll.BDP("SIN23 Comdty",$M$32)</f>
        <v>03/07/2023</v>
      </c>
      <c r="R128" s="15">
        <f t="shared" si="77"/>
        <v>25</v>
      </c>
      <c r="S128" s="23">
        <v>5.0500000000000003E-2</v>
      </c>
      <c r="T128" s="21">
        <f t="shared" si="78"/>
        <v>8.2652368055555564E-2</v>
      </c>
      <c r="U128" s="22">
        <v>8.5000000000000006E-2</v>
      </c>
      <c r="V128" s="20">
        <f t="shared" si="79"/>
        <v>0.23476319444444421</v>
      </c>
      <c r="W128" s="15">
        <v>15</v>
      </c>
      <c r="X128" s="15">
        <v>20</v>
      </c>
      <c r="Y128" s="15">
        <v>25</v>
      </c>
      <c r="Z128" s="18">
        <f t="shared" si="80"/>
        <v>8.2652368055555563</v>
      </c>
      <c r="AA128" s="18">
        <f t="shared" si="81"/>
        <v>8.5</v>
      </c>
      <c r="AB128" s="18">
        <f t="shared" si="82"/>
        <v>0.23476319444444421</v>
      </c>
      <c r="AE128" s="44" cm="1">
        <f t="array" ref="AE128">_xll.BDH("COMXGOLD Comdty","PX_Last", N128)</f>
        <v>22872831.247000001</v>
      </c>
      <c r="AF128" s="15" t="str" cm="1">
        <f t="array" ref="AF128">_xll.BDS("GCA Comdty","FUT_CHAIN", "CHAIN_DATE",A128,"endrow=1")</f>
        <v>GCM23 Comdty</v>
      </c>
      <c r="AG128" s="44" cm="1">
        <f t="array" ref="AG128">_xll.BDH(AF128,"FUT_AGGTE_OPEN_INT",A128)</f>
        <v>436301</v>
      </c>
      <c r="AH128" s="44">
        <f t="shared" si="42"/>
        <v>43630100</v>
      </c>
      <c r="AI128" s="48">
        <f t="shared" si="43"/>
        <v>0.52424430031102387</v>
      </c>
      <c r="AJ128" s="45"/>
      <c r="AK128" s="44" cm="1">
        <f t="array" ref="AK128">_xll.BDH("COMXSILV Comdty","PX_Last", N128)</f>
        <v>272820.71999999997</v>
      </c>
      <c r="AL128" s="15" t="str" cm="1">
        <f t="array" ref="AL128">_xll.BDS("SIA Comdty","FUT_CHAIN", "CHAIN_DATE",A128,"endrow=1")</f>
        <v>SIM23 Comdty</v>
      </c>
      <c r="AM128" s="47" cm="1">
        <f t="array" ref="AM128">_xll.BDH(AL128,"FUT_AGGTE_OPEN_INT",A128)</f>
        <v>137871</v>
      </c>
      <c r="AN128" s="45">
        <f t="shared" si="44"/>
        <v>395.76229954087512</v>
      </c>
      <c r="AO128" s="46">
        <f t="shared" si="45"/>
        <v>27282071999.999996</v>
      </c>
      <c r="AP128" s="46">
        <f t="shared" si="46"/>
        <v>689355</v>
      </c>
      <c r="AQ128" s="46"/>
    </row>
    <row r="129" spans="1:43" s="15" customFormat="1" x14ac:dyDescent="0.2">
      <c r="A129" s="24">
        <v>45084</v>
      </c>
      <c r="B129" s="16" cm="1">
        <f t="array" ref="B129">_xll.BADDPERIODS(A129, "PER=WD", "NUMBEROFPERIODS=2", "BUSDAYADJ=-2", "CDR=GQ", "CDR=P9")</f>
        <v>45086</v>
      </c>
      <c r="C129" s="15" cm="1">
        <f t="array" ref="C129">_xll.BDH("XAU Curncy","PX_LAST",A129,A129)</f>
        <v>1940.02</v>
      </c>
      <c r="D129" s="15" t="str" cm="1">
        <f t="array" ref="D129">_xll.BDP("GCQ23 Comdty",$M$32)</f>
        <v>01/08/2023</v>
      </c>
      <c r="E129" s="15">
        <f t="shared" si="74"/>
        <v>53</v>
      </c>
      <c r="F129" s="23">
        <v>5.3499999999999999E-2</v>
      </c>
      <c r="G129" s="17">
        <f t="shared" si="75"/>
        <v>15.280351972222224</v>
      </c>
      <c r="H129" s="22">
        <v>15.6</v>
      </c>
      <c r="I129" s="19">
        <f t="shared" si="76"/>
        <v>0.31964802777777557</v>
      </c>
      <c r="J129" s="15">
        <v>4</v>
      </c>
      <c r="K129" s="15">
        <v>6</v>
      </c>
      <c r="L129" s="15">
        <v>8</v>
      </c>
      <c r="N129" s="24">
        <v>45084</v>
      </c>
      <c r="O129" s="16" cm="1">
        <f t="array" ref="O129">_xll.BADDPERIODS(N129, "PER=WD", "NUMBEROFPERIODS=2", "BUSDAYADJ=-2", "CDR=GQ", "CDR=P9")</f>
        <v>45086</v>
      </c>
      <c r="P129" s="15" cm="1">
        <f t="array" ref="P129">_xll.BDH("XAG Curncy","PX_LAST",N129,N129)</f>
        <v>23.418099999999999</v>
      </c>
      <c r="Q129" s="15" t="str" cm="1">
        <f t="array" ref="Q129">_xll.BDP("SIN23 Comdty",$M$32)</f>
        <v>03/07/2023</v>
      </c>
      <c r="R129" s="15">
        <f t="shared" si="77"/>
        <v>24</v>
      </c>
      <c r="S129" s="23">
        <v>5.0500000000000003E-2</v>
      </c>
      <c r="T129" s="21">
        <f t="shared" si="78"/>
        <v>7.8840936666666667E-2</v>
      </c>
      <c r="U129" s="22">
        <v>7.7499999999999999E-2</v>
      </c>
      <c r="V129" s="20">
        <f t="shared" si="79"/>
        <v>-0.13409366666666672</v>
      </c>
      <c r="W129" s="15">
        <v>15</v>
      </c>
      <c r="X129" s="15">
        <v>20</v>
      </c>
      <c r="Y129" s="15">
        <v>25</v>
      </c>
      <c r="Z129" s="18">
        <f t="shared" si="80"/>
        <v>7.8840936666666668</v>
      </c>
      <c r="AA129" s="18">
        <f t="shared" si="81"/>
        <v>7.75</v>
      </c>
      <c r="AB129" s="18">
        <f t="shared" si="82"/>
        <v>-0.13409366666666672</v>
      </c>
      <c r="AE129" s="44" cm="1">
        <f t="array" ref="AE129">_xll.BDH("COMXGOLD Comdty","PX_Last", N129)</f>
        <v>22920988.776999999</v>
      </c>
      <c r="AF129" s="15" t="str" cm="1">
        <f t="array" ref="AF129">_xll.BDS("GCA Comdty","FUT_CHAIN", "CHAIN_DATE",A129,"endrow=1")</f>
        <v>GCM23 Comdty</v>
      </c>
      <c r="AG129" s="44" cm="1">
        <f t="array" ref="AG129">_xll.BDH(AF129,"FUT_AGGTE_OPEN_INT",A129)</f>
        <v>435775</v>
      </c>
      <c r="AH129" s="44">
        <f t="shared" si="42"/>
        <v>43577500</v>
      </c>
      <c r="AI129" s="48">
        <f t="shared" si="43"/>
        <v>0.52598218752796744</v>
      </c>
      <c r="AJ129" s="45"/>
      <c r="AK129" s="44" cm="1">
        <f t="array" ref="AK129">_xll.BDH("COMXSILV Comdty","PX_Last", N129)</f>
        <v>272501.25</v>
      </c>
      <c r="AL129" s="15" t="str" cm="1">
        <f t="array" ref="AL129">_xll.BDS("SIA Comdty","FUT_CHAIN", "CHAIN_DATE",A129,"endrow=1")</f>
        <v>SIM23 Comdty</v>
      </c>
      <c r="AM129" s="47" cm="1">
        <f t="array" ref="AM129">_xll.BDH(AL129,"FUT_AGGTE_OPEN_INT",A129)</f>
        <v>139250</v>
      </c>
      <c r="AN129" s="45">
        <f t="shared" si="44"/>
        <v>391.38420107719924</v>
      </c>
      <c r="AO129" s="46">
        <f t="shared" si="45"/>
        <v>27250125000</v>
      </c>
      <c r="AP129" s="46">
        <f t="shared" si="46"/>
        <v>696250</v>
      </c>
      <c r="AQ129" s="46"/>
    </row>
    <row r="130" spans="1:43" s="15" customFormat="1" x14ac:dyDescent="0.2">
      <c r="A130" s="24">
        <v>45085</v>
      </c>
      <c r="B130" s="16" cm="1">
        <f t="array" ref="B130">_xll.BADDPERIODS(A130, "PER=WD", "NUMBEROFPERIODS=2", "BUSDAYADJ=-2", "CDR=GQ", "CDR=P9")</f>
        <v>45089</v>
      </c>
      <c r="C130" s="15" cm="1">
        <f t="array" ref="C130">_xll.BDH("XAU Curncy","PX_LAST",A130,A130)</f>
        <v>1965.46</v>
      </c>
      <c r="D130" s="15" t="str" cm="1">
        <f t="array" ref="D130">_xll.BDP("GCQ23 Comdty",$M$32)</f>
        <v>01/08/2023</v>
      </c>
      <c r="E130" s="15">
        <f t="shared" si="74"/>
        <v>50</v>
      </c>
      <c r="F130" s="23">
        <v>5.3499999999999999E-2</v>
      </c>
      <c r="G130" s="17">
        <f t="shared" si="75"/>
        <v>14.604459722222222</v>
      </c>
      <c r="H130" s="22">
        <v>14.7</v>
      </c>
      <c r="I130" s="19">
        <f t="shared" si="76"/>
        <v>9.5540277777777405E-2</v>
      </c>
      <c r="J130" s="15">
        <v>4</v>
      </c>
      <c r="K130" s="15">
        <v>6</v>
      </c>
      <c r="L130" s="15">
        <v>8</v>
      </c>
      <c r="N130" s="24">
        <v>45085</v>
      </c>
      <c r="O130" s="16" cm="1">
        <f t="array" ref="O130">_xll.BADDPERIODS(N130, "PER=WD", "NUMBEROFPERIODS=2", "BUSDAYADJ=-2", "CDR=GQ", "CDR=P9")</f>
        <v>45089</v>
      </c>
      <c r="P130" s="15" cm="1">
        <f t="array" ref="P130">_xll.BDH("XAG Curncy","PX_LAST",N130,N130)</f>
        <v>24.2377</v>
      </c>
      <c r="Q130" s="15" t="str" cm="1">
        <f t="array" ref="Q130">_xll.BDP("SIN23 Comdty",$M$32)</f>
        <v>03/07/2023</v>
      </c>
      <c r="R130" s="15">
        <f t="shared" si="77"/>
        <v>21</v>
      </c>
      <c r="S130" s="23">
        <v>5.0500000000000003E-2</v>
      </c>
      <c r="T130" s="21">
        <f t="shared" si="78"/>
        <v>7.1400224583333338E-2</v>
      </c>
      <c r="U130" s="22">
        <v>7.2499999999999995E-2</v>
      </c>
      <c r="V130" s="20">
        <f t="shared" si="79"/>
        <v>0.10997754166666568</v>
      </c>
      <c r="W130" s="15">
        <v>15</v>
      </c>
      <c r="X130" s="15">
        <v>20</v>
      </c>
      <c r="Y130" s="15">
        <v>25</v>
      </c>
      <c r="Z130" s="18">
        <f t="shared" si="80"/>
        <v>7.140022458333334</v>
      </c>
      <c r="AA130" s="18">
        <f t="shared" si="81"/>
        <v>7.2499999999999991</v>
      </c>
      <c r="AB130" s="18">
        <f t="shared" si="82"/>
        <v>0.10997754166666568</v>
      </c>
      <c r="AE130" s="44" cm="1">
        <f t="array" ref="AE130">_xll.BDH("COMXGOLD Comdty","PX_Last", N130)</f>
        <v>22920988.776999999</v>
      </c>
      <c r="AF130" s="15" t="str" cm="1">
        <f t="array" ref="AF130">_xll.BDS("GCA Comdty","FUT_CHAIN", "CHAIN_DATE",A130,"endrow=1")</f>
        <v>GCM23 Comdty</v>
      </c>
      <c r="AG130" s="44" cm="1">
        <f t="array" ref="AG130">_xll.BDH(AF130,"FUT_AGGTE_OPEN_INT",A130)</f>
        <v>436592</v>
      </c>
      <c r="AH130" s="44">
        <f t="shared" si="42"/>
        <v>43659200</v>
      </c>
      <c r="AI130" s="48">
        <f t="shared" si="43"/>
        <v>0.52499791056638689</v>
      </c>
      <c r="AJ130" s="45"/>
      <c r="AK130" s="44" cm="1">
        <f t="array" ref="AK130">_xll.BDH("COMXSILV Comdty","PX_Last", N130)</f>
        <v>271772.46999999997</v>
      </c>
      <c r="AL130" s="15" t="str" cm="1">
        <f t="array" ref="AL130">_xll.BDS("SIA Comdty","FUT_CHAIN", "CHAIN_DATE",A130,"endrow=1")</f>
        <v>SIM23 Comdty</v>
      </c>
      <c r="AM130" s="47" cm="1">
        <f t="array" ref="AM130">_xll.BDH(AL130,"FUT_AGGTE_OPEN_INT",A130)</f>
        <v>143353</v>
      </c>
      <c r="AN130" s="45">
        <f t="shared" si="44"/>
        <v>379.16537498343246</v>
      </c>
      <c r="AO130" s="46">
        <f t="shared" si="45"/>
        <v>27177246999.999996</v>
      </c>
      <c r="AP130" s="46">
        <f t="shared" si="46"/>
        <v>716765</v>
      </c>
      <c r="AQ130" s="46"/>
    </row>
    <row r="131" spans="1:43" s="15" customFormat="1" x14ac:dyDescent="0.2">
      <c r="A131" s="24">
        <v>45086</v>
      </c>
      <c r="B131" s="16" cm="1">
        <f t="array" ref="B131">_xll.BADDPERIODS(A131, "PER=WD", "NUMBEROFPERIODS=2", "BUSDAYADJ=-2", "CDR=GQ", "CDR=P9")</f>
        <v>45090</v>
      </c>
      <c r="C131" s="15" cm="1">
        <f t="array" ref="C131">_xll.BDH("XAU Curncy","PX_LAST",A131,A131)</f>
        <v>1961.19</v>
      </c>
      <c r="D131" s="15" t="str" cm="1">
        <f t="array" ref="D131">_xll.BDP("GCQ23 Comdty",$M$32)</f>
        <v>01/08/2023</v>
      </c>
      <c r="E131" s="15">
        <f t="shared" si="74"/>
        <v>49</v>
      </c>
      <c r="F131" s="23">
        <v>5.3499999999999999E-2</v>
      </c>
      <c r="G131" s="17">
        <f t="shared" si="75"/>
        <v>14.281276625</v>
      </c>
      <c r="H131" s="22">
        <v>14.7</v>
      </c>
      <c r="I131" s="19">
        <f t="shared" si="76"/>
        <v>0.41872337499999901</v>
      </c>
      <c r="J131" s="15">
        <v>4</v>
      </c>
      <c r="K131" s="15">
        <v>6</v>
      </c>
      <c r="L131" s="15">
        <v>8</v>
      </c>
      <c r="N131" s="24">
        <v>45086</v>
      </c>
      <c r="O131" s="16" cm="1">
        <f t="array" ref="O131">_xll.BADDPERIODS(N131, "PER=WD", "NUMBEROFPERIODS=2", "BUSDAYADJ=-2", "CDR=GQ", "CDR=P9")</f>
        <v>45090</v>
      </c>
      <c r="P131" s="15" cm="1">
        <f t="array" ref="P131">_xll.BDH("XAG Curncy","PX_LAST",N131,N131)</f>
        <v>24.292999999999999</v>
      </c>
      <c r="Q131" s="15" t="str" cm="1">
        <f t="array" ref="Q131">_xll.BDP("SIN23 Comdty",$M$32)</f>
        <v>03/07/2023</v>
      </c>
      <c r="R131" s="15">
        <f t="shared" si="77"/>
        <v>20</v>
      </c>
      <c r="S131" s="23">
        <v>5.0500000000000003E-2</v>
      </c>
      <c r="T131" s="21">
        <f t="shared" si="78"/>
        <v>6.8155361111111118E-2</v>
      </c>
      <c r="U131" s="22">
        <v>0.08</v>
      </c>
      <c r="V131" s="20">
        <f t="shared" si="79"/>
        <v>1.1844638888888883</v>
      </c>
      <c r="W131" s="15">
        <v>15</v>
      </c>
      <c r="X131" s="15">
        <v>20</v>
      </c>
      <c r="Y131" s="15">
        <v>25</v>
      </c>
      <c r="Z131" s="18">
        <f t="shared" si="80"/>
        <v>6.8155361111111121</v>
      </c>
      <c r="AA131" s="18">
        <f t="shared" si="81"/>
        <v>8</v>
      </c>
      <c r="AB131" s="18">
        <f t="shared" si="82"/>
        <v>1.1844638888888883</v>
      </c>
      <c r="AE131" s="44" cm="1">
        <f t="array" ref="AE131">_xll.BDH("COMXGOLD Comdty","PX_Last", N131)</f>
        <v>22912629.517000001</v>
      </c>
      <c r="AF131" s="15" t="str" cm="1">
        <f t="array" ref="AF131">_xll.BDS("GCA Comdty","FUT_CHAIN", "CHAIN_DATE",A131,"endrow=1")</f>
        <v>GCM23 Comdty</v>
      </c>
      <c r="AG131" s="44" cm="1">
        <f t="array" ref="AG131">_xll.BDH(AF131,"FUT_AGGTE_OPEN_INT",A131)</f>
        <v>435598</v>
      </c>
      <c r="AH131" s="44">
        <f t="shared" si="42"/>
        <v>43559800</v>
      </c>
      <c r="AI131" s="48">
        <f t="shared" si="43"/>
        <v>0.52600401096882909</v>
      </c>
      <c r="AJ131" s="45"/>
      <c r="AK131" s="44" cm="1">
        <f t="array" ref="AK131">_xll.BDH("COMXSILV Comdty","PX_Last", N131)</f>
        <v>273073.15999999997</v>
      </c>
      <c r="AL131" s="15" t="str" cm="1">
        <f t="array" ref="AL131">_xll.BDS("SIA Comdty","FUT_CHAIN", "CHAIN_DATE",A131,"endrow=1")</f>
        <v>SIM23 Comdty</v>
      </c>
      <c r="AM131" s="47" cm="1">
        <f t="array" ref="AM131">_xll.BDH(AL131,"FUT_AGGTE_OPEN_INT",A131)</f>
        <v>145963</v>
      </c>
      <c r="AN131" s="45">
        <f t="shared" si="44"/>
        <v>374.16764522515973</v>
      </c>
      <c r="AO131" s="46">
        <f t="shared" si="45"/>
        <v>27307315999.999996</v>
      </c>
      <c r="AP131" s="46">
        <f t="shared" si="46"/>
        <v>729815</v>
      </c>
      <c r="AQ131" s="46"/>
    </row>
    <row r="132" spans="1:43" s="15" customFormat="1" x14ac:dyDescent="0.2">
      <c r="A132" s="24">
        <v>45089</v>
      </c>
      <c r="B132" s="16" cm="1">
        <f t="array" ref="B132">_xll.BADDPERIODS(A132, "PER=WD", "NUMBEROFPERIODS=2", "BUSDAYADJ=-2", "CDR=GQ", "CDR=P9")</f>
        <v>45091</v>
      </c>
      <c r="C132" s="15" cm="1">
        <f t="array" ref="C132">_xll.BDH("XAU Curncy","PX_LAST",A132,A132)</f>
        <v>1957.84</v>
      </c>
      <c r="D132" s="15" t="str" cm="1">
        <f t="array" ref="D132">_xll.BDP("GCQ23 Comdty",$M$32)</f>
        <v>01/08/2023</v>
      </c>
      <c r="E132" s="15">
        <f t="shared" si="74"/>
        <v>48</v>
      </c>
      <c r="F132" s="23">
        <v>5.3499999999999999E-2</v>
      </c>
      <c r="G132" s="17">
        <f t="shared" si="75"/>
        <v>13.965925333333331</v>
      </c>
      <c r="H132" s="22">
        <v>14.3</v>
      </c>
      <c r="I132" s="19">
        <f t="shared" si="76"/>
        <v>0.33407466666666963</v>
      </c>
      <c r="J132" s="15">
        <v>4</v>
      </c>
      <c r="K132" s="15">
        <v>6</v>
      </c>
      <c r="L132" s="15">
        <v>8</v>
      </c>
      <c r="N132" s="24">
        <v>45089</v>
      </c>
      <c r="O132" s="16" cm="1">
        <f t="array" ref="O132">_xll.BADDPERIODS(N132, "PER=WD", "NUMBEROFPERIODS=2", "BUSDAYADJ=-2", "CDR=GQ", "CDR=P9")</f>
        <v>45091</v>
      </c>
      <c r="P132" s="15" cm="1">
        <f t="array" ref="P132">_xll.BDH("XAG Curncy","PX_LAST",N132,N132)</f>
        <v>24.053100000000001</v>
      </c>
      <c r="Q132" s="15" t="str" cm="1">
        <f t="array" ref="Q132">_xll.BDP("SIN23 Comdty",$M$32)</f>
        <v>03/07/2023</v>
      </c>
      <c r="R132" s="15">
        <f t="shared" si="77"/>
        <v>19</v>
      </c>
      <c r="S132" s="23">
        <v>5.0500000000000003E-2</v>
      </c>
      <c r="T132" s="21">
        <f t="shared" si="78"/>
        <v>6.4108192916666668E-2</v>
      </c>
      <c r="U132" s="22">
        <v>0.08</v>
      </c>
      <c r="V132" s="20">
        <f t="shared" ref="V132:V137" si="83">100*(U132-T132)</f>
        <v>1.5891807083333334</v>
      </c>
      <c r="W132" s="15">
        <v>15</v>
      </c>
      <c r="X132" s="15">
        <v>20</v>
      </c>
      <c r="Y132" s="15">
        <v>25</v>
      </c>
      <c r="Z132" s="18">
        <f t="shared" si="80"/>
        <v>6.4108192916666669</v>
      </c>
      <c r="AA132" s="18">
        <f t="shared" ref="AA132:AA137" si="84">U132*100</f>
        <v>8</v>
      </c>
      <c r="AB132" s="18">
        <f t="shared" si="82"/>
        <v>1.5891807083333334</v>
      </c>
      <c r="AE132" s="44" cm="1">
        <f t="array" ref="AE132">_xll.BDH("COMXGOLD Comdty","PX_Last", N132)</f>
        <v>22912629.517000001</v>
      </c>
      <c r="AF132" s="15" t="str" cm="1">
        <f t="array" ref="AF132">_xll.BDS("GCA Comdty","FUT_CHAIN", "CHAIN_DATE",A132,"endrow=1")</f>
        <v>GCM23 Comdty</v>
      </c>
      <c r="AG132" s="44" cm="1">
        <f t="array" ref="AG132">_xll.BDH(AF132,"FUT_AGGTE_OPEN_INT",A132)</f>
        <v>432912</v>
      </c>
      <c r="AH132" s="44">
        <f t="shared" si="42"/>
        <v>43291200</v>
      </c>
      <c r="AI132" s="48">
        <f t="shared" si="43"/>
        <v>0.52926759981243299</v>
      </c>
      <c r="AJ132" s="45"/>
      <c r="AK132" s="44" cm="1">
        <f t="array" ref="AK132">_xll.BDH("COMXSILV Comdty","PX_Last", N132)</f>
        <v>273527.78000000003</v>
      </c>
      <c r="AL132" s="15" t="str" cm="1">
        <f t="array" ref="AL132">_xll.BDS("SIA Comdty","FUT_CHAIN", "CHAIN_DATE",A132,"endrow=1")</f>
        <v>SIM23 Comdty</v>
      </c>
      <c r="AM132" s="47" cm="1">
        <f t="array" ref="AM132">_xll.BDH(AL132,"FUT_AGGTE_OPEN_INT",A132)</f>
        <v>149471</v>
      </c>
      <c r="AN132" s="45">
        <f t="shared" si="44"/>
        <v>365.99444708338081</v>
      </c>
      <c r="AO132" s="46">
        <f t="shared" si="45"/>
        <v>27352778000.000004</v>
      </c>
      <c r="AP132" s="46">
        <f t="shared" si="46"/>
        <v>747355</v>
      </c>
      <c r="AQ132" s="46"/>
    </row>
    <row r="133" spans="1:43" s="15" customFormat="1" x14ac:dyDescent="0.2">
      <c r="A133" s="24">
        <v>45090</v>
      </c>
      <c r="B133" s="16" cm="1">
        <f t="array" ref="B133">_xll.BADDPERIODS(A133, "PER=WD", "NUMBEROFPERIODS=2", "BUSDAYADJ=-2", "CDR=GQ", "CDR=P9")</f>
        <v>45092</v>
      </c>
      <c r="C133" s="15" cm="1">
        <f t="array" ref="C133">_xll.BDH("XAU Curncy","PX_LAST",A133,A133)</f>
        <v>1943.74</v>
      </c>
      <c r="D133" s="15" t="str" cm="1">
        <f t="array" ref="D133">_xll.BDP("GCQ23 Comdty",$M$32)</f>
        <v>01/08/2023</v>
      </c>
      <c r="E133" s="15">
        <f t="shared" si="74"/>
        <v>47</v>
      </c>
      <c r="F133" s="23">
        <v>5.2499999999999998E-2</v>
      </c>
      <c r="G133" s="17">
        <f t="shared" si="75"/>
        <v>13.322717916666667</v>
      </c>
      <c r="H133" s="22">
        <v>13.8</v>
      </c>
      <c r="I133" s="19">
        <f t="shared" si="76"/>
        <v>0.47728208333333377</v>
      </c>
      <c r="J133" s="15">
        <v>4</v>
      </c>
      <c r="K133" s="15">
        <v>6</v>
      </c>
      <c r="L133" s="15">
        <v>8</v>
      </c>
      <c r="N133" s="24">
        <v>45090</v>
      </c>
      <c r="O133" s="16" cm="1">
        <f t="array" ref="O133">_xll.BADDPERIODS(N133, "PER=WD", "NUMBEROFPERIODS=2", "BUSDAYADJ=-2", "CDR=GQ", "CDR=P9")</f>
        <v>45092</v>
      </c>
      <c r="P133" s="15" cm="1">
        <f t="array" ref="P133">_xll.BDH("XAG Curncy","PX_LAST",N133,N133)</f>
        <v>23.666</v>
      </c>
      <c r="Q133" s="15" t="str" cm="1">
        <f t="array" ref="Q133">_xll.BDP("SIN23 Comdty",$M$32)</f>
        <v>03/07/2023</v>
      </c>
      <c r="R133" s="15">
        <f t="shared" si="77"/>
        <v>18</v>
      </c>
      <c r="S133" s="23">
        <v>5.0500000000000003E-2</v>
      </c>
      <c r="T133" s="21">
        <f t="shared" si="78"/>
        <v>5.9756650000000001E-2</v>
      </c>
      <c r="U133" s="22">
        <v>0.08</v>
      </c>
      <c r="V133" s="20">
        <f t="shared" si="83"/>
        <v>2.0243350000000002</v>
      </c>
      <c r="W133" s="15">
        <v>15</v>
      </c>
      <c r="X133" s="15">
        <v>20</v>
      </c>
      <c r="Y133" s="15">
        <v>25</v>
      </c>
      <c r="Z133" s="18">
        <f t="shared" si="80"/>
        <v>5.9756650000000002</v>
      </c>
      <c r="AA133" s="18">
        <f t="shared" si="84"/>
        <v>8</v>
      </c>
      <c r="AB133" s="18">
        <f t="shared" si="82"/>
        <v>2.0243350000000002</v>
      </c>
      <c r="AE133" s="44" cm="1">
        <f t="array" ref="AE133">_xll.BDH("COMXGOLD Comdty","PX_Last", N133)</f>
        <v>22912533.063999999</v>
      </c>
      <c r="AF133" s="15" t="str" cm="1">
        <f t="array" ref="AF133">_xll.BDS("GCA Comdty","FUT_CHAIN", "CHAIN_DATE",A133,"endrow=1")</f>
        <v>GCM23 Comdty</v>
      </c>
      <c r="AG133" s="44" cm="1">
        <f t="array" ref="AG133">_xll.BDH(AF133,"FUT_AGGTE_OPEN_INT",A133)</f>
        <v>432898</v>
      </c>
      <c r="AH133" s="44">
        <f t="shared" si="42"/>
        <v>43289800</v>
      </c>
      <c r="AI133" s="48">
        <f t="shared" si="43"/>
        <v>0.52928248834598446</v>
      </c>
      <c r="AJ133" s="45"/>
      <c r="AK133" s="44" cm="1">
        <f t="array" ref="AK133">_xll.BDH("COMXSILV Comdty","PX_Last", N133)</f>
        <v>273353.40999999997</v>
      </c>
      <c r="AL133" s="15" t="str" cm="1">
        <f t="array" ref="AL133">_xll.BDS("SIA Comdty","FUT_CHAIN", "CHAIN_DATE",A133,"endrow=1")</f>
        <v>SIM23 Comdty</v>
      </c>
      <c r="AM133" s="47" cm="1">
        <f t="array" ref="AM133">_xll.BDH(AL133,"FUT_AGGTE_OPEN_INT",A133)</f>
        <v>153853</v>
      </c>
      <c r="AN133" s="45">
        <f t="shared" si="44"/>
        <v>355.34362020890069</v>
      </c>
      <c r="AO133" s="46">
        <f t="shared" si="45"/>
        <v>27335340999.999996</v>
      </c>
      <c r="AP133" s="46">
        <f t="shared" si="46"/>
        <v>769265</v>
      </c>
      <c r="AQ133" s="46"/>
    </row>
    <row r="134" spans="1:43" s="15" customFormat="1" x14ac:dyDescent="0.2">
      <c r="A134" s="24">
        <v>45091</v>
      </c>
      <c r="B134" s="16" cm="1">
        <f t="array" ref="B134">_xll.BADDPERIODS(A134, "PER=WD", "NUMBEROFPERIODS=2", "BUSDAYADJ=-2", "CDR=GQ", "CDR=P9")</f>
        <v>45093</v>
      </c>
      <c r="C134" s="15" cm="1">
        <f t="array" ref="C134">_xll.BDH("XAU Curncy","PX_LAST",A134,A134)</f>
        <v>1942.52</v>
      </c>
      <c r="D134" s="15" t="str" cm="1">
        <f t="array" ref="D134">_xll.BDP("GCQ23 Comdty",$M$32)</f>
        <v>01/08/2023</v>
      </c>
      <c r="E134" s="15">
        <f t="shared" si="74"/>
        <v>46</v>
      </c>
      <c r="F134" s="23">
        <v>5.2499999999999998E-2</v>
      </c>
      <c r="G134" s="17">
        <f t="shared" si="75"/>
        <v>13.031071666666664</v>
      </c>
      <c r="H134" s="22">
        <v>13.1</v>
      </c>
      <c r="I134" s="19">
        <f t="shared" si="76"/>
        <v>6.8928333333335701E-2</v>
      </c>
      <c r="J134" s="15">
        <v>4</v>
      </c>
      <c r="K134" s="15">
        <v>6</v>
      </c>
      <c r="L134" s="15">
        <v>8</v>
      </c>
      <c r="N134" s="24">
        <v>45091</v>
      </c>
      <c r="O134" s="16" cm="1">
        <f t="array" ref="O134">_xll.BADDPERIODS(N134, "PER=WD", "NUMBEROFPERIODS=2", "BUSDAYADJ=-2", "CDR=GQ", "CDR=P9")</f>
        <v>45093</v>
      </c>
      <c r="P134" s="15" cm="1">
        <f t="array" ref="P134">_xll.BDH("XAG Curncy","PX_LAST",N134,N134)</f>
        <v>23.9191</v>
      </c>
      <c r="Q134" s="15" t="str" cm="1">
        <f t="array" ref="Q134">_xll.BDP("SIN23 Comdty",$M$32)</f>
        <v>03/07/2023</v>
      </c>
      <c r="R134" s="15">
        <f t="shared" si="77"/>
        <v>17</v>
      </c>
      <c r="S134" s="23">
        <v>5.0500000000000003E-2</v>
      </c>
      <c r="T134" s="21">
        <f t="shared" si="78"/>
        <v>5.7040409305555553E-2</v>
      </c>
      <c r="U134" s="22">
        <v>0.08</v>
      </c>
      <c r="V134" s="20">
        <f t="shared" si="83"/>
        <v>2.2959590694444447</v>
      </c>
      <c r="W134" s="15">
        <v>15</v>
      </c>
      <c r="X134" s="15">
        <v>20</v>
      </c>
      <c r="Y134" s="15">
        <v>25</v>
      </c>
      <c r="Z134" s="18">
        <f t="shared" si="80"/>
        <v>5.7040409305555553</v>
      </c>
      <c r="AA134" s="18">
        <f t="shared" si="84"/>
        <v>8</v>
      </c>
      <c r="AB134" s="18">
        <f t="shared" si="82"/>
        <v>2.2959590694444447</v>
      </c>
      <c r="AE134" s="44" cm="1">
        <f t="array" ref="AE134">_xll.BDH("COMXGOLD Comdty","PX_Last", N134)</f>
        <v>22798871.044</v>
      </c>
      <c r="AF134" s="15" t="str" cm="1">
        <f t="array" ref="AF134">_xll.BDS("GCA Comdty","FUT_CHAIN", "CHAIN_DATE",A134,"endrow=1")</f>
        <v>GCM23 Comdty</v>
      </c>
      <c r="AG134" s="44" cm="1">
        <f t="array" ref="AG134">_xll.BDH(AF134,"FUT_AGGTE_OPEN_INT",A134)</f>
        <v>430387</v>
      </c>
      <c r="AH134" s="44">
        <f t="shared" si="42"/>
        <v>43038700</v>
      </c>
      <c r="AI134" s="48">
        <f t="shared" si="43"/>
        <v>0.5297295467567561</v>
      </c>
      <c r="AJ134" s="45"/>
      <c r="AK134" s="44" cm="1">
        <f t="array" ref="AK134">_xll.BDH("COMXSILV Comdty","PX_Last", N134)</f>
        <v>272375.69</v>
      </c>
      <c r="AL134" s="15" t="str" cm="1">
        <f t="array" ref="AL134">_xll.BDS("SIA Comdty","FUT_CHAIN", "CHAIN_DATE",A134,"endrow=1")</f>
        <v>SIM23 Comdty</v>
      </c>
      <c r="AM134" s="47" cm="1">
        <f t="array" ref="AM134">_xll.BDH(AL134,"FUT_AGGTE_OPEN_INT",A134)</f>
        <v>151834</v>
      </c>
      <c r="AN134" s="45">
        <f t="shared" si="44"/>
        <v>358.78089229026438</v>
      </c>
      <c r="AO134" s="46">
        <f t="shared" si="45"/>
        <v>27237569000</v>
      </c>
      <c r="AP134" s="46">
        <f t="shared" si="46"/>
        <v>759170</v>
      </c>
      <c r="AQ134" s="46"/>
    </row>
    <row r="135" spans="1:43" s="15" customFormat="1" x14ac:dyDescent="0.2">
      <c r="A135" s="24">
        <v>45092</v>
      </c>
      <c r="B135" s="16" cm="1">
        <f t="array" ref="B135">_xll.BADDPERIODS(A135, "PER=WD", "NUMBEROFPERIODS=2", "BUSDAYADJ=-2", "CDR=GQ", "CDR=P9")</f>
        <v>45097</v>
      </c>
      <c r="C135" s="15" cm="1">
        <f t="array" ref="C135">_xll.BDH("XAU Curncy","PX_LAST",A135,A135)</f>
        <v>1958.01</v>
      </c>
      <c r="D135" s="15" t="str" cm="1">
        <f t="array" ref="D135">_xll.BDP("GCQ23 Comdty",$M$32)</f>
        <v>01/08/2023</v>
      </c>
      <c r="E135" s="15">
        <f t="shared" si="74"/>
        <v>42</v>
      </c>
      <c r="F135" s="23">
        <v>5.2499999999999998E-2</v>
      </c>
      <c r="G135" s="17">
        <f t="shared" si="75"/>
        <v>11.992811250000001</v>
      </c>
      <c r="H135" s="22">
        <v>11.65</v>
      </c>
      <c r="I135" s="19">
        <f t="shared" si="76"/>
        <v>-0.34281125000000046</v>
      </c>
      <c r="J135" s="15">
        <v>4</v>
      </c>
      <c r="K135" s="15">
        <v>6</v>
      </c>
      <c r="L135" s="15">
        <v>8</v>
      </c>
      <c r="N135" s="24">
        <v>45092</v>
      </c>
      <c r="O135" s="16" cm="1">
        <f t="array" ref="O135">_xll.BADDPERIODS(N135, "PER=WD", "NUMBEROFPERIODS=2", "BUSDAYADJ=-2", "CDR=GQ", "CDR=P9")</f>
        <v>45097</v>
      </c>
      <c r="P135" s="15" cm="1">
        <f t="array" ref="P135">_xll.BDH("XAG Curncy","PX_LAST",N135,N135)</f>
        <v>23.860700000000001</v>
      </c>
      <c r="Q135" s="15" t="str" cm="1">
        <f t="array" ref="Q135">_xll.BDP("SIN23 Comdty",$M$32)</f>
        <v>03/07/2023</v>
      </c>
      <c r="R135" s="15">
        <f t="shared" si="77"/>
        <v>13</v>
      </c>
      <c r="S135" s="23">
        <v>5.0500000000000003E-2</v>
      </c>
      <c r="T135" s="21">
        <f t="shared" si="78"/>
        <v>4.3512637638888886E-2</v>
      </c>
      <c r="U135" s="22">
        <v>7.0000000000000007E-2</v>
      </c>
      <c r="V135" s="20">
        <f t="shared" si="83"/>
        <v>2.648736236111112</v>
      </c>
      <c r="W135" s="15">
        <v>15</v>
      </c>
      <c r="X135" s="15">
        <v>20</v>
      </c>
      <c r="Y135" s="15">
        <v>25</v>
      </c>
      <c r="Z135" s="18">
        <f t="shared" si="80"/>
        <v>4.3512637638888885</v>
      </c>
      <c r="AA135" s="18">
        <f t="shared" si="84"/>
        <v>7.0000000000000009</v>
      </c>
      <c r="AB135" s="18">
        <f t="shared" si="82"/>
        <v>2.648736236111112</v>
      </c>
      <c r="AE135" s="44" cm="1">
        <f t="array" ref="AE135">_xll.BDH("COMXGOLD Comdty","PX_Last", N135)</f>
        <v>22773725.284000002</v>
      </c>
      <c r="AF135" s="15" t="str" cm="1">
        <f t="array" ref="AF135">_xll.BDS("GCA Comdty","FUT_CHAIN", "CHAIN_DATE",A135,"endrow=1")</f>
        <v>GCM23 Comdty</v>
      </c>
      <c r="AG135" s="44" cm="1">
        <f t="array" ref="AG135">_xll.BDH(AF135,"FUT_AGGTE_OPEN_INT",A135)</f>
        <v>431912</v>
      </c>
      <c r="AH135" s="44">
        <f t="shared" si="42"/>
        <v>43191200</v>
      </c>
      <c r="AI135" s="48">
        <f t="shared" si="43"/>
        <v>0.52727697503195103</v>
      </c>
      <c r="AJ135" s="45"/>
      <c r="AK135" s="44" cm="1">
        <f t="array" ref="AK135">_xll.BDH("COMXSILV Comdty","PX_Last", N135)</f>
        <v>271773.38</v>
      </c>
      <c r="AL135" s="15" t="str" cm="1">
        <f t="array" ref="AL135">_xll.BDS("SIA Comdty","FUT_CHAIN", "CHAIN_DATE",A135,"endrow=1")</f>
        <v>SIM23 Comdty</v>
      </c>
      <c r="AM135" s="47" cm="1">
        <f t="array" ref="AM135">_xll.BDH(AL135,"FUT_AGGTE_OPEN_INT",A135)</f>
        <v>153100</v>
      </c>
      <c r="AN135" s="45">
        <f t="shared" si="44"/>
        <v>355.02727629000657</v>
      </c>
      <c r="AO135" s="46">
        <f t="shared" si="45"/>
        <v>27177338000</v>
      </c>
      <c r="AP135" s="46">
        <f t="shared" si="46"/>
        <v>765500</v>
      </c>
      <c r="AQ135" s="46"/>
    </row>
    <row r="136" spans="1:43" s="15" customFormat="1" x14ac:dyDescent="0.2">
      <c r="A136" s="24">
        <v>45093</v>
      </c>
      <c r="B136" s="16" cm="1">
        <f t="array" ref="B136">_xll.BADDPERIODS(A136, "PER=WD", "NUMBEROFPERIODS=2", "BUSDAYADJ=-2", "CDR=GQ", "CDR=P9")</f>
        <v>45098</v>
      </c>
      <c r="C136" s="15" cm="1">
        <f t="array" ref="C136">_xll.BDH("XAU Curncy","PX_LAST",A136,A136)</f>
        <v>1957.98</v>
      </c>
      <c r="D136" s="15" t="str" cm="1">
        <f t="array" ref="D136">_xll.BDP("GCQ23 Comdty",$M$32)</f>
        <v>01/08/2023</v>
      </c>
      <c r="E136" s="15">
        <f t="shared" ref="E136:E141" si="85">_xlfn.DAYS(D136,B136)</f>
        <v>41</v>
      </c>
      <c r="F136" s="23">
        <v>5.2499999999999998E-2</v>
      </c>
      <c r="G136" s="17">
        <f t="shared" ref="G136:G141" si="86">C136*(E136/360)*F136</f>
        <v>11.707088749999999</v>
      </c>
      <c r="H136" s="22">
        <v>12.2</v>
      </c>
      <c r="I136" s="19">
        <f t="shared" ref="I136:I141" si="87">H136-G136</f>
        <v>0.49291125000000058</v>
      </c>
      <c r="J136" s="15">
        <v>4</v>
      </c>
      <c r="K136" s="15">
        <v>6</v>
      </c>
      <c r="L136" s="15">
        <v>8</v>
      </c>
      <c r="N136" s="24">
        <v>45093</v>
      </c>
      <c r="O136" s="16" cm="1">
        <f t="array" ref="O136">_xll.BADDPERIODS(N136, "PER=WD", "NUMBEROFPERIODS=2", "BUSDAYADJ=-2", "CDR=GQ", "CDR=P9")</f>
        <v>45098</v>
      </c>
      <c r="P136" s="15" cm="1">
        <f t="array" ref="P136">_xll.BDH("XAG Curncy","PX_LAST",N136,N136)</f>
        <v>24.2</v>
      </c>
      <c r="Q136" s="15" t="str" cm="1">
        <f t="array" ref="Q136">_xll.BDP("SIN23 Comdty",$M$32)</f>
        <v>03/07/2023</v>
      </c>
      <c r="R136" s="15">
        <f t="shared" si="77"/>
        <v>12</v>
      </c>
      <c r="S136" s="23">
        <v>5.0500000000000003E-2</v>
      </c>
      <c r="T136" s="21">
        <f t="shared" si="78"/>
        <v>4.0736666666666671E-2</v>
      </c>
      <c r="U136" s="22">
        <v>7.0000000000000007E-2</v>
      </c>
      <c r="V136" s="20">
        <f t="shared" si="83"/>
        <v>2.9263333333333335</v>
      </c>
      <c r="W136" s="15">
        <v>15</v>
      </c>
      <c r="X136" s="15">
        <v>20</v>
      </c>
      <c r="Y136" s="15">
        <v>25</v>
      </c>
      <c r="Z136" s="18">
        <f t="shared" si="80"/>
        <v>4.073666666666667</v>
      </c>
      <c r="AA136" s="18">
        <f t="shared" si="84"/>
        <v>7.0000000000000009</v>
      </c>
      <c r="AB136" s="18">
        <f t="shared" si="82"/>
        <v>2.9263333333333335</v>
      </c>
      <c r="AE136" s="44" cm="1">
        <f t="array" ref="AE136">_xll.BDH("COMXGOLD Comdty","PX_Last", N136)</f>
        <v>22553040.82</v>
      </c>
      <c r="AF136" s="15" t="str" cm="1">
        <f t="array" ref="AF136">_xll.BDS("GCA Comdty","FUT_CHAIN", "CHAIN_DATE",A136,"endrow=1")</f>
        <v>GCM23 Comdty</v>
      </c>
      <c r="AG136" s="44" cm="1">
        <f t="array" ref="AG136">_xll.BDH(AF136,"FUT_AGGTE_OPEN_INT",A136)</f>
        <v>432223</v>
      </c>
      <c r="AH136" s="44">
        <f t="shared" si="42"/>
        <v>43222300</v>
      </c>
      <c r="AI136" s="48">
        <f t="shared" si="43"/>
        <v>0.52179177924358489</v>
      </c>
      <c r="AJ136" s="45"/>
      <c r="AK136" s="44" cm="1">
        <f t="array" ref="AK136">_xll.BDH("COMXSILV Comdty","PX_Last", N136)</f>
        <v>272135.15999999997</v>
      </c>
      <c r="AL136" s="15" t="str" cm="1">
        <f t="array" ref="AL136">_xll.BDS("SIA Comdty","FUT_CHAIN", "CHAIN_DATE",A136,"endrow=1")</f>
        <v>SIM23 Comdty</v>
      </c>
      <c r="AM136" s="47" cm="1">
        <f t="array" ref="AM136">_xll.BDH(AL136,"FUT_AGGTE_OPEN_INT",A136)</f>
        <v>152068</v>
      </c>
      <c r="AN136" s="45">
        <f t="shared" si="44"/>
        <v>357.91246021516685</v>
      </c>
      <c r="AO136" s="46">
        <f t="shared" si="45"/>
        <v>27213515999.999996</v>
      </c>
      <c r="AP136" s="46">
        <f t="shared" si="46"/>
        <v>760340</v>
      </c>
      <c r="AQ136" s="46"/>
    </row>
    <row r="137" spans="1:43" s="15" customFormat="1" x14ac:dyDescent="0.2">
      <c r="A137" s="24">
        <v>45096</v>
      </c>
      <c r="B137" s="16" cm="1">
        <f t="array" ref="B137">_xll.BADDPERIODS(A137, "PER=WD", "NUMBEROFPERIODS=2", "BUSDAYADJ=-2", "CDR=GQ", "CDR=P9")</f>
        <v>45098</v>
      </c>
      <c r="C137" s="15" cm="1">
        <f t="array" ref="C137">_xll.BDH("XAU Curncy","PX_LAST",A137,A137)</f>
        <v>1950.48</v>
      </c>
      <c r="D137" s="15" t="str" cm="1">
        <f t="array" ref="D137">_xll.BDP("GCQ23 Comdty",$M$32)</f>
        <v>01/08/2023</v>
      </c>
      <c r="E137" s="15">
        <f t="shared" si="85"/>
        <v>41</v>
      </c>
      <c r="F137" s="23">
        <v>5.2499999999999998E-2</v>
      </c>
      <c r="G137" s="17">
        <f t="shared" si="86"/>
        <v>11.662245</v>
      </c>
      <c r="H137" s="22">
        <v>11.95</v>
      </c>
      <c r="I137" s="19">
        <f t="shared" si="87"/>
        <v>0.28775499999999887</v>
      </c>
      <c r="J137" s="15">
        <v>4</v>
      </c>
      <c r="K137" s="15">
        <v>6</v>
      </c>
      <c r="L137" s="15">
        <v>8</v>
      </c>
      <c r="N137" s="24">
        <v>45096</v>
      </c>
      <c r="O137" s="16" cm="1">
        <f t="array" ref="O137">_xll.BADDPERIODS(N137, "PER=WD", "NUMBEROFPERIODS=2", "BUSDAYADJ=-2", "CDR=GQ", "CDR=P9")</f>
        <v>45098</v>
      </c>
      <c r="P137" s="15" cm="1">
        <f t="array" ref="P137">_xll.BDH("XAG Curncy","PX_LAST",N137,N137)</f>
        <v>23.9528</v>
      </c>
      <c r="Q137" s="15" t="str" cm="1">
        <f t="array" ref="Q137">_xll.BDP("SIN23 Comdty",$M$32)</f>
        <v>03/07/2023</v>
      </c>
      <c r="R137" s="15">
        <f t="shared" si="77"/>
        <v>12</v>
      </c>
      <c r="S137" s="23">
        <v>5.0500000000000003E-2</v>
      </c>
      <c r="T137" s="21">
        <f t="shared" si="78"/>
        <v>4.0320546666666665E-2</v>
      </c>
      <c r="U137" s="22">
        <v>7.2499999999999995E-2</v>
      </c>
      <c r="V137" s="20">
        <f t="shared" si="83"/>
        <v>3.2179453333333328</v>
      </c>
      <c r="W137" s="15">
        <v>15</v>
      </c>
      <c r="X137" s="15">
        <v>20</v>
      </c>
      <c r="Y137" s="15">
        <v>25</v>
      </c>
      <c r="Z137" s="18">
        <f t="shared" si="80"/>
        <v>4.0320546666666663</v>
      </c>
      <c r="AA137" s="18">
        <f t="shared" si="84"/>
        <v>7.2499999999999991</v>
      </c>
      <c r="AB137" s="18">
        <f t="shared" si="82"/>
        <v>3.2179453333333328</v>
      </c>
      <c r="AE137" s="44" t="str" cm="1">
        <f t="array" ref="AE137">_xll.BDH("COMXGOLD Comdty","PX_Last", N137)</f>
        <v>#N/A N/A</v>
      </c>
      <c r="AF137" s="15" t="str" cm="1">
        <f t="array" ref="AF137">_xll.BDS("GCA Comdty","FUT_CHAIN", "CHAIN_DATE",A137,"endrow=1")</f>
        <v>GCM23 Comdty</v>
      </c>
      <c r="AG137" s="44" t="str" cm="1">
        <f t="array" ref="AG137">_xll.BDH(AF137,"FUT_AGGTE_OPEN_INT",A137)</f>
        <v>#N/A N/A</v>
      </c>
      <c r="AH137" s="44" t="e">
        <f t="shared" si="42"/>
        <v>#VALUE!</v>
      </c>
      <c r="AI137" s="48" t="e">
        <f t="shared" si="43"/>
        <v>#VALUE!</v>
      </c>
      <c r="AJ137" s="45"/>
      <c r="AK137" s="44" t="str" cm="1">
        <f t="array" ref="AK137">_xll.BDH("COMXSILV Comdty","PX_Last", N137)</f>
        <v>#N/A N/A</v>
      </c>
      <c r="AL137" s="15" t="str" cm="1">
        <f t="array" ref="AL137">_xll.BDS("SIA Comdty","FUT_CHAIN", "CHAIN_DATE",A137,"endrow=1")</f>
        <v>SIM23 Comdty</v>
      </c>
      <c r="AM137" s="47" t="str" cm="1">
        <f t="array" ref="AM137">_xll.BDH(AL137,"FUT_AGGTE_OPEN_INT",A137)</f>
        <v>#N/A N/A</v>
      </c>
      <c r="AN137" s="45" t="e">
        <f t="shared" si="44"/>
        <v>#VALUE!</v>
      </c>
      <c r="AO137" s="46" t="e">
        <f t="shared" si="45"/>
        <v>#VALUE!</v>
      </c>
      <c r="AP137" s="46" t="e">
        <f t="shared" si="46"/>
        <v>#VALUE!</v>
      </c>
      <c r="AQ137" s="46"/>
    </row>
    <row r="138" spans="1:43" s="15" customFormat="1" x14ac:dyDescent="0.2">
      <c r="A138" s="24">
        <v>45097</v>
      </c>
      <c r="B138" s="16" cm="1">
        <f t="array" ref="B138">_xll.BADDPERIODS(A138, "PER=WD", "NUMBEROFPERIODS=2", "BUSDAYADJ=-2", "CDR=GQ", "CDR=P9")</f>
        <v>45099</v>
      </c>
      <c r="C138" s="15" cm="1">
        <f t="array" ref="C138">_xll.BDH("XAU Curncy","PX_LAST",A138,A138)</f>
        <v>1936.42</v>
      </c>
      <c r="D138" s="15" t="str" cm="1">
        <f t="array" ref="D138">_xll.BDP("GCQ23 Comdty",$M$32)</f>
        <v>01/08/2023</v>
      </c>
      <c r="E138" s="15">
        <f t="shared" si="85"/>
        <v>40</v>
      </c>
      <c r="F138" s="23">
        <v>5.2499999999999998E-2</v>
      </c>
      <c r="G138" s="17">
        <f t="shared" si="86"/>
        <v>11.295783333333333</v>
      </c>
      <c r="H138" s="22">
        <v>11.8</v>
      </c>
      <c r="I138" s="19">
        <f t="shared" si="87"/>
        <v>0.50421666666666809</v>
      </c>
      <c r="J138" s="15">
        <v>4</v>
      </c>
      <c r="K138" s="15">
        <v>6</v>
      </c>
      <c r="L138" s="15">
        <v>8</v>
      </c>
      <c r="N138" s="24">
        <v>45097</v>
      </c>
      <c r="O138" s="16" cm="1">
        <f t="array" ref="O138">_xll.BADDPERIODS(N138, "PER=WD", "NUMBEROFPERIODS=2", "BUSDAYADJ=-2", "CDR=GQ", "CDR=P9")</f>
        <v>45099</v>
      </c>
      <c r="P138" s="15" cm="1">
        <f t="array" ref="P138">_xll.BDH("XAG Curncy","PX_LAST",N138,N138)</f>
        <v>23.134</v>
      </c>
      <c r="Q138" s="15" t="str" cm="1">
        <f t="array" ref="Q138">_xll.BDP("SIN23 Comdty",$M$32)</f>
        <v>03/07/2023</v>
      </c>
      <c r="R138" s="15">
        <f t="shared" si="77"/>
        <v>11</v>
      </c>
      <c r="S138" s="23">
        <v>5.0500000000000003E-2</v>
      </c>
      <c r="T138" s="21">
        <f t="shared" si="78"/>
        <v>3.5697047222222222E-2</v>
      </c>
      <c r="U138" s="22">
        <v>6.25E-2</v>
      </c>
      <c r="V138" s="20">
        <f t="shared" si="79"/>
        <v>2.6802952777777778</v>
      </c>
      <c r="W138" s="15">
        <v>15</v>
      </c>
      <c r="X138" s="15">
        <v>20</v>
      </c>
      <c r="Y138" s="15">
        <v>25</v>
      </c>
      <c r="Z138" s="18">
        <f t="shared" si="80"/>
        <v>3.5697047222222222</v>
      </c>
      <c r="AA138" s="18">
        <f t="shared" si="81"/>
        <v>6.25</v>
      </c>
      <c r="AB138" s="18">
        <f t="shared" si="82"/>
        <v>2.6802952777777778</v>
      </c>
      <c r="AE138" s="44" cm="1">
        <f t="array" ref="AE138">_xll.BDH("COMXGOLD Comdty","PX_Last", N138)</f>
        <v>22584958.309</v>
      </c>
      <c r="AF138" s="15" t="str" cm="1">
        <f t="array" ref="AF138">_xll.BDS("GCA Comdty","FUT_CHAIN", "CHAIN_DATE",A138,"endrow=1")</f>
        <v>GCM23 Comdty</v>
      </c>
      <c r="AG138" s="44" cm="1">
        <f t="array" ref="AG138">_xll.BDH(AF138,"FUT_AGGTE_OPEN_INT",A138)</f>
        <v>438037</v>
      </c>
      <c r="AH138" s="44">
        <f t="shared" si="42"/>
        <v>43803700</v>
      </c>
      <c r="AI138" s="48">
        <f t="shared" si="43"/>
        <v>0.51559476274835236</v>
      </c>
      <c r="AJ138" s="45"/>
      <c r="AK138" s="44" cm="1">
        <f t="array" ref="AK138">_xll.BDH("COMXSILV Comdty","PX_Last", N138)</f>
        <v>271379.28000000003</v>
      </c>
      <c r="AL138" s="15" t="str" cm="1">
        <f t="array" ref="AL138">_xll.BDS("SIA Comdty","FUT_CHAIN", "CHAIN_DATE",A138,"endrow=1")</f>
        <v>SIM23 Comdty</v>
      </c>
      <c r="AM138" s="47" cm="1">
        <f t="array" ref="AM138">_xll.BDH(AL138,"FUT_AGGTE_OPEN_INT",A138)</f>
        <v>152633</v>
      </c>
      <c r="AN138" s="45">
        <f t="shared" si="44"/>
        <v>355.59712513021435</v>
      </c>
      <c r="AO138" s="46">
        <f t="shared" si="45"/>
        <v>27137928000.000004</v>
      </c>
      <c r="AP138" s="46">
        <f t="shared" si="46"/>
        <v>763165</v>
      </c>
      <c r="AQ138" s="46"/>
    </row>
    <row r="139" spans="1:43" s="15" customFormat="1" x14ac:dyDescent="0.2">
      <c r="A139" s="24">
        <v>45098</v>
      </c>
      <c r="B139" s="16" cm="1">
        <f t="array" ref="B139">_xll.BADDPERIODS(A139, "PER=WD", "NUMBEROFPERIODS=2", "BUSDAYADJ=-2", "CDR=GQ", "CDR=P9")</f>
        <v>45100</v>
      </c>
      <c r="C139" s="15" cm="1">
        <f t="array" ref="C139">_xll.BDH("XAU Curncy","PX_LAST",A139,A139)</f>
        <v>1932.55</v>
      </c>
      <c r="D139" s="15" t="str" cm="1">
        <f t="array" ref="D139">_xll.BDP("GCQ23 Comdty",$M$32)</f>
        <v>01/08/2023</v>
      </c>
      <c r="E139" s="15">
        <f t="shared" si="85"/>
        <v>39</v>
      </c>
      <c r="F139" s="23">
        <v>5.2499999999999998E-2</v>
      </c>
      <c r="G139" s="17">
        <f t="shared" si="86"/>
        <v>10.991378125000001</v>
      </c>
      <c r="H139" s="22">
        <v>10.9</v>
      </c>
      <c r="I139" s="19">
        <f t="shared" si="87"/>
        <v>-9.137812500000031E-2</v>
      </c>
      <c r="J139" s="15">
        <v>4</v>
      </c>
      <c r="K139" s="15">
        <v>6</v>
      </c>
      <c r="L139" s="15">
        <v>8</v>
      </c>
      <c r="N139" s="24">
        <v>45098</v>
      </c>
      <c r="O139" s="16" cm="1">
        <f t="array" ref="O139">_xll.BADDPERIODS(N139, "PER=WD", "NUMBEROFPERIODS=2", "BUSDAYADJ=-2", "CDR=GQ", "CDR=P9")</f>
        <v>45100</v>
      </c>
      <c r="P139" s="15" cm="1">
        <f t="array" ref="P139">_xll.BDH("XAG Curncy","PX_LAST",N139,N139)</f>
        <v>22.636399999999998</v>
      </c>
      <c r="Q139" s="15" t="str" cm="1">
        <f t="array" ref="Q139">_xll.BDP("SIN23 Comdty",$M$32)</f>
        <v>03/07/2023</v>
      </c>
      <c r="R139" s="15">
        <f t="shared" si="77"/>
        <v>10</v>
      </c>
      <c r="S139" s="23">
        <v>5.0500000000000003E-2</v>
      </c>
      <c r="T139" s="21">
        <f t="shared" si="78"/>
        <v>3.1753838888888886E-2</v>
      </c>
      <c r="U139" s="22">
        <v>0.03</v>
      </c>
      <c r="V139" s="20">
        <f t="shared" si="79"/>
        <v>-0.17538388888888867</v>
      </c>
      <c r="W139" s="15">
        <v>15</v>
      </c>
      <c r="X139" s="15">
        <v>20</v>
      </c>
      <c r="Y139" s="15">
        <v>25</v>
      </c>
      <c r="Z139" s="18">
        <f t="shared" si="80"/>
        <v>3.1753838888888888</v>
      </c>
      <c r="AA139" s="18">
        <f t="shared" si="81"/>
        <v>3</v>
      </c>
      <c r="AB139" s="18">
        <f t="shared" si="82"/>
        <v>-0.17538388888888867</v>
      </c>
      <c r="AE139" s="44" cm="1">
        <f t="array" ref="AE139">_xll.BDH("COMXGOLD Comdty","PX_Last", N139)</f>
        <v>22621841.969000001</v>
      </c>
      <c r="AF139" s="15" t="str" cm="1">
        <f t="array" ref="AF139">_xll.BDS("GCA Comdty","FUT_CHAIN", "CHAIN_DATE",A139,"endrow=1")</f>
        <v>GCM23 Comdty</v>
      </c>
      <c r="AG139" s="44" cm="1">
        <f t="array" ref="AG139">_xll.BDH(AF139,"FUT_AGGTE_OPEN_INT",A139)</f>
        <v>436676</v>
      </c>
      <c r="AH139" s="44">
        <f t="shared" si="42"/>
        <v>43667600</v>
      </c>
      <c r="AI139" s="48">
        <f t="shared" si="43"/>
        <v>0.51804637692476807</v>
      </c>
      <c r="AJ139" s="45"/>
      <c r="AK139" s="44" cm="1">
        <f t="array" ref="AK139">_xll.BDH("COMXSILV Comdty","PX_Last", N139)</f>
        <v>270674.15999999997</v>
      </c>
      <c r="AL139" s="15" t="str" cm="1">
        <f t="array" ref="AL139">_xll.BDS("SIA Comdty","FUT_CHAIN", "CHAIN_DATE",A139,"endrow=1")</f>
        <v>SIM23 Comdty</v>
      </c>
      <c r="AM139" s="47" cm="1">
        <f t="array" ref="AM139">_xll.BDH(AL139,"FUT_AGGTE_OPEN_INT",A139)</f>
        <v>148416</v>
      </c>
      <c r="AN139" s="45">
        <f t="shared" si="44"/>
        <v>364.75064683053029</v>
      </c>
      <c r="AO139" s="46">
        <f t="shared" si="45"/>
        <v>27067415999.999996</v>
      </c>
      <c r="AP139" s="46">
        <f t="shared" si="46"/>
        <v>742080</v>
      </c>
      <c r="AQ139" s="46"/>
    </row>
    <row r="140" spans="1:43" s="15" customFormat="1" x14ac:dyDescent="0.2">
      <c r="A140" s="24">
        <v>45099</v>
      </c>
      <c r="B140" s="16" cm="1">
        <f t="array" ref="B140">_xll.BADDPERIODS(A140, "PER=WD", "NUMBEROFPERIODS=2", "BUSDAYADJ=-2", "CDR=GQ", "CDR=P9")</f>
        <v>45103</v>
      </c>
      <c r="C140" s="15" cm="1">
        <f t="array" ref="C140">_xll.BDH("XAU Curncy","PX_LAST",A140,A140)</f>
        <v>1914.01</v>
      </c>
      <c r="D140" s="15" t="str" cm="1">
        <f t="array" ref="D140">_xll.BDP("GCQ23 Comdty",$M$32)</f>
        <v>01/08/2023</v>
      </c>
      <c r="E140" s="15">
        <f t="shared" si="85"/>
        <v>36</v>
      </c>
      <c r="F140" s="23">
        <v>5.2499999999999998E-2</v>
      </c>
      <c r="G140" s="17">
        <f t="shared" si="86"/>
        <v>10.0485525</v>
      </c>
      <c r="H140" s="22">
        <v>10.25</v>
      </c>
      <c r="I140" s="19">
        <f t="shared" si="87"/>
        <v>0.20144750000000045</v>
      </c>
      <c r="J140" s="15">
        <v>4</v>
      </c>
      <c r="K140" s="15">
        <v>6</v>
      </c>
      <c r="L140" s="15">
        <v>8</v>
      </c>
      <c r="N140" s="24">
        <v>45099</v>
      </c>
      <c r="O140" s="16" cm="1">
        <f t="array" ref="O140">_xll.BADDPERIODS(N140, "PER=WD", "NUMBEROFPERIODS=2", "BUSDAYADJ=-2", "CDR=GQ", "CDR=P9")</f>
        <v>45103</v>
      </c>
      <c r="P140" s="15" cm="1">
        <f t="array" ref="P140">_xll.BDH("XAG Curncy","PX_LAST",N140,N140)</f>
        <v>22.245000000000001</v>
      </c>
      <c r="Q140" s="15" t="str" cm="1">
        <f t="array" ref="Q140">_xll.BDP("SIN23 Comdty",$M$32)</f>
        <v>03/07/2023</v>
      </c>
      <c r="R140" s="15">
        <f t="shared" si="77"/>
        <v>7</v>
      </c>
      <c r="S140" s="23">
        <v>5.0500000000000003E-2</v>
      </c>
      <c r="T140" s="21">
        <f t="shared" si="78"/>
        <v>2.1843354166666669E-2</v>
      </c>
      <c r="U140" s="22">
        <v>0.02</v>
      </c>
      <c r="V140" s="20">
        <f t="shared" si="79"/>
        <v>-0.18433541666666686</v>
      </c>
      <c r="W140" s="15">
        <v>15</v>
      </c>
      <c r="X140" s="15">
        <v>20</v>
      </c>
      <c r="Y140" s="15">
        <v>25</v>
      </c>
      <c r="Z140" s="18">
        <f t="shared" si="80"/>
        <v>2.1843354166666669</v>
      </c>
      <c r="AA140" s="18">
        <f t="shared" si="81"/>
        <v>2</v>
      </c>
      <c r="AB140" s="18">
        <f t="shared" si="82"/>
        <v>-0.18433541666666686</v>
      </c>
      <c r="AE140" s="44" cm="1">
        <f t="array" ref="AE140">_xll.BDH("COMXGOLD Comdty","PX_Last", N140)</f>
        <v>22587697.605</v>
      </c>
      <c r="AF140" s="15" t="str" cm="1">
        <f t="array" ref="AF140">_xll.BDS("GCA Comdty","FUT_CHAIN", "CHAIN_DATE",A140,"endrow=1")</f>
        <v>GCM23 Comdty</v>
      </c>
      <c r="AG140" s="44" cm="1">
        <f t="array" ref="AG140">_xll.BDH(AF140,"FUT_AGGTE_OPEN_INT",A140)</f>
        <v>438047</v>
      </c>
      <c r="AH140" s="44">
        <f t="shared" si="42"/>
        <v>43804700</v>
      </c>
      <c r="AI140" s="48">
        <f t="shared" si="43"/>
        <v>0.51564552673571562</v>
      </c>
      <c r="AJ140" s="45"/>
      <c r="AK140" s="44" cm="1">
        <f t="array" ref="AK140">_xll.BDH("COMXSILV Comdty","PX_Last", N140)</f>
        <v>267526.25</v>
      </c>
      <c r="AL140" s="15" t="str" cm="1">
        <f t="array" ref="AL140">_xll.BDS("SIA Comdty","FUT_CHAIN", "CHAIN_DATE",A140,"endrow=1")</f>
        <v>SIM23 Comdty</v>
      </c>
      <c r="AM140" s="47" cm="1">
        <f t="array" ref="AM140">_xll.BDH(AL140,"FUT_AGGTE_OPEN_INT",A140)</f>
        <v>145054</v>
      </c>
      <c r="AN140" s="45">
        <f t="shared" si="44"/>
        <v>368.86435396473041</v>
      </c>
      <c r="AO140" s="46">
        <f t="shared" si="45"/>
        <v>26752625000</v>
      </c>
      <c r="AP140" s="46">
        <f t="shared" si="46"/>
        <v>725270</v>
      </c>
      <c r="AQ140" s="46"/>
    </row>
    <row r="141" spans="1:43" s="15" customFormat="1" x14ac:dyDescent="0.2">
      <c r="A141" s="24">
        <v>45100</v>
      </c>
      <c r="B141" s="25" cm="1">
        <f t="array" ref="B141">_xll.BADDPERIODS(A141, "PER=WD", "NUMBEROFPERIODS=2", "BUSDAYADJ=-2", "CDR=GQ", "CDR=P9")</f>
        <v>45104</v>
      </c>
      <c r="C141" s="26" cm="1">
        <f t="array" ref="C141">_xll.BDH("XAU Curncy","PX_LAST",A141,A141)</f>
        <v>1921.2</v>
      </c>
      <c r="D141" s="15" t="str" cm="1">
        <f t="array" ref="D141">_xll.BDP("GCQ23 Comdty",$M$32)</f>
        <v>01/08/2023</v>
      </c>
      <c r="E141" s="26">
        <f t="shared" si="85"/>
        <v>35</v>
      </c>
      <c r="F141" s="27">
        <v>5.2999999999999999E-2</v>
      </c>
      <c r="G141" s="28">
        <f t="shared" si="86"/>
        <v>9.899516666666667</v>
      </c>
      <c r="H141" s="29">
        <v>10</v>
      </c>
      <c r="I141" s="19">
        <f t="shared" si="87"/>
        <v>0.10048333333333304</v>
      </c>
      <c r="J141" s="26">
        <v>4</v>
      </c>
      <c r="K141" s="26">
        <v>6</v>
      </c>
      <c r="L141" s="26">
        <v>8</v>
      </c>
      <c r="N141" s="24">
        <v>45100</v>
      </c>
      <c r="O141" s="16" cm="1">
        <f t="array" ref="O141">_xll.BADDPERIODS(N141, "PER=WD", "NUMBEROFPERIODS=2", "BUSDAYADJ=-2", "CDR=GQ", "CDR=P9")</f>
        <v>45104</v>
      </c>
      <c r="P141" s="15" cm="1">
        <f t="array" ref="P141">_xll.BDH("XAG Curncy","PX_LAST",N141,N141)</f>
        <v>22.428000000000001</v>
      </c>
      <c r="Q141" s="15" t="str" cm="1">
        <f t="array" ref="Q141">_xll.BDP("SIN23 Comdty",$M$32)</f>
        <v>03/07/2023</v>
      </c>
      <c r="R141" s="15">
        <f t="shared" si="77"/>
        <v>6</v>
      </c>
      <c r="S141" s="23">
        <v>5.0500000000000003E-2</v>
      </c>
      <c r="T141" s="21">
        <f t="shared" si="78"/>
        <v>1.8876900000000002E-2</v>
      </c>
      <c r="U141" s="22">
        <v>2.2499999999999999E-2</v>
      </c>
      <c r="V141" s="20">
        <f t="shared" si="79"/>
        <v>0.36230999999999969</v>
      </c>
      <c r="W141" s="15">
        <v>15</v>
      </c>
      <c r="X141" s="15">
        <v>20</v>
      </c>
      <c r="Y141" s="15">
        <v>25</v>
      </c>
      <c r="Z141" s="18">
        <f t="shared" si="80"/>
        <v>1.8876900000000001</v>
      </c>
      <c r="AA141" s="18">
        <f t="shared" si="81"/>
        <v>2.25</v>
      </c>
      <c r="AB141" s="18">
        <f t="shared" si="82"/>
        <v>0.36230999999999969</v>
      </c>
      <c r="AE141" s="44" cm="1">
        <f t="array" ref="AE141">_xll.BDH("COMXGOLD Comdty","PX_Last", N141)</f>
        <v>22409904.23</v>
      </c>
      <c r="AF141" s="15" t="str" cm="1">
        <f t="array" ref="AF141">_xll.BDS("GCA Comdty","FUT_CHAIN", "CHAIN_DATE",A141,"endrow=1")</f>
        <v>GCM23 Comdty</v>
      </c>
      <c r="AG141" s="44" cm="1">
        <f t="array" ref="AG141">_xll.BDH(AF141,"FUT_AGGTE_OPEN_INT",A141)</f>
        <v>435992</v>
      </c>
      <c r="AH141" s="44">
        <f t="shared" si="42"/>
        <v>43599200</v>
      </c>
      <c r="AI141" s="48">
        <f t="shared" si="43"/>
        <v>0.51399806028550987</v>
      </c>
      <c r="AJ141" s="45"/>
      <c r="AK141" s="44" cm="1">
        <f t="array" ref="AK141">_xll.BDH("COMXSILV Comdty","PX_Last", N141)</f>
        <v>267923.03000000003</v>
      </c>
      <c r="AL141" s="15" t="str" cm="1">
        <f t="array" ref="AL141">_xll.BDS("SIA Comdty","FUT_CHAIN", "CHAIN_DATE",A141,"endrow=1")</f>
        <v>SIM23 Comdty</v>
      </c>
      <c r="AM141" s="47" cm="1">
        <f t="array" ref="AM141">_xll.BDH(AL141,"FUT_AGGTE_OPEN_INT",A141)</f>
        <v>141648</v>
      </c>
      <c r="AN141" s="45">
        <f t="shared" si="44"/>
        <v>378.29412346097371</v>
      </c>
      <c r="AO141" s="46">
        <f t="shared" si="45"/>
        <v>26792303000.000004</v>
      </c>
      <c r="AP141" s="46">
        <f t="shared" si="46"/>
        <v>708240</v>
      </c>
      <c r="AQ141" s="46"/>
    </row>
    <row r="142" spans="1:43" s="15" customFormat="1" x14ac:dyDescent="0.2">
      <c r="A142" s="24">
        <v>45103</v>
      </c>
      <c r="B142" s="25" cm="1">
        <f t="array" ref="B142">_xll.BADDPERIODS(A142, "PER=WD", "NUMBEROFPERIODS=2", "BUSDAYADJ=-2", "CDR=GQ", "CDR=P9")</f>
        <v>45105</v>
      </c>
      <c r="C142" s="26" cm="1">
        <f t="array" ref="C142">_xll.BDH("XAU Curncy","PX_LAST",A142,A142)</f>
        <v>1923.26</v>
      </c>
      <c r="D142" s="15" t="str" cm="1">
        <f t="array" ref="D142">_xll.BDP("GCQ23 Comdty",$M$32)</f>
        <v>01/08/2023</v>
      </c>
      <c r="E142" s="26">
        <f t="shared" ref="E142:E156" si="88">_xlfn.DAYS(D142,B142)</f>
        <v>34</v>
      </c>
      <c r="F142" s="27">
        <v>5.2999999999999999E-2</v>
      </c>
      <c r="G142" s="28">
        <f t="shared" ref="G142:G156" si="89">C142*(E142/360)*F142</f>
        <v>9.6269847777777766</v>
      </c>
      <c r="H142" s="29">
        <v>9.6999999999999993</v>
      </c>
      <c r="I142" s="19">
        <f t="shared" ref="I142:I156" si="90">H142-G142</f>
        <v>7.3015222222222675E-2</v>
      </c>
      <c r="J142" s="26">
        <v>4</v>
      </c>
      <c r="K142" s="26">
        <v>6</v>
      </c>
      <c r="L142" s="26">
        <v>8</v>
      </c>
      <c r="N142" s="24">
        <v>45103</v>
      </c>
      <c r="O142" s="16" cm="1">
        <f t="array" ref="O142">_xll.BADDPERIODS(N142, "PER=WD", "NUMBEROFPERIODS=2", "BUSDAYADJ=-2", "CDR=GQ", "CDR=P9")</f>
        <v>45105</v>
      </c>
      <c r="P142" s="15" cm="1">
        <f t="array" ref="P142">_xll.BDH("XAG Curncy","PX_LAST",N142,N142)</f>
        <v>22.790500000000002</v>
      </c>
      <c r="Q142" s="15" t="str" cm="1">
        <f t="array" ref="Q142">_xll.BDP("SIN23 Comdty",$M$32)</f>
        <v>03/07/2023</v>
      </c>
      <c r="R142" s="15">
        <f t="shared" si="77"/>
        <v>5</v>
      </c>
      <c r="S142" s="23">
        <v>5.0500000000000003E-2</v>
      </c>
      <c r="T142" s="21">
        <f t="shared" si="78"/>
        <v>1.5985003472222224E-2</v>
      </c>
      <c r="U142" s="22">
        <v>0.03</v>
      </c>
      <c r="V142" s="20">
        <f t="shared" si="79"/>
        <v>1.4014996527777774</v>
      </c>
      <c r="W142" s="15">
        <v>15</v>
      </c>
      <c r="X142" s="15">
        <v>20</v>
      </c>
      <c r="Y142" s="15">
        <v>25</v>
      </c>
      <c r="Z142" s="18">
        <f t="shared" si="80"/>
        <v>1.5985003472222223</v>
      </c>
      <c r="AA142" s="18">
        <f t="shared" si="81"/>
        <v>3</v>
      </c>
      <c r="AB142" s="18">
        <f t="shared" si="82"/>
        <v>1.4014996527777774</v>
      </c>
      <c r="AE142" s="44" cm="1">
        <f t="array" ref="AE142">_xll.BDH("COMXGOLD Comdty","PX_Last", N142)</f>
        <v>22376820.851</v>
      </c>
      <c r="AF142" s="15" t="str" cm="1">
        <f t="array" ref="AF142">_xll.BDS("GCA Comdty","FUT_CHAIN", "CHAIN_DATE",A142,"endrow=1")</f>
        <v>GCM23 Comdty</v>
      </c>
      <c r="AG142" s="44" cm="1">
        <f t="array" ref="AG142">_xll.BDH(AF142,"FUT_AGGTE_OPEN_INT",A142)</f>
        <v>435489</v>
      </c>
      <c r="AH142" s="44">
        <f t="shared" si="42"/>
        <v>43548900</v>
      </c>
      <c r="AI142" s="48">
        <f t="shared" si="43"/>
        <v>0.51383205663059228</v>
      </c>
      <c r="AJ142" s="45"/>
      <c r="AK142" s="44" cm="1">
        <f t="array" ref="AK142">_xll.BDH("COMXSILV Comdty","PX_Last", N142)</f>
        <v>267502.21999999997</v>
      </c>
      <c r="AL142" s="15" t="str" cm="1">
        <f t="array" ref="AL142">_xll.BDS("SIA Comdty","FUT_CHAIN", "CHAIN_DATE",A142,"endrow=1")</f>
        <v>SIM23 Comdty</v>
      </c>
      <c r="AM142" s="47" cm="1">
        <f t="array" ref="AM142">_xll.BDH(AL142,"FUT_AGGTE_OPEN_INT",A142)</f>
        <v>134156</v>
      </c>
      <c r="AN142" s="45">
        <f t="shared" si="44"/>
        <v>398.79277855630755</v>
      </c>
      <c r="AO142" s="46">
        <f t="shared" si="45"/>
        <v>26750221999.999996</v>
      </c>
      <c r="AP142" s="46">
        <f t="shared" si="46"/>
        <v>670780</v>
      </c>
      <c r="AQ142" s="46"/>
    </row>
    <row r="143" spans="1:43" s="15" customFormat="1" x14ac:dyDescent="0.2">
      <c r="A143" s="24">
        <v>45104</v>
      </c>
      <c r="B143" s="25" cm="1">
        <f t="array" ref="B143">_xll.BADDPERIODS(A143, "PER=WD", "NUMBEROFPERIODS=2", "BUSDAYADJ=-2", "CDR=GQ", "CDR=P9")</f>
        <v>45106</v>
      </c>
      <c r="C143" s="26" cm="1">
        <f t="array" ref="C143">_xll.BDH("XAU Curncy","PX_LAST",A143,A143)</f>
        <v>1913.69</v>
      </c>
      <c r="D143" s="15" t="str" cm="1">
        <f t="array" ref="D143">_xll.BDP("GCQ23 Comdty",$M$32)</f>
        <v>01/08/2023</v>
      </c>
      <c r="E143" s="26">
        <f t="shared" si="88"/>
        <v>33</v>
      </c>
      <c r="F143" s="27">
        <v>5.2999999999999999E-2</v>
      </c>
      <c r="G143" s="28">
        <f t="shared" si="89"/>
        <v>9.2973439166666658</v>
      </c>
      <c r="H143" s="29">
        <v>9.5</v>
      </c>
      <c r="I143" s="19">
        <f t="shared" si="90"/>
        <v>0.20265608333333418</v>
      </c>
      <c r="J143" s="26">
        <v>4</v>
      </c>
      <c r="K143" s="26">
        <v>6</v>
      </c>
      <c r="L143" s="26">
        <v>8</v>
      </c>
      <c r="N143" s="24">
        <v>45104</v>
      </c>
      <c r="O143" s="16" cm="1">
        <f t="array" ref="O143">_xll.BADDPERIODS(N143, "PER=WD", "NUMBEROFPERIODS=2", "BUSDAYADJ=-2", "CDR=GQ", "CDR=P9")</f>
        <v>45106</v>
      </c>
      <c r="P143" s="15" cm="1">
        <f t="array" ref="P143">_xll.BDH("XAG Curncy","PX_LAST",N143,N143)</f>
        <v>22.859500000000001</v>
      </c>
      <c r="Q143" s="15" t="str" cm="1">
        <f t="array" ref="Q143">_xll.BDP("SIN23 Comdty",$M$32)</f>
        <v>03/07/2023</v>
      </c>
      <c r="R143" s="15">
        <f t="shared" si="77"/>
        <v>4</v>
      </c>
      <c r="S143" s="23">
        <v>5.0500000000000003E-2</v>
      </c>
      <c r="T143" s="21">
        <f t="shared" si="78"/>
        <v>1.2826719444444447E-2</v>
      </c>
      <c r="U143" s="22">
        <v>0.04</v>
      </c>
      <c r="V143" s="20">
        <f t="shared" si="79"/>
        <v>2.7173280555555555</v>
      </c>
      <c r="W143" s="15">
        <v>15</v>
      </c>
      <c r="X143" s="15">
        <v>20</v>
      </c>
      <c r="Y143" s="15">
        <v>25</v>
      </c>
      <c r="Z143" s="18">
        <f t="shared" si="80"/>
        <v>1.2826719444444448</v>
      </c>
      <c r="AA143" s="18">
        <f t="shared" si="81"/>
        <v>4</v>
      </c>
      <c r="AB143" s="18">
        <f t="shared" si="82"/>
        <v>2.7173280555555555</v>
      </c>
      <c r="AE143" s="44" cm="1">
        <f t="array" ref="AE143">_xll.BDH("COMXGOLD Comdty","PX_Last", N143)</f>
        <v>22376788.699999999</v>
      </c>
      <c r="AF143" s="15" t="str" cm="1">
        <f t="array" ref="AF143">_xll.BDS("GCA Comdty","FUT_CHAIN", "CHAIN_DATE",A143,"endrow=1")</f>
        <v>GCM23 Comdty</v>
      </c>
      <c r="AG143" s="44" cm="1">
        <f t="array" ref="AG143">_xll.BDH(AF143,"FUT_AGGTE_OPEN_INT",A143)</f>
        <v>431861</v>
      </c>
      <c r="AH143" s="44">
        <f t="shared" si="42"/>
        <v>43186100</v>
      </c>
      <c r="AI143" s="48">
        <f t="shared" si="43"/>
        <v>0.51814793880438381</v>
      </c>
      <c r="AJ143" s="45"/>
      <c r="AK143" s="44" cm="1">
        <f t="array" ref="AK143">_xll.BDH("COMXSILV Comdty","PX_Last", N143)</f>
        <v>268291.81</v>
      </c>
      <c r="AL143" s="15" t="str" cm="1">
        <f t="array" ref="AL143">_xll.BDS("SIA Comdty","FUT_CHAIN", "CHAIN_DATE",A143,"endrow=1")</f>
        <v>SIM23 Comdty</v>
      </c>
      <c r="AM143" s="47" cm="1">
        <f t="array" ref="AM143">_xll.BDH(AL143,"FUT_AGGTE_OPEN_INT",A143)</f>
        <v>123491</v>
      </c>
      <c r="AN143" s="45">
        <f t="shared" si="44"/>
        <v>434.51232883368021</v>
      </c>
      <c r="AO143" s="46">
        <f t="shared" si="45"/>
        <v>26829181000</v>
      </c>
      <c r="AP143" s="46">
        <f t="shared" si="46"/>
        <v>617455</v>
      </c>
      <c r="AQ143" s="46"/>
    </row>
    <row r="144" spans="1:43" s="15" customFormat="1" x14ac:dyDescent="0.2">
      <c r="A144" s="24">
        <v>45105</v>
      </c>
      <c r="B144" s="25" cm="1">
        <f t="array" ref="B144">_xll.BADDPERIODS(A144, "PER=WD", "NUMBEROFPERIODS=2", "BUSDAYADJ=-2", "CDR=GQ", "CDR=P9")</f>
        <v>45107</v>
      </c>
      <c r="C144" s="26" cm="1">
        <f t="array" ref="C144">_xll.BDH("XAU Curncy","PX_LAST",A144,A144)</f>
        <v>1907.32</v>
      </c>
      <c r="D144" s="15" t="str" cm="1">
        <f t="array" ref="D144">_xll.BDP("GCQ23 Comdty",$M$32)</f>
        <v>01/08/2023</v>
      </c>
      <c r="E144" s="26">
        <f t="shared" si="88"/>
        <v>32</v>
      </c>
      <c r="F144" s="27">
        <v>5.2999999999999999E-2</v>
      </c>
      <c r="G144" s="28">
        <f t="shared" si="89"/>
        <v>8.9855964444444432</v>
      </c>
      <c r="H144" s="29">
        <v>8.9</v>
      </c>
      <c r="I144" s="19">
        <f t="shared" si="90"/>
        <v>-8.559644444444281E-2</v>
      </c>
      <c r="J144" s="26">
        <v>4</v>
      </c>
      <c r="K144" s="26">
        <v>6</v>
      </c>
      <c r="L144" s="26">
        <v>8</v>
      </c>
      <c r="N144" s="24">
        <v>45105</v>
      </c>
      <c r="O144" s="16" cm="1">
        <f t="array" ref="O144">_xll.BADDPERIODS(N144, "PER=WD", "NUMBEROFPERIODS=2", "BUSDAYADJ=-2", "CDR=GQ", "CDR=P9")</f>
        <v>45107</v>
      </c>
      <c r="P144" s="15" cm="1">
        <f t="array" ref="P144">_xll.BDH("XAG Curncy","PX_LAST",N144,N144)</f>
        <v>22.697500000000002</v>
      </c>
      <c r="Q144" s="15" t="str" cm="1">
        <f t="array" ref="Q144">_xll.BDP("SIN23 Comdty",$M$32)</f>
        <v>03/07/2023</v>
      </c>
      <c r="R144" s="15">
        <f t="shared" si="77"/>
        <v>3</v>
      </c>
      <c r="S144" s="23">
        <v>5.0500000000000003E-2</v>
      </c>
      <c r="T144" s="21">
        <f t="shared" si="78"/>
        <v>9.5518645833333349E-3</v>
      </c>
      <c r="U144" s="22">
        <v>3.2500000000000001E-2</v>
      </c>
      <c r="V144" s="20">
        <f t="shared" si="79"/>
        <v>2.2948135416666666</v>
      </c>
      <c r="W144" s="15">
        <v>15</v>
      </c>
      <c r="X144" s="15">
        <v>20</v>
      </c>
      <c r="Y144" s="15">
        <v>25</v>
      </c>
      <c r="Z144" s="18">
        <f t="shared" si="80"/>
        <v>0.95518645833333349</v>
      </c>
      <c r="AA144" s="18">
        <f t="shared" si="81"/>
        <v>3.25</v>
      </c>
      <c r="AB144" s="18">
        <f t="shared" si="82"/>
        <v>2.2948135416666666</v>
      </c>
      <c r="AE144" s="44" cm="1">
        <f t="array" ref="AE144">_xll.BDH("COMXGOLD Comdty","PX_Last", N144)</f>
        <v>22341345.978999998</v>
      </c>
      <c r="AF144" s="15" t="str" cm="1">
        <f t="array" ref="AF144">_xll.BDS("GCA Comdty","FUT_CHAIN", "CHAIN_DATE",A144,"endrow=1")</f>
        <v>GCM23 Comdty</v>
      </c>
      <c r="AG144" s="44" cm="1">
        <f t="array" ref="AG144">_xll.BDH(AF144,"FUT_AGGTE_OPEN_INT",A144)</f>
        <v>429456</v>
      </c>
      <c r="AH144" s="44">
        <f t="shared" si="42"/>
        <v>42945600</v>
      </c>
      <c r="AI144" s="48">
        <f t="shared" si="43"/>
        <v>0.5202243298265713</v>
      </c>
      <c r="AJ144" s="45"/>
      <c r="AK144" s="44" cm="1">
        <f t="array" ref="AK144">_xll.BDH("COMXSILV Comdty","PX_Last", N144)</f>
        <v>270712.96999999997</v>
      </c>
      <c r="AL144" s="15" t="str" cm="1">
        <f t="array" ref="AL144">_xll.BDS("SIA Comdty","FUT_CHAIN", "CHAIN_DATE",A144,"endrow=1")</f>
        <v>SIM23 Comdty</v>
      </c>
      <c r="AM144" s="47" cm="1">
        <f t="array" ref="AM144">_xll.BDH(AL144,"FUT_AGGTE_OPEN_INT",A144)</f>
        <v>118899</v>
      </c>
      <c r="AN144" s="45">
        <f t="shared" si="44"/>
        <v>455.36626885003227</v>
      </c>
      <c r="AO144" s="46">
        <f t="shared" si="45"/>
        <v>27071296999.999996</v>
      </c>
      <c r="AP144" s="46">
        <f t="shared" si="46"/>
        <v>594495</v>
      </c>
      <c r="AQ144" s="46"/>
    </row>
    <row r="145" spans="1:43" s="15" customFormat="1" x14ac:dyDescent="0.2">
      <c r="A145" s="24">
        <v>45106</v>
      </c>
      <c r="B145" s="25" cm="1">
        <f t="array" ref="B145">_xll.BADDPERIODS(A145, "PER=WD", "NUMBEROFPERIODS=2", "BUSDAYADJ=-2", "CDR=GQ", "CDR=P9")</f>
        <v>45110</v>
      </c>
      <c r="C145" s="26" cm="1">
        <f t="array" ref="C145">_xll.BDH("XAU Curncy","PX_LAST",A145,A145)</f>
        <v>1908.2</v>
      </c>
      <c r="D145" s="15" t="str" cm="1">
        <f t="array" ref="D145">_xll.BDP("GCQ23 Comdty",$M$32)</f>
        <v>01/08/2023</v>
      </c>
      <c r="E145" s="26">
        <f t="shared" si="88"/>
        <v>29</v>
      </c>
      <c r="F145" s="27">
        <v>5.2999999999999999E-2</v>
      </c>
      <c r="G145" s="28">
        <f t="shared" si="89"/>
        <v>8.1469538888888895</v>
      </c>
      <c r="H145" s="29">
        <v>8</v>
      </c>
      <c r="I145" s="19">
        <f t="shared" si="90"/>
        <v>-0.14695388888888949</v>
      </c>
      <c r="J145" s="26">
        <v>4</v>
      </c>
      <c r="K145" s="26">
        <v>6</v>
      </c>
      <c r="L145" s="26">
        <v>8</v>
      </c>
      <c r="N145" s="24">
        <v>45106</v>
      </c>
      <c r="O145" s="16" cm="1">
        <f t="array" ref="O145">_xll.BADDPERIODS(N145, "PER=WD", "NUMBEROFPERIODS=2", "BUSDAYADJ=-2", "CDR=GQ", "CDR=P9")</f>
        <v>45110</v>
      </c>
      <c r="P145" s="15" cm="1">
        <f t="array" ref="P145">_xll.BDH("XAG Curncy","PX_LAST",N145,N145)</f>
        <v>22.564499999999999</v>
      </c>
      <c r="Q145" s="15" t="str" cm="1">
        <f t="array" ref="Q145">_xll.BDP("SIU23 Comdty",$M$32)</f>
        <v>01/09/2023</v>
      </c>
      <c r="R145" s="15">
        <f t="shared" si="77"/>
        <v>60</v>
      </c>
      <c r="S145" s="23">
        <v>5.2499999999999998E-2</v>
      </c>
      <c r="T145" s="21">
        <f t="shared" si="78"/>
        <v>0.19743937499999997</v>
      </c>
      <c r="U145" s="22">
        <v>0.215</v>
      </c>
      <c r="V145" s="20">
        <f t="shared" si="79"/>
        <v>1.7560625000000023</v>
      </c>
      <c r="W145" s="15">
        <v>15</v>
      </c>
      <c r="X145" s="15">
        <v>20</v>
      </c>
      <c r="Y145" s="15">
        <v>25</v>
      </c>
      <c r="Z145" s="18">
        <f t="shared" si="80"/>
        <v>19.743937499999998</v>
      </c>
      <c r="AA145" s="18">
        <f t="shared" si="81"/>
        <v>21.5</v>
      </c>
      <c r="AB145" s="18">
        <f t="shared" si="82"/>
        <v>1.7560625000000023</v>
      </c>
      <c r="AE145" s="44" cm="1">
        <f t="array" ref="AE145">_xll.BDH("COMXGOLD Comdty","PX_Last", N145)</f>
        <v>22389083.544</v>
      </c>
      <c r="AF145" s="15" t="str" cm="1">
        <f t="array" ref="AF145">_xll.BDS("GCA Comdty","FUT_CHAIN", "CHAIN_DATE",A145,"endrow=1")</f>
        <v>GCN23 Comdty</v>
      </c>
      <c r="AG145" s="44" cm="1">
        <f t="array" ref="AG145">_xll.BDH(AF145,"FUT_AGGTE_OPEN_INT",A145)</f>
        <v>436825</v>
      </c>
      <c r="AH145" s="44">
        <f t="shared" si="42"/>
        <v>43682500</v>
      </c>
      <c r="AI145" s="48">
        <f t="shared" si="43"/>
        <v>0.51254125894809133</v>
      </c>
      <c r="AJ145" s="45"/>
      <c r="AK145" s="44" cm="1">
        <f t="array" ref="AK145">_xll.BDH("COMXSILV Comdty","PX_Last", N145)</f>
        <v>273714.06</v>
      </c>
      <c r="AL145" s="15" t="str" cm="1">
        <f t="array" ref="AL145">_xll.BDS("SIA Comdty","FUT_CHAIN", "CHAIN_DATE",A145,"endrow=1")</f>
        <v>SIN23 Comdty</v>
      </c>
      <c r="AM145" s="47" cm="1">
        <f t="array" ref="AM145">_xll.BDH(AL145,"FUT_AGGTE_OPEN_INT",A145)</f>
        <v>117327</v>
      </c>
      <c r="AN145" s="45">
        <f t="shared" si="44"/>
        <v>466.58324170906957</v>
      </c>
      <c r="AO145" s="46">
        <f t="shared" si="45"/>
        <v>27371406000</v>
      </c>
      <c r="AP145" s="46">
        <f t="shared" si="46"/>
        <v>586635</v>
      </c>
      <c r="AQ145" s="46"/>
    </row>
    <row r="146" spans="1:43" s="15" customFormat="1" x14ac:dyDescent="0.2">
      <c r="A146" s="24">
        <v>45107</v>
      </c>
      <c r="B146" s="25" cm="1">
        <f t="array" ref="B146">_xll.BADDPERIODS(A146, "PER=WD", "NUMBEROFPERIODS=2", "BUSDAYADJ=-2", "CDR=GQ", "CDR=P9")</f>
        <v>45112</v>
      </c>
      <c r="C146" s="26" cm="1">
        <f t="array" ref="C146">_xll.BDH("XAU Curncy","PX_LAST",A146,A146)</f>
        <v>1919.35</v>
      </c>
      <c r="D146" s="15" t="str" cm="1">
        <f t="array" ref="D146">_xll.BDP("GCQ23 Comdty",$M$32)</f>
        <v>01/08/2023</v>
      </c>
      <c r="E146" s="26">
        <f t="shared" si="88"/>
        <v>27</v>
      </c>
      <c r="F146" s="27">
        <v>5.2999999999999999E-2</v>
      </c>
      <c r="G146" s="28">
        <f t="shared" si="89"/>
        <v>7.6294162499999993</v>
      </c>
      <c r="H146" s="29">
        <v>7.6</v>
      </c>
      <c r="I146" s="19">
        <f t="shared" si="90"/>
        <v>-2.94162499999997E-2</v>
      </c>
      <c r="J146" s="26">
        <v>4</v>
      </c>
      <c r="K146" s="26">
        <v>6</v>
      </c>
      <c r="L146" s="26">
        <v>8</v>
      </c>
      <c r="N146" s="24">
        <v>45107</v>
      </c>
      <c r="O146" s="16" cm="1">
        <f t="array" ref="O146">_xll.BADDPERIODS(N146, "PER=WD", "NUMBEROFPERIODS=2", "BUSDAYADJ=-2", "CDR=GQ", "CDR=P9")</f>
        <v>45112</v>
      </c>
      <c r="P146" s="15" cm="1">
        <f t="array" ref="P146">_xll.BDH("XAG Curncy","PX_LAST",N146,N146)</f>
        <v>22.774699999999999</v>
      </c>
      <c r="Q146" s="15" t="str" cm="1">
        <f t="array" ref="Q146">_xll.BDP("SIU23 Comdty",$M$32)</f>
        <v>01/09/2023</v>
      </c>
      <c r="R146" s="15">
        <f t="shared" si="77"/>
        <v>58</v>
      </c>
      <c r="S146" s="23">
        <v>5.2499999999999998E-2</v>
      </c>
      <c r="T146" s="21">
        <f t="shared" si="78"/>
        <v>0.19263600416666668</v>
      </c>
      <c r="U146" s="22">
        <v>0.215</v>
      </c>
      <c r="V146" s="20">
        <f t="shared" si="79"/>
        <v>2.2363995833333314</v>
      </c>
      <c r="W146" s="15">
        <v>15</v>
      </c>
      <c r="X146" s="15">
        <v>20</v>
      </c>
      <c r="Y146" s="15">
        <v>25</v>
      </c>
      <c r="Z146" s="18">
        <f t="shared" si="80"/>
        <v>19.263600416666669</v>
      </c>
      <c r="AA146" s="18">
        <f t="shared" si="81"/>
        <v>21.5</v>
      </c>
      <c r="AB146" s="18">
        <f t="shared" si="82"/>
        <v>2.2363995833333314</v>
      </c>
      <c r="AE146" s="44" cm="1">
        <f t="array" ref="AE146">_xll.BDH("COMXGOLD Comdty","PX_Last", N146)</f>
        <v>22404531.897</v>
      </c>
      <c r="AF146" s="15" t="str" cm="1">
        <f t="array" ref="AF146">_xll.BDS("GCA Comdty","FUT_CHAIN", "CHAIN_DATE",A146,"endrow=1")</f>
        <v>GCN23 Comdty</v>
      </c>
      <c r="AG146" s="44" cm="1">
        <f t="array" ref="AG146">_xll.BDH(AF146,"FUT_AGGTE_OPEN_INT",A146)</f>
        <v>440991</v>
      </c>
      <c r="AH146" s="44">
        <f t="shared" si="42"/>
        <v>44099100</v>
      </c>
      <c r="AI146" s="48">
        <f t="shared" si="43"/>
        <v>0.50804964040082445</v>
      </c>
      <c r="AJ146" s="45"/>
      <c r="AK146" s="44" cm="1">
        <f t="array" ref="AK146">_xll.BDH("COMXSILV Comdty","PX_Last", N146)</f>
        <v>276512.75</v>
      </c>
      <c r="AL146" s="15" t="str" cm="1">
        <f t="array" ref="AL146">_xll.BDS("SIA Comdty","FUT_CHAIN", "CHAIN_DATE",A146,"endrow=1")</f>
        <v>SIN23 Comdty</v>
      </c>
      <c r="AM146" s="47" cm="1">
        <f t="array" ref="AM146">_xll.BDH(AL146,"FUT_AGGTE_OPEN_INT",A146)</f>
        <v>114102</v>
      </c>
      <c r="AN146" s="45">
        <f t="shared" si="44"/>
        <v>484.67642986100151</v>
      </c>
      <c r="AO146" s="46">
        <f t="shared" si="45"/>
        <v>27651275000</v>
      </c>
      <c r="AP146" s="46">
        <f t="shared" si="46"/>
        <v>570510</v>
      </c>
      <c r="AQ146" s="46"/>
    </row>
    <row r="147" spans="1:43" s="15" customFormat="1" x14ac:dyDescent="0.2">
      <c r="A147" s="24">
        <v>45110</v>
      </c>
      <c r="B147" s="25" cm="1">
        <f t="array" ref="B147">_xll.BADDPERIODS(A147, "PER=WD", "NUMBEROFPERIODS=2", "BUSDAYADJ=-2", "CDR=GQ", "CDR=P9")</f>
        <v>45113</v>
      </c>
      <c r="C147" s="26" cm="1">
        <f t="array" ref="C147">_xll.BDH("XAU Curncy","PX_LAST",A147,A147)</f>
        <v>1921.64</v>
      </c>
      <c r="D147" s="15" t="str" cm="1">
        <f t="array" ref="D147">_xll.BDP("GCQ23 Comdty",$M$32)</f>
        <v>01/08/2023</v>
      </c>
      <c r="E147" s="26">
        <f t="shared" si="88"/>
        <v>26</v>
      </c>
      <c r="F147" s="27">
        <v>5.2999999999999999E-2</v>
      </c>
      <c r="G147" s="28">
        <f t="shared" si="89"/>
        <v>7.3556108888888874</v>
      </c>
      <c r="H147" s="29">
        <v>7.6</v>
      </c>
      <c r="I147" s="19">
        <f t="shared" si="90"/>
        <v>0.24438911111111228</v>
      </c>
      <c r="J147" s="26">
        <v>4</v>
      </c>
      <c r="K147" s="26">
        <v>6</v>
      </c>
      <c r="L147" s="26">
        <v>8</v>
      </c>
      <c r="N147" s="24">
        <v>45110</v>
      </c>
      <c r="O147" s="16" cm="1">
        <f t="array" ref="O147">_xll.BADDPERIODS(N147, "PER=WD", "NUMBEROFPERIODS=2", "BUSDAYADJ=-2", "CDR=GQ", "CDR=P9")</f>
        <v>45113</v>
      </c>
      <c r="P147" s="15" cm="1">
        <f t="array" ref="P147">_xll.BDH("XAG Curncy","PX_LAST",N147,N147)</f>
        <v>22.9193</v>
      </c>
      <c r="Q147" s="15" t="str" cm="1">
        <f t="array" ref="Q147">_xll.BDP("SIU23 Comdty",$M$32)</f>
        <v>01/09/2023</v>
      </c>
      <c r="R147" s="15">
        <f t="shared" si="77"/>
        <v>57</v>
      </c>
      <c r="S147" s="23">
        <v>5.2499999999999998E-2</v>
      </c>
      <c r="T147" s="21">
        <f t="shared" si="78"/>
        <v>0.19051668124999999</v>
      </c>
      <c r="U147" s="22">
        <v>0.215</v>
      </c>
      <c r="V147" s="20">
        <f t="shared" si="79"/>
        <v>2.4483318750000009</v>
      </c>
      <c r="W147" s="15">
        <v>15</v>
      </c>
      <c r="X147" s="15">
        <v>20</v>
      </c>
      <c r="Y147" s="15">
        <v>25</v>
      </c>
      <c r="Z147" s="18">
        <f t="shared" si="80"/>
        <v>19.051668124999999</v>
      </c>
      <c r="AA147" s="18">
        <f t="shared" si="81"/>
        <v>21.5</v>
      </c>
      <c r="AB147" s="18">
        <f t="shared" si="82"/>
        <v>2.4483318750000009</v>
      </c>
      <c r="AE147" s="44" cm="1">
        <f t="array" ref="AE147">_xll.BDH("COMXGOLD Comdty","PX_Last", N147)</f>
        <v>22394565.087000001</v>
      </c>
      <c r="AF147" s="15" t="str" cm="1">
        <f t="array" ref="AF147">_xll.BDS("GCA Comdty","FUT_CHAIN", "CHAIN_DATE",A147,"endrow=1")</f>
        <v>GCN23 Comdty</v>
      </c>
      <c r="AG147" s="44" cm="1">
        <f t="array" ref="AG147">_xll.BDH(AF147,"FUT_AGGTE_OPEN_INT",A147)</f>
        <v>449002</v>
      </c>
      <c r="AH147" s="44">
        <f t="shared" si="42"/>
        <v>44900200</v>
      </c>
      <c r="AI147" s="48">
        <f t="shared" si="43"/>
        <v>0.49876314775880731</v>
      </c>
      <c r="AJ147" s="45"/>
      <c r="AK147" s="44" cm="1">
        <f t="array" ref="AK147">_xll.BDH("COMXSILV Comdty","PX_Last", N147)</f>
        <v>277828</v>
      </c>
      <c r="AL147" s="15" t="str" cm="1">
        <f t="array" ref="AL147">_xll.BDS("SIA Comdty","FUT_CHAIN", "CHAIN_DATE",A147,"endrow=1")</f>
        <v>SIN23 Comdty</v>
      </c>
      <c r="AM147" s="47" cm="1">
        <f t="array" ref="AM147">_xll.BDH(AL147,"FUT_AGGTE_OPEN_INT",A147)</f>
        <v>114648</v>
      </c>
      <c r="AN147" s="45">
        <f t="shared" si="44"/>
        <v>484.66261949619707</v>
      </c>
      <c r="AO147" s="46">
        <f t="shared" si="45"/>
        <v>27782800000</v>
      </c>
      <c r="AP147" s="46">
        <f t="shared" si="46"/>
        <v>573240</v>
      </c>
      <c r="AQ147" s="46"/>
    </row>
    <row r="148" spans="1:43" s="15" customFormat="1" x14ac:dyDescent="0.2">
      <c r="A148" s="24">
        <v>45111</v>
      </c>
      <c r="B148" s="25" cm="1">
        <f t="array" ref="B148">_xll.BADDPERIODS(A148, "PER=WD", "NUMBEROFPERIODS=2", "BUSDAYADJ=-2", "CDR=GQ", "CDR=P9")</f>
        <v>45113</v>
      </c>
      <c r="C148" s="26" cm="1">
        <f t="array" ref="C148">_xll.BDH("XAU Curncy","PX_LAST",A148,A148)</f>
        <v>1925.48</v>
      </c>
      <c r="D148" s="15" t="str" cm="1">
        <f t="array" ref="D148">_xll.BDP("GCQ23 Comdty",$M$32)</f>
        <v>01/08/2023</v>
      </c>
      <c r="E148" s="26">
        <f t="shared" si="88"/>
        <v>26</v>
      </c>
      <c r="F148" s="27">
        <v>5.2999999999999999E-2</v>
      </c>
      <c r="G148" s="28">
        <f t="shared" si="89"/>
        <v>7.3703095555555542</v>
      </c>
      <c r="H148" s="29">
        <v>7.6</v>
      </c>
      <c r="I148" s="19">
        <f t="shared" si="90"/>
        <v>0.22969044444444542</v>
      </c>
      <c r="J148" s="26">
        <v>4</v>
      </c>
      <c r="K148" s="26">
        <v>6</v>
      </c>
      <c r="L148" s="26">
        <v>8</v>
      </c>
      <c r="N148" s="24">
        <v>45111</v>
      </c>
      <c r="O148" s="16" cm="1">
        <f t="array" ref="O148">_xll.BADDPERIODS(N148, "PER=WD", "NUMBEROFPERIODS=2", "BUSDAYADJ=-2", "CDR=GQ", "CDR=P9")</f>
        <v>45113</v>
      </c>
      <c r="P148" s="15" cm="1">
        <f t="array" ref="P148">_xll.BDH("XAG Curncy","PX_LAST",N148,N148)</f>
        <v>22.966699999999999</v>
      </c>
      <c r="Q148" s="15" t="str" cm="1">
        <f t="array" ref="Q148">_xll.BDP("SIU23 Comdty",$M$32)</f>
        <v>01/09/2023</v>
      </c>
      <c r="R148" s="15">
        <f t="shared" si="77"/>
        <v>57</v>
      </c>
      <c r="S148" s="23">
        <v>5.2499999999999998E-2</v>
      </c>
      <c r="T148" s="21">
        <f t="shared" si="78"/>
        <v>0.19091069374999997</v>
      </c>
      <c r="U148" s="22">
        <v>0.215</v>
      </c>
      <c r="V148" s="20">
        <f t="shared" si="79"/>
        <v>2.4089306250000027</v>
      </c>
      <c r="W148" s="15">
        <v>15</v>
      </c>
      <c r="X148" s="15">
        <v>20</v>
      </c>
      <c r="Y148" s="15">
        <v>25</v>
      </c>
      <c r="Z148" s="18">
        <f t="shared" si="80"/>
        <v>19.091069374999996</v>
      </c>
      <c r="AA148" s="18">
        <f t="shared" si="81"/>
        <v>21.5</v>
      </c>
      <c r="AB148" s="18">
        <f t="shared" si="82"/>
        <v>2.4089306250000027</v>
      </c>
      <c r="AE148" s="44" t="str" cm="1">
        <f t="array" ref="AE148">_xll.BDH("COMXGOLD Comdty","PX_Last", N148)</f>
        <v>#N/A N/A</v>
      </c>
      <c r="AF148" s="15" t="str" cm="1">
        <f t="array" ref="AF148">_xll.BDS("GCA Comdty","FUT_CHAIN", "CHAIN_DATE",A148,"endrow=1")</f>
        <v>GCN23 Comdty</v>
      </c>
      <c r="AG148" s="44" t="str" cm="1">
        <f t="array" ref="AG148">_xll.BDH(AF148,"FUT_AGGTE_OPEN_INT",A148)</f>
        <v>#N/A N/A</v>
      </c>
      <c r="AH148" s="44" t="e">
        <f t="shared" si="42"/>
        <v>#VALUE!</v>
      </c>
      <c r="AI148" s="48" t="e">
        <f t="shared" si="43"/>
        <v>#VALUE!</v>
      </c>
      <c r="AJ148" s="45"/>
      <c r="AK148" s="44" t="str" cm="1">
        <f t="array" ref="AK148">_xll.BDH("COMXSILV Comdty","PX_Last", N148)</f>
        <v>#N/A N/A</v>
      </c>
      <c r="AL148" s="15" t="str" cm="1">
        <f t="array" ref="AL148">_xll.BDS("SIA Comdty","FUT_CHAIN", "CHAIN_DATE",A148,"endrow=1")</f>
        <v>SIN23 Comdty</v>
      </c>
      <c r="AM148" s="47" t="str" cm="1">
        <f t="array" ref="AM148">_xll.BDH(AL148,"FUT_AGGTE_OPEN_INT",A148)</f>
        <v>#N/A N/A</v>
      </c>
      <c r="AN148" s="45" t="e">
        <f t="shared" si="44"/>
        <v>#VALUE!</v>
      </c>
      <c r="AO148" s="46" t="e">
        <f t="shared" si="45"/>
        <v>#VALUE!</v>
      </c>
      <c r="AP148" s="46" t="e">
        <f t="shared" si="46"/>
        <v>#VALUE!</v>
      </c>
      <c r="AQ148" s="46"/>
    </row>
    <row r="149" spans="1:43" s="15" customFormat="1" x14ac:dyDescent="0.2">
      <c r="A149" s="24">
        <v>45112</v>
      </c>
      <c r="B149" s="25" cm="1">
        <f t="array" ref="B149">_xll.BADDPERIODS(A149, "PER=WD", "NUMBEROFPERIODS=2", "BUSDAYADJ=-2", "CDR=GQ", "CDR=P9")</f>
        <v>45114</v>
      </c>
      <c r="C149" s="26" cm="1">
        <f t="array" ref="C149">_xll.BDH("XAU Curncy","PX_LAST",A149,A149)</f>
        <v>1915.3</v>
      </c>
      <c r="D149" s="15" t="str" cm="1">
        <f t="array" ref="D149">_xll.BDP("GCQ23 Comdty",$M$32)</f>
        <v>01/08/2023</v>
      </c>
      <c r="E149" s="26">
        <f t="shared" si="88"/>
        <v>25</v>
      </c>
      <c r="F149" s="27">
        <v>5.3199999999999997E-2</v>
      </c>
      <c r="G149" s="28">
        <f t="shared" si="89"/>
        <v>7.0759694444444445</v>
      </c>
      <c r="H149" s="29">
        <v>7.25</v>
      </c>
      <c r="I149" s="19">
        <f t="shared" si="90"/>
        <v>0.17403055555555547</v>
      </c>
      <c r="J149" s="26">
        <v>4</v>
      </c>
      <c r="K149" s="26">
        <v>6</v>
      </c>
      <c r="L149" s="26">
        <v>8</v>
      </c>
      <c r="N149" s="24">
        <v>45112</v>
      </c>
      <c r="O149" s="16" cm="1">
        <f t="array" ref="O149">_xll.BADDPERIODS(N149, "PER=WD", "NUMBEROFPERIODS=2", "BUSDAYADJ=-2", "CDR=GQ", "CDR=P9")</f>
        <v>45114</v>
      </c>
      <c r="P149" s="15" cm="1">
        <f t="array" ref="P149">_xll.BDH("XAG Curncy","PX_LAST",N149,N149)</f>
        <v>23.108699999999999</v>
      </c>
      <c r="Q149" s="15" t="str" cm="1">
        <f t="array" ref="Q149">_xll.BDP("SIU23 Comdty",$M$32)</f>
        <v>01/09/2023</v>
      </c>
      <c r="R149" s="15">
        <f t="shared" si="77"/>
        <v>56</v>
      </c>
      <c r="S149" s="23">
        <v>5.2499999999999998E-2</v>
      </c>
      <c r="T149" s="21">
        <f t="shared" si="78"/>
        <v>0.18872105</v>
      </c>
      <c r="U149" s="22">
        <v>0.2</v>
      </c>
      <c r="V149" s="20">
        <f t="shared" si="79"/>
        <v>1.127895000000001</v>
      </c>
      <c r="W149" s="15">
        <v>15</v>
      </c>
      <c r="X149" s="15">
        <v>20</v>
      </c>
      <c r="Y149" s="15">
        <v>25</v>
      </c>
      <c r="Z149" s="18">
        <f t="shared" si="80"/>
        <v>18.872105000000001</v>
      </c>
      <c r="AA149" s="18">
        <f t="shared" si="81"/>
        <v>20</v>
      </c>
      <c r="AB149" s="18">
        <f t="shared" si="82"/>
        <v>1.127895000000001</v>
      </c>
      <c r="AE149" s="44" cm="1">
        <f t="array" ref="AE149">_xll.BDH("COMXGOLD Comdty","PX_Last", N149)</f>
        <v>22394565.087000001</v>
      </c>
      <c r="AF149" s="15" t="str" cm="1">
        <f t="array" ref="AF149">_xll.BDS("GCA Comdty","FUT_CHAIN", "CHAIN_DATE",A149,"endrow=1")</f>
        <v>GCN23 Comdty</v>
      </c>
      <c r="AG149" s="44" cm="1">
        <f t="array" ref="AG149">_xll.BDH(AF149,"FUT_AGGTE_OPEN_INT",A149)</f>
        <v>452654</v>
      </c>
      <c r="AH149" s="44">
        <f t="shared" si="42"/>
        <v>45265400</v>
      </c>
      <c r="AI149" s="48">
        <f t="shared" si="43"/>
        <v>0.49473914042513711</v>
      </c>
      <c r="AJ149" s="45"/>
      <c r="AK149" s="44" cm="1">
        <f t="array" ref="AK149">_xll.BDH("COMXSILV Comdty","PX_Last", N149)</f>
        <v>278335.65999999997</v>
      </c>
      <c r="AL149" s="15" t="str" cm="1">
        <f t="array" ref="AL149">_xll.BDS("SIA Comdty","FUT_CHAIN", "CHAIN_DATE",A149,"endrow=1")</f>
        <v>SIN23 Comdty</v>
      </c>
      <c r="AM149" s="47" cm="1">
        <f t="array" ref="AM149">_xll.BDH(AL149,"FUT_AGGTE_OPEN_INT",A149)</f>
        <v>117386</v>
      </c>
      <c r="AN149" s="45">
        <f t="shared" si="44"/>
        <v>474.22292266539444</v>
      </c>
      <c r="AO149" s="46">
        <f t="shared" si="45"/>
        <v>27833565999.999996</v>
      </c>
      <c r="AP149" s="46">
        <f t="shared" si="46"/>
        <v>586930</v>
      </c>
      <c r="AQ149" s="46"/>
    </row>
    <row r="150" spans="1:43" s="15" customFormat="1" x14ac:dyDescent="0.2">
      <c r="A150" s="24">
        <v>45113</v>
      </c>
      <c r="B150" s="25" cm="1">
        <f t="array" ref="B150">_xll.BADDPERIODS(A150, "PER=WD", "NUMBEROFPERIODS=2", "BUSDAYADJ=-2", "CDR=GQ", "CDR=P9")</f>
        <v>45117</v>
      </c>
      <c r="C150" s="26" cm="1">
        <f t="array" ref="C150">_xll.BDH("XAU Curncy","PX_LAST",A150,A150)</f>
        <v>1910.9</v>
      </c>
      <c r="D150" s="15" t="str" cm="1">
        <f t="array" ref="D150">_xll.BDP("GCQ23 Comdty",$M$32)</f>
        <v>01/08/2023</v>
      </c>
      <c r="E150" s="26">
        <f t="shared" si="88"/>
        <v>22</v>
      </c>
      <c r="F150" s="27">
        <v>5.3199999999999997E-2</v>
      </c>
      <c r="G150" s="28">
        <f t="shared" si="89"/>
        <v>6.2125482222222219</v>
      </c>
      <c r="H150" s="29">
        <v>6.25</v>
      </c>
      <c r="I150" s="19">
        <f t="shared" si="90"/>
        <v>3.7451777777778084E-2</v>
      </c>
      <c r="J150" s="26">
        <v>4</v>
      </c>
      <c r="K150" s="26">
        <v>6</v>
      </c>
      <c r="L150" s="26">
        <v>8</v>
      </c>
      <c r="N150" s="24">
        <v>45113</v>
      </c>
      <c r="O150" s="16" cm="1">
        <f t="array" ref="O150">_xll.BADDPERIODS(N150, "PER=WD", "NUMBEROFPERIODS=2", "BUSDAYADJ=-2", "CDR=GQ", "CDR=P9")</f>
        <v>45117</v>
      </c>
      <c r="P150" s="15" cm="1">
        <f t="array" ref="P150">_xll.BDH("XAG Curncy","PX_LAST",N150,N150)</f>
        <v>22.72</v>
      </c>
      <c r="Q150" s="15" t="str" cm="1">
        <f t="array" ref="Q150">_xll.BDP("SIU23 Comdty",$M$32)</f>
        <v>01/09/2023</v>
      </c>
      <c r="R150" s="15">
        <f t="shared" si="77"/>
        <v>53</v>
      </c>
      <c r="S150" s="23">
        <v>5.2499999999999998E-2</v>
      </c>
      <c r="T150" s="21">
        <f t="shared" si="78"/>
        <v>0.17560666666666666</v>
      </c>
      <c r="U150" s="22">
        <v>0.19750000000000001</v>
      </c>
      <c r="V150" s="20">
        <f t="shared" si="79"/>
        <v>2.1893333333333347</v>
      </c>
      <c r="W150" s="15">
        <v>15</v>
      </c>
      <c r="X150" s="15">
        <v>20</v>
      </c>
      <c r="Y150" s="15">
        <v>25</v>
      </c>
      <c r="Z150" s="18">
        <f t="shared" si="80"/>
        <v>17.560666666666666</v>
      </c>
      <c r="AA150" s="18">
        <f t="shared" si="81"/>
        <v>19.75</v>
      </c>
      <c r="AB150" s="18">
        <f t="shared" si="82"/>
        <v>2.1893333333333347</v>
      </c>
      <c r="AE150" s="44" cm="1">
        <f t="array" ref="AE150">_xll.BDH("COMXGOLD Comdty","PX_Last", N150)</f>
        <v>22426482.155000001</v>
      </c>
      <c r="AF150" s="15" t="str" cm="1">
        <f t="array" ref="AF150">_xll.BDS("GCA Comdty","FUT_CHAIN", "CHAIN_DATE",A150,"endrow=1")</f>
        <v>GCN23 Comdty</v>
      </c>
      <c r="AG150" s="44" cm="1">
        <f t="array" ref="AG150">_xll.BDH(AF150,"FUT_AGGTE_OPEN_INT",A150)</f>
        <v>461175</v>
      </c>
      <c r="AH150" s="44">
        <f t="shared" si="42"/>
        <v>46117500</v>
      </c>
      <c r="AI150" s="48">
        <f t="shared" si="43"/>
        <v>0.48629006678592729</v>
      </c>
      <c r="AJ150" s="45"/>
      <c r="AK150" s="44" cm="1">
        <f t="array" ref="AK150">_xll.BDH("COMXSILV Comdty","PX_Last", N150)</f>
        <v>279029.40999999997</v>
      </c>
      <c r="AL150" s="15" t="str" cm="1">
        <f t="array" ref="AL150">_xll.BDS("SIA Comdty","FUT_CHAIN", "CHAIN_DATE",A150,"endrow=1")</f>
        <v>SIN23 Comdty</v>
      </c>
      <c r="AM150" s="47" cm="1">
        <f t="array" ref="AM150">_xll.BDH(AL150,"FUT_AGGTE_OPEN_INT",A150)</f>
        <v>118845</v>
      </c>
      <c r="AN150" s="45">
        <f t="shared" si="44"/>
        <v>469.56861458201854</v>
      </c>
      <c r="AO150" s="46">
        <f t="shared" si="45"/>
        <v>27902940999.999996</v>
      </c>
      <c r="AP150" s="46">
        <f t="shared" si="46"/>
        <v>594225</v>
      </c>
      <c r="AQ150" s="46"/>
    </row>
    <row r="151" spans="1:43" s="15" customFormat="1" x14ac:dyDescent="0.2">
      <c r="A151" s="24">
        <v>45114</v>
      </c>
      <c r="B151" s="25" cm="1">
        <f t="array" ref="B151">_xll.BADDPERIODS(A151, "PER=WD", "NUMBEROFPERIODS=2", "BUSDAYADJ=-2", "CDR=GQ", "CDR=P9")</f>
        <v>45118</v>
      </c>
      <c r="C151" s="26" cm="1">
        <f t="array" ref="C151">_xll.BDH("XAU Curncy","PX_LAST",A151,A151)</f>
        <v>1925.05</v>
      </c>
      <c r="D151" s="15" t="str" cm="1">
        <f t="array" ref="D151">_xll.BDP("GCQ23 Comdty",$M$32)</f>
        <v>01/08/2023</v>
      </c>
      <c r="E151" s="26">
        <f t="shared" si="88"/>
        <v>21</v>
      </c>
      <c r="F151" s="27">
        <v>5.3199999999999997E-2</v>
      </c>
      <c r="G151" s="28">
        <f t="shared" si="89"/>
        <v>5.9740718333333334</v>
      </c>
      <c r="H151" s="29">
        <v>6</v>
      </c>
      <c r="I151" s="19">
        <f t="shared" si="90"/>
        <v>2.5928166666666641E-2</v>
      </c>
      <c r="J151" s="26">
        <v>4</v>
      </c>
      <c r="K151" s="26">
        <v>6</v>
      </c>
      <c r="L151" s="26">
        <v>8</v>
      </c>
      <c r="N151" s="24">
        <v>45114</v>
      </c>
      <c r="O151" s="16" cm="1">
        <f t="array" ref="O151">_xll.BADDPERIODS(N151, "PER=WD", "NUMBEROFPERIODS=2", "BUSDAYADJ=-2", "CDR=GQ", "CDR=P9")</f>
        <v>45118</v>
      </c>
      <c r="P151" s="15" cm="1">
        <f t="array" ref="P151">_xll.BDH("XAG Curncy","PX_LAST",N151,N151)</f>
        <v>23.088799999999999</v>
      </c>
      <c r="Q151" s="15" t="str" cm="1">
        <f t="array" ref="Q151">_xll.BDP("SIU23 Comdty",$M$32)</f>
        <v>01/09/2023</v>
      </c>
      <c r="R151" s="15">
        <f t="shared" si="77"/>
        <v>52</v>
      </c>
      <c r="S151" s="23">
        <v>5.2499999999999998E-2</v>
      </c>
      <c r="T151" s="21">
        <f t="shared" si="78"/>
        <v>0.17509006666666663</v>
      </c>
      <c r="U151" s="22">
        <v>0.2</v>
      </c>
      <c r="V151" s="20">
        <f t="shared" si="79"/>
        <v>2.4909933333333383</v>
      </c>
      <c r="W151" s="15">
        <v>15</v>
      </c>
      <c r="X151" s="15">
        <v>20</v>
      </c>
      <c r="Y151" s="15">
        <v>25</v>
      </c>
      <c r="Z151" s="18">
        <f t="shared" si="80"/>
        <v>17.509006666666664</v>
      </c>
      <c r="AA151" s="18">
        <f t="shared" si="81"/>
        <v>20</v>
      </c>
      <c r="AB151" s="18">
        <f t="shared" si="82"/>
        <v>2.4909933333333383</v>
      </c>
      <c r="AE151" s="44" cm="1">
        <f t="array" ref="AE151">_xll.BDH("COMXGOLD Comdty","PX_Last", N151)</f>
        <v>22458010.936999999</v>
      </c>
      <c r="AF151" s="15" t="str" cm="1">
        <f t="array" ref="AF151">_xll.BDS("GCA Comdty","FUT_CHAIN", "CHAIN_DATE",A151,"endrow=1")</f>
        <v>GCN23 Comdty</v>
      </c>
      <c r="AG151" s="44" cm="1">
        <f t="array" ref="AG151">_xll.BDH(AF151,"FUT_AGGTE_OPEN_INT",A151)</f>
        <v>463111</v>
      </c>
      <c r="AH151" s="44">
        <f t="shared" si="42"/>
        <v>46311100</v>
      </c>
      <c r="AI151" s="48">
        <f t="shared" si="43"/>
        <v>0.48493797247312198</v>
      </c>
      <c r="AJ151" s="45"/>
      <c r="AK151" s="44" cm="1">
        <f t="array" ref="AK151">_xll.BDH("COMXSILV Comdty","PX_Last", N151)</f>
        <v>278403.03000000003</v>
      </c>
      <c r="AL151" s="15" t="str" cm="1">
        <f t="array" ref="AL151">_xll.BDS("SIA Comdty","FUT_CHAIN", "CHAIN_DATE",A151,"endrow=1")</f>
        <v>SIN23 Comdty</v>
      </c>
      <c r="AM151" s="47" cm="1">
        <f t="array" ref="AM151">_xll.BDH(AL151,"FUT_AGGTE_OPEN_INT",A151)</f>
        <v>119738</v>
      </c>
      <c r="AN151" s="45">
        <f t="shared" si="44"/>
        <v>465.02034441864743</v>
      </c>
      <c r="AO151" s="46">
        <f t="shared" si="45"/>
        <v>27840303000.000004</v>
      </c>
      <c r="AP151" s="46">
        <f t="shared" si="46"/>
        <v>598690</v>
      </c>
      <c r="AQ151" s="46"/>
    </row>
    <row r="152" spans="1:43" s="15" customFormat="1" x14ac:dyDescent="0.2">
      <c r="A152" s="24">
        <v>45117</v>
      </c>
      <c r="B152" s="25" cm="1">
        <f t="array" ref="B152">_xll.BADDPERIODS(A152, "PER=WD", "NUMBEROFPERIODS=2", "BUSDAYADJ=-2", "CDR=GQ", "CDR=P9")</f>
        <v>45119</v>
      </c>
      <c r="C152" s="26" cm="1">
        <f t="array" ref="C152">_xll.BDH("XAU Curncy","PX_LAST",A152,A152)</f>
        <v>1925.35</v>
      </c>
      <c r="D152" s="15" t="str" cm="1">
        <f t="array" ref="D152">_xll.BDP("GCQ23 Comdty",$M$32)</f>
        <v>01/08/2023</v>
      </c>
      <c r="E152" s="26">
        <f t="shared" si="88"/>
        <v>20</v>
      </c>
      <c r="F152" s="27">
        <v>5.3199999999999997E-2</v>
      </c>
      <c r="G152" s="28">
        <f t="shared" si="89"/>
        <v>5.6904788888888875</v>
      </c>
      <c r="H152" s="29">
        <v>5.6</v>
      </c>
      <c r="I152" s="19">
        <f t="shared" si="90"/>
        <v>-9.0478888888887887E-2</v>
      </c>
      <c r="J152" s="26">
        <v>4</v>
      </c>
      <c r="K152" s="26">
        <v>6</v>
      </c>
      <c r="L152" s="26">
        <v>8</v>
      </c>
      <c r="N152" s="24">
        <v>45117</v>
      </c>
      <c r="O152" s="16" cm="1">
        <f t="array" ref="O152">_xll.BADDPERIODS(N152, "PER=WD", "NUMBEROFPERIODS=2", "BUSDAYADJ=-2", "CDR=GQ", "CDR=P9")</f>
        <v>45119</v>
      </c>
      <c r="P152" s="15" cm="1">
        <f t="array" ref="P152">_xll.BDH("XAG Curncy","PX_LAST",N152,N152)</f>
        <v>23.13</v>
      </c>
      <c r="Q152" s="15" t="str" cm="1">
        <f t="array" ref="Q152">_xll.BDP("SIU23 Comdty",$M$32)</f>
        <v>01/09/2023</v>
      </c>
      <c r="R152" s="15">
        <f t="shared" si="77"/>
        <v>51</v>
      </c>
      <c r="S152" s="23">
        <v>5.2499999999999998E-2</v>
      </c>
      <c r="T152" s="21">
        <f t="shared" si="78"/>
        <v>0.17202937499999998</v>
      </c>
      <c r="U152" s="22">
        <v>0.2</v>
      </c>
      <c r="V152" s="20">
        <f t="shared" si="79"/>
        <v>2.7970625000000027</v>
      </c>
      <c r="W152" s="15">
        <v>15</v>
      </c>
      <c r="X152" s="15">
        <v>20</v>
      </c>
      <c r="Y152" s="15">
        <v>25</v>
      </c>
      <c r="Z152" s="18">
        <f t="shared" si="80"/>
        <v>17.202937499999997</v>
      </c>
      <c r="AA152" s="18">
        <f t="shared" si="81"/>
        <v>20</v>
      </c>
      <c r="AB152" s="18">
        <f t="shared" si="82"/>
        <v>2.7970625000000027</v>
      </c>
      <c r="AE152" s="44" cm="1">
        <f t="array" ref="AE152">_xll.BDH("COMXGOLD Comdty","PX_Last", N152)</f>
        <v>22285232.943</v>
      </c>
      <c r="AF152" s="15" t="str" cm="1">
        <f t="array" ref="AF152">_xll.BDS("GCA Comdty","FUT_CHAIN", "CHAIN_DATE",A152,"endrow=1")</f>
        <v>GCN23 Comdty</v>
      </c>
      <c r="AG152" s="44" cm="1">
        <f t="array" ref="AG152">_xll.BDH(AF152,"FUT_AGGTE_OPEN_INT",A152)</f>
        <v>485952</v>
      </c>
      <c r="AH152" s="44">
        <f t="shared" si="42"/>
        <v>48595200</v>
      </c>
      <c r="AI152" s="48">
        <f t="shared" si="43"/>
        <v>0.45858918047461478</v>
      </c>
      <c r="AJ152" s="45"/>
      <c r="AK152" s="44" cm="1">
        <f t="array" ref="AK152">_xll.BDH("COMXSILV Comdty","PX_Last", N152)</f>
        <v>278403.03000000003</v>
      </c>
      <c r="AL152" s="15" t="str" cm="1">
        <f t="array" ref="AL152">_xll.BDS("SIA Comdty","FUT_CHAIN", "CHAIN_DATE",A152,"endrow=1")</f>
        <v>SIN23 Comdty</v>
      </c>
      <c r="AM152" s="47" cm="1">
        <f t="array" ref="AM152">_xll.BDH(AL152,"FUT_AGGTE_OPEN_INT",A152)</f>
        <v>121649</v>
      </c>
      <c r="AN152" s="45">
        <f t="shared" si="44"/>
        <v>457.71527920492571</v>
      </c>
      <c r="AO152" s="46">
        <f t="shared" si="45"/>
        <v>27840303000.000004</v>
      </c>
      <c r="AP152" s="46">
        <f t="shared" si="46"/>
        <v>608245</v>
      </c>
      <c r="AQ152" s="46"/>
    </row>
    <row r="153" spans="1:43" s="15" customFormat="1" x14ac:dyDescent="0.2">
      <c r="A153" s="24">
        <v>45118</v>
      </c>
      <c r="B153" s="25" cm="1">
        <f t="array" ref="B153">_xll.BADDPERIODS(A153, "PER=WD", "NUMBEROFPERIODS=2", "BUSDAYADJ=-2", "CDR=GQ", "CDR=P9")</f>
        <v>45120</v>
      </c>
      <c r="C153" s="26" cm="1">
        <f t="array" ref="C153">_xll.BDH("XAU Curncy","PX_LAST",A153,A153)</f>
        <v>1932.23</v>
      </c>
      <c r="D153" s="15" t="str" cm="1">
        <f t="array" ref="D153">_xll.BDP("GCQ23 Comdty",$M$32)</f>
        <v>01/08/2023</v>
      </c>
      <c r="E153" s="26">
        <f t="shared" si="88"/>
        <v>19</v>
      </c>
      <c r="F153" s="27">
        <v>5.3199999999999997E-2</v>
      </c>
      <c r="G153" s="28">
        <f t="shared" si="89"/>
        <v>5.4252724555555547</v>
      </c>
      <c r="H153" s="29">
        <v>5.3</v>
      </c>
      <c r="I153" s="19">
        <f t="shared" si="90"/>
        <v>-0.12527245555555488</v>
      </c>
      <c r="J153" s="26">
        <v>4</v>
      </c>
      <c r="K153" s="26">
        <v>6</v>
      </c>
      <c r="L153" s="26">
        <v>8</v>
      </c>
      <c r="N153" s="24">
        <v>45118</v>
      </c>
      <c r="O153" s="16" cm="1">
        <f t="array" ref="O153">_xll.BADDPERIODS(N153, "PER=WD", "NUMBEROFPERIODS=2", "BUSDAYADJ=-2", "CDR=GQ", "CDR=P9")</f>
        <v>45120</v>
      </c>
      <c r="P153" s="15" cm="1">
        <f t="array" ref="P153">_xll.BDH("XAG Curncy","PX_LAST",N153,N153)</f>
        <v>23.122199999999999</v>
      </c>
      <c r="Q153" s="15" t="str" cm="1">
        <f t="array" ref="Q153">_xll.BDP("SIU23 Comdty",$M$32)</f>
        <v>01/09/2023</v>
      </c>
      <c r="R153" s="15">
        <f t="shared" si="77"/>
        <v>50</v>
      </c>
      <c r="S153" s="23">
        <v>5.2499999999999998E-2</v>
      </c>
      <c r="T153" s="21">
        <f t="shared" si="78"/>
        <v>0.168599375</v>
      </c>
      <c r="U153" s="22">
        <v>0.19500000000000001</v>
      </c>
      <c r="V153" s="20">
        <f t="shared" si="79"/>
        <v>2.6400625000000009</v>
      </c>
      <c r="W153" s="15">
        <v>15</v>
      </c>
      <c r="X153" s="15">
        <v>20</v>
      </c>
      <c r="Y153" s="15">
        <v>25</v>
      </c>
      <c r="Z153" s="18">
        <f t="shared" si="80"/>
        <v>16.859937500000001</v>
      </c>
      <c r="AA153" s="18">
        <f t="shared" si="81"/>
        <v>19.5</v>
      </c>
      <c r="AB153" s="18">
        <f t="shared" si="82"/>
        <v>2.6400625000000009</v>
      </c>
      <c r="AE153" s="44" cm="1">
        <f t="array" ref="AE153">_xll.BDH("COMXGOLD Comdty","PX_Last", N153)</f>
        <v>22285232.943</v>
      </c>
      <c r="AF153" s="15" t="str" cm="1">
        <f t="array" ref="AF153">_xll.BDS("GCA Comdty","FUT_CHAIN", "CHAIN_DATE",A153,"endrow=1")</f>
        <v>GCN23 Comdty</v>
      </c>
      <c r="AG153" s="44" cm="1">
        <f t="array" ref="AG153">_xll.BDH(AF153,"FUT_AGGTE_OPEN_INT",A153)</f>
        <v>483170</v>
      </c>
      <c r="AH153" s="44">
        <f t="shared" ref="AH153:AH216" si="91">AG153*$AG$17</f>
        <v>48317000</v>
      </c>
      <c r="AI153" s="48">
        <f t="shared" ref="AI153:AI216" si="92">AE153/AH153</f>
        <v>0.46122964883995282</v>
      </c>
      <c r="AJ153" s="45"/>
      <c r="AK153" s="44" cm="1">
        <f t="array" ref="AK153">_xll.BDH("COMXSILV Comdty","PX_Last", N153)</f>
        <v>277238.21999999997</v>
      </c>
      <c r="AL153" s="15" t="str" cm="1">
        <f t="array" ref="AL153">_xll.BDS("SIA Comdty","FUT_CHAIN", "CHAIN_DATE",A153,"endrow=1")</f>
        <v>SIN23 Comdty</v>
      </c>
      <c r="AM153" s="47" cm="1">
        <f t="array" ref="AM153">_xll.BDH(AL153,"FUT_AGGTE_OPEN_INT",A153)</f>
        <v>120282</v>
      </c>
      <c r="AN153" s="45">
        <f t="shared" ref="AN153:AN216" si="93">(AO153/AP153)/100</f>
        <v>460.98039606923726</v>
      </c>
      <c r="AO153" s="46">
        <f t="shared" ref="AO153:AO216" si="94">AK153*100000</f>
        <v>27723821999.999996</v>
      </c>
      <c r="AP153" s="46">
        <f t="shared" ref="AP153:AP216" si="95">(AM153*5000)/1000</f>
        <v>601410</v>
      </c>
      <c r="AQ153" s="46"/>
    </row>
    <row r="154" spans="1:43" s="15" customFormat="1" x14ac:dyDescent="0.2">
      <c r="A154" s="24">
        <v>45119</v>
      </c>
      <c r="B154" s="25" cm="1">
        <f t="array" ref="B154">_xll.BADDPERIODS(A154, "PER=WD", "NUMBEROFPERIODS=2", "BUSDAYADJ=-2", "CDR=GQ", "CDR=P9")</f>
        <v>45121</v>
      </c>
      <c r="C154" s="26" cm="1">
        <f t="array" ref="C154">_xll.BDH("XAU Curncy","PX_LAST",A154,A154)</f>
        <v>1957.35</v>
      </c>
      <c r="D154" s="15" t="str" cm="1">
        <f t="array" ref="D154">_xll.BDP("GCQ23 Comdty",$M$32)</f>
        <v>01/08/2023</v>
      </c>
      <c r="E154" s="26">
        <f t="shared" si="88"/>
        <v>18</v>
      </c>
      <c r="F154" s="27">
        <v>5.3199999999999997E-2</v>
      </c>
      <c r="G154" s="28">
        <f t="shared" si="89"/>
        <v>5.2065510000000002</v>
      </c>
      <c r="H154" s="29">
        <v>5.2</v>
      </c>
      <c r="I154" s="19">
        <f t="shared" si="90"/>
        <v>-6.5509999999999735E-3</v>
      </c>
      <c r="J154" s="26">
        <v>4</v>
      </c>
      <c r="K154" s="26">
        <v>6</v>
      </c>
      <c r="L154" s="26">
        <v>8</v>
      </c>
      <c r="N154" s="24">
        <v>45119</v>
      </c>
      <c r="O154" s="16" cm="1">
        <f t="array" ref="O154">_xll.BADDPERIODS(N154, "PER=WD", "NUMBEROFPERIODS=2", "BUSDAYADJ=-2", "CDR=GQ", "CDR=P9")</f>
        <v>45121</v>
      </c>
      <c r="P154" s="15" cm="1">
        <f t="array" ref="P154">_xll.BDH("XAG Curncy","PX_LAST",N154,N154)</f>
        <v>24.122499999999999</v>
      </c>
      <c r="Q154" s="15" t="str" cm="1">
        <f t="array" ref="Q154">_xll.BDP("SIU23 Comdty",$M$32)</f>
        <v>01/09/2023</v>
      </c>
      <c r="R154" s="15">
        <f t="shared" si="77"/>
        <v>49</v>
      </c>
      <c r="S154" s="23">
        <v>5.2499999999999998E-2</v>
      </c>
      <c r="T154" s="21">
        <f t="shared" si="78"/>
        <v>0.1723753645833333</v>
      </c>
      <c r="U154" s="22">
        <v>0.20499999999999999</v>
      </c>
      <c r="V154" s="20">
        <f t="shared" si="79"/>
        <v>3.2624635416666687</v>
      </c>
      <c r="W154" s="15">
        <v>15</v>
      </c>
      <c r="X154" s="15">
        <v>20</v>
      </c>
      <c r="Y154" s="15">
        <v>25</v>
      </c>
      <c r="Z154" s="18">
        <f t="shared" si="80"/>
        <v>17.237536458333331</v>
      </c>
      <c r="AA154" s="18">
        <f t="shared" si="81"/>
        <v>20.5</v>
      </c>
      <c r="AB154" s="18">
        <f t="shared" si="82"/>
        <v>3.2624635416666687</v>
      </c>
      <c r="AE154" s="44" cm="1">
        <f t="array" ref="AE154">_xll.BDH("COMXGOLD Comdty","PX_Last", N154)</f>
        <v>22282821.623</v>
      </c>
      <c r="AF154" s="15" t="str" cm="1">
        <f t="array" ref="AF154">_xll.BDS("GCA Comdty","FUT_CHAIN", "CHAIN_DATE",A154,"endrow=1")</f>
        <v>GCN23 Comdty</v>
      </c>
      <c r="AG154" s="44" cm="1">
        <f t="array" ref="AG154">_xll.BDH(AF154,"FUT_AGGTE_OPEN_INT",A154)</f>
        <v>505241</v>
      </c>
      <c r="AH154" s="44">
        <f t="shared" si="91"/>
        <v>50524100</v>
      </c>
      <c r="AI154" s="48">
        <f t="shared" si="92"/>
        <v>0.44103351911266109</v>
      </c>
      <c r="AJ154" s="45"/>
      <c r="AK154" s="44" cm="1">
        <f t="array" ref="AK154">_xll.BDH("COMXSILV Comdty","PX_Last", N154)</f>
        <v>277839.59000000003</v>
      </c>
      <c r="AL154" s="15" t="str" cm="1">
        <f t="array" ref="AL154">_xll.BDS("SIA Comdty","FUT_CHAIN", "CHAIN_DATE",A154,"endrow=1")</f>
        <v>SIN23 Comdty</v>
      </c>
      <c r="AM154" s="47" cm="1">
        <f t="array" ref="AM154">_xll.BDH(AL154,"FUT_AGGTE_OPEN_INT",A154)</f>
        <v>125506</v>
      </c>
      <c r="AN154" s="45">
        <f t="shared" si="93"/>
        <v>442.75108759740579</v>
      </c>
      <c r="AO154" s="46">
        <f t="shared" si="94"/>
        <v>27783959000.000004</v>
      </c>
      <c r="AP154" s="46">
        <f t="shared" si="95"/>
        <v>627530</v>
      </c>
      <c r="AQ154" s="46"/>
    </row>
    <row r="155" spans="1:43" s="15" customFormat="1" x14ac:dyDescent="0.2">
      <c r="A155" s="24">
        <v>45120</v>
      </c>
      <c r="B155" s="25" cm="1">
        <f t="array" ref="B155">_xll.BADDPERIODS(A155, "PER=WD", "NUMBEROFPERIODS=2", "BUSDAYADJ=-2", "CDR=GQ", "CDR=P9")</f>
        <v>45124</v>
      </c>
      <c r="C155" s="26" cm="1">
        <f t="array" ref="C155">_xll.BDH("XAU Curncy","PX_LAST",A155,A155)</f>
        <v>1960.51</v>
      </c>
      <c r="D155" s="15" t="str" cm="1">
        <f t="array" ref="D155">_xll.BDP("GCQ23 Comdty",$M$32)</f>
        <v>01/08/2023</v>
      </c>
      <c r="E155" s="26">
        <f t="shared" si="88"/>
        <v>15</v>
      </c>
      <c r="F155" s="27">
        <v>5.3199999999999997E-2</v>
      </c>
      <c r="G155" s="28">
        <f t="shared" si="89"/>
        <v>4.3457971666666664</v>
      </c>
      <c r="H155" s="29">
        <v>4.45</v>
      </c>
      <c r="I155" s="19">
        <f t="shared" si="90"/>
        <v>0.1042028333333338</v>
      </c>
      <c r="J155" s="26">
        <v>4</v>
      </c>
      <c r="K155" s="26">
        <v>6</v>
      </c>
      <c r="L155" s="26">
        <v>8</v>
      </c>
      <c r="N155" s="24">
        <v>45120</v>
      </c>
      <c r="O155" s="16" cm="1">
        <f t="array" ref="O155">_xll.BADDPERIODS(N155, "PER=WD", "NUMBEROFPERIODS=2", "BUSDAYADJ=-2", "CDR=GQ", "CDR=P9")</f>
        <v>45124</v>
      </c>
      <c r="P155" s="15" cm="1">
        <f t="array" ref="P155">_xll.BDH("XAG Curncy","PX_LAST",N155,N155)</f>
        <v>24.88</v>
      </c>
      <c r="Q155" s="15" t="str" cm="1">
        <f t="array" ref="Q155">_xll.BDP("SIU23 Comdty",$M$32)</f>
        <v>01/09/2023</v>
      </c>
      <c r="R155" s="15">
        <f t="shared" si="77"/>
        <v>46</v>
      </c>
      <c r="S155" s="23">
        <v>5.2499999999999998E-2</v>
      </c>
      <c r="T155" s="21">
        <f t="shared" si="78"/>
        <v>0.16690333333333332</v>
      </c>
      <c r="U155" s="22">
        <v>0.215</v>
      </c>
      <c r="V155" s="20">
        <f t="shared" si="79"/>
        <v>4.8096666666666676</v>
      </c>
      <c r="W155" s="15">
        <v>15</v>
      </c>
      <c r="X155" s="15">
        <v>20</v>
      </c>
      <c r="Y155" s="15">
        <v>25</v>
      </c>
      <c r="Z155" s="18">
        <f t="shared" si="80"/>
        <v>16.690333333333331</v>
      </c>
      <c r="AA155" s="18">
        <f t="shared" si="81"/>
        <v>21.5</v>
      </c>
      <c r="AB155" s="18">
        <f t="shared" si="82"/>
        <v>4.8096666666666676</v>
      </c>
      <c r="AE155" s="44" cm="1">
        <f t="array" ref="AE155">_xll.BDH("COMXGOLD Comdty","PX_Last", N155)</f>
        <v>22282501.863000002</v>
      </c>
      <c r="AF155" s="15" t="str" cm="1">
        <f t="array" ref="AF155">_xll.BDS("GCA Comdty","FUT_CHAIN", "CHAIN_DATE",A155,"endrow=1")</f>
        <v>GCN23 Comdty</v>
      </c>
      <c r="AG155" s="44" cm="1">
        <f t="array" ref="AG155">_xll.BDH(AF155,"FUT_AGGTE_OPEN_INT",A155)</f>
        <v>506210</v>
      </c>
      <c r="AH155" s="44">
        <f t="shared" si="91"/>
        <v>50621000</v>
      </c>
      <c r="AI155" s="48">
        <f t="shared" si="92"/>
        <v>0.44018296483672786</v>
      </c>
      <c r="AJ155" s="45"/>
      <c r="AK155" s="44" cm="1">
        <f t="array" ref="AK155">_xll.BDH("COMXSILV Comdty","PX_Last", N155)</f>
        <v>277015.38</v>
      </c>
      <c r="AL155" s="15" t="str" cm="1">
        <f t="array" ref="AL155">_xll.BDS("SIA Comdty","FUT_CHAIN", "CHAIN_DATE",A155,"endrow=1")</f>
        <v>SIN23 Comdty</v>
      </c>
      <c r="AM155" s="47" cm="1">
        <f t="array" ref="AM155">_xll.BDH(AL155,"FUT_AGGTE_OPEN_INT",A155)</f>
        <v>137646</v>
      </c>
      <c r="AN155" s="45">
        <f t="shared" si="93"/>
        <v>402.50407567237698</v>
      </c>
      <c r="AO155" s="46">
        <f t="shared" si="94"/>
        <v>27701538000</v>
      </c>
      <c r="AP155" s="46">
        <f t="shared" si="95"/>
        <v>688230</v>
      </c>
      <c r="AQ155" s="46"/>
    </row>
    <row r="156" spans="1:43" s="15" customFormat="1" x14ac:dyDescent="0.2">
      <c r="A156" s="24">
        <v>45121</v>
      </c>
      <c r="B156" s="25" cm="1">
        <f t="array" ref="B156">_xll.BADDPERIODS(A156, "PER=WD", "NUMBEROFPERIODS=2", "BUSDAYADJ=-2", "CDR=GQ", "CDR=P9")</f>
        <v>45125</v>
      </c>
      <c r="C156" s="26" cm="1">
        <f t="array" ref="C156">_xll.BDH("XAU Curncy","PX_LAST",A156,A156)</f>
        <v>1955.21</v>
      </c>
      <c r="D156" s="15" t="str" cm="1">
        <f t="array" ref="D156">_xll.BDP("GCQ23 Comdty",$M$32)</f>
        <v>01/08/2023</v>
      </c>
      <c r="E156" s="26">
        <f t="shared" si="88"/>
        <v>14</v>
      </c>
      <c r="F156" s="27">
        <v>5.3199999999999997E-2</v>
      </c>
      <c r="G156" s="28">
        <f t="shared" si="89"/>
        <v>4.0451122444444447</v>
      </c>
      <c r="H156" s="29">
        <v>4.05</v>
      </c>
      <c r="I156" s="19">
        <f t="shared" si="90"/>
        <v>4.8877555555550956E-3</v>
      </c>
      <c r="J156" s="26">
        <v>4</v>
      </c>
      <c r="K156" s="26">
        <v>6</v>
      </c>
      <c r="L156" s="26">
        <v>8</v>
      </c>
      <c r="N156" s="24">
        <v>45121</v>
      </c>
      <c r="O156" s="16" cm="1">
        <f t="array" ref="O156">_xll.BADDPERIODS(N156, "PER=WD", "NUMBEROFPERIODS=2", "BUSDAYADJ=-2", "CDR=GQ", "CDR=P9")</f>
        <v>45125</v>
      </c>
      <c r="P156" s="15" cm="1">
        <f t="array" ref="P156">_xll.BDH("XAG Curncy","PX_LAST",N156,N156)</f>
        <v>24.9497</v>
      </c>
      <c r="Q156" s="15" t="str" cm="1">
        <f t="array" ref="Q156">_xll.BDP("SIU23 Comdty",$M$32)</f>
        <v>01/09/2023</v>
      </c>
      <c r="R156" s="15">
        <f t="shared" si="77"/>
        <v>45</v>
      </c>
      <c r="S156" s="23">
        <v>5.2999999999999999E-2</v>
      </c>
      <c r="T156" s="21">
        <f t="shared" si="78"/>
        <v>0.16529176249999999</v>
      </c>
      <c r="U156" s="22">
        <v>0.22500000000000001</v>
      </c>
      <c r="V156" s="20">
        <f t="shared" si="79"/>
        <v>5.970823750000001</v>
      </c>
      <c r="W156" s="15">
        <v>15</v>
      </c>
      <c r="X156" s="15">
        <v>20</v>
      </c>
      <c r="Y156" s="15">
        <v>25</v>
      </c>
      <c r="Z156" s="18">
        <f t="shared" si="80"/>
        <v>16.529176249999999</v>
      </c>
      <c r="AA156" s="18">
        <f t="shared" si="81"/>
        <v>22.5</v>
      </c>
      <c r="AB156" s="18">
        <f t="shared" si="82"/>
        <v>5.970823750000001</v>
      </c>
      <c r="AE156" s="44" cm="1">
        <f t="array" ref="AE156">_xll.BDH("COMXGOLD Comdty","PX_Last", N156)</f>
        <v>22275815.651999999</v>
      </c>
      <c r="AF156" s="15" t="str" cm="1">
        <f t="array" ref="AF156">_xll.BDS("GCA Comdty","FUT_CHAIN", "CHAIN_DATE",A156,"endrow=1")</f>
        <v>GCN23 Comdty</v>
      </c>
      <c r="AG156" s="44" cm="1">
        <f t="array" ref="AG156">_xll.BDH(AF156,"FUT_AGGTE_OPEN_INT",A156)</f>
        <v>498570</v>
      </c>
      <c r="AH156" s="44">
        <f t="shared" si="91"/>
        <v>49857000</v>
      </c>
      <c r="AI156" s="48">
        <f t="shared" si="92"/>
        <v>0.44679414429267705</v>
      </c>
      <c r="AJ156" s="45"/>
      <c r="AK156" s="44" cm="1">
        <f t="array" ref="AK156">_xll.BDH("COMXSILV Comdty","PX_Last", N156)</f>
        <v>278856.81</v>
      </c>
      <c r="AL156" s="15" t="str" cm="1">
        <f t="array" ref="AL156">_xll.BDS("SIA Comdty","FUT_CHAIN", "CHAIN_DATE",A156,"endrow=1")</f>
        <v>SIN23 Comdty</v>
      </c>
      <c r="AM156" s="47" cm="1">
        <f t="array" ref="AM156">_xll.BDH(AL156,"FUT_AGGTE_OPEN_INT",A156)</f>
        <v>141937</v>
      </c>
      <c r="AN156" s="45">
        <f t="shared" si="93"/>
        <v>392.9303986980139</v>
      </c>
      <c r="AO156" s="46">
        <f t="shared" si="94"/>
        <v>27885681000</v>
      </c>
      <c r="AP156" s="46">
        <f t="shared" si="95"/>
        <v>709685</v>
      </c>
      <c r="AQ156" s="46"/>
    </row>
    <row r="157" spans="1:43" s="15" customFormat="1" x14ac:dyDescent="0.2">
      <c r="A157" s="24">
        <v>45124</v>
      </c>
      <c r="B157" s="25" cm="1">
        <f t="array" ref="B157">_xll.BADDPERIODS(A157, "PER=WD", "NUMBEROFPERIODS=2", "BUSDAYADJ=-2", "CDR=GQ", "CDR=P9")</f>
        <v>45126</v>
      </c>
      <c r="C157" s="26" cm="1">
        <f t="array" ref="C157">_xll.BDH("XAU Curncy","PX_LAST",A157,A157)</f>
        <v>1955.04</v>
      </c>
      <c r="D157" s="15" t="str" cm="1">
        <f t="array" ref="D157">_xll.BDP("GCQ23 Comdty",$M$32)</f>
        <v>01/08/2023</v>
      </c>
      <c r="E157" s="26">
        <f t="shared" ref="E157:E166" si="96">_xlfn.DAYS(D157,B157)</f>
        <v>13</v>
      </c>
      <c r="F157" s="27">
        <v>5.3499999999999999E-2</v>
      </c>
      <c r="G157" s="28">
        <f t="shared" ref="G157:G166" si="97">C157*(E157/360)*F157</f>
        <v>3.7770286666666664</v>
      </c>
      <c r="H157" s="29">
        <v>3.65</v>
      </c>
      <c r="I157" s="19">
        <f t="shared" ref="I157:I166" si="98">H157-G157</f>
        <v>-0.12702866666666646</v>
      </c>
      <c r="J157" s="26">
        <v>4</v>
      </c>
      <c r="K157" s="26">
        <v>6</v>
      </c>
      <c r="L157" s="26">
        <v>8</v>
      </c>
      <c r="N157" s="24">
        <v>45124</v>
      </c>
      <c r="O157" s="16" cm="1">
        <f t="array" ref="O157">_xll.BADDPERIODS(N157, "PER=WD", "NUMBEROFPERIODS=2", "BUSDAYADJ=-2", "CDR=GQ", "CDR=P9")</f>
        <v>45126</v>
      </c>
      <c r="P157" s="15" cm="1">
        <f t="array" ref="P157">_xll.BDH("XAG Curncy","PX_LAST",N157,N157)</f>
        <v>24.8414</v>
      </c>
      <c r="Q157" s="15" t="str" cm="1">
        <f t="array" ref="Q157">_xll.BDP("SIU23 Comdty",$M$32)</f>
        <v>01/09/2023</v>
      </c>
      <c r="R157" s="15">
        <f t="shared" ref="R157:R215" si="99">_xlfn.DAYS(Q157,O157)</f>
        <v>44</v>
      </c>
      <c r="S157" s="23">
        <v>5.2999999999999999E-2</v>
      </c>
      <c r="T157" s="21">
        <f t="shared" ref="T157:T220" si="100">P157*(R157/360)*S157</f>
        <v>0.16091706888888888</v>
      </c>
      <c r="U157" s="22">
        <v>0.215</v>
      </c>
      <c r="V157" s="20">
        <f t="shared" ref="V157:V220" si="101">100*(U157-T157)</f>
        <v>5.4082931111111119</v>
      </c>
      <c r="W157" s="15">
        <v>15</v>
      </c>
      <c r="X157" s="15">
        <v>20</v>
      </c>
      <c r="Y157" s="15">
        <v>25</v>
      </c>
      <c r="Z157" s="18">
        <f t="shared" ref="Z157:Z220" si="102">100*T157</f>
        <v>16.091706888888886</v>
      </c>
      <c r="AA157" s="18">
        <f t="shared" ref="AA157:AA163" si="103">U157*100</f>
        <v>21.5</v>
      </c>
      <c r="AB157" s="18">
        <f t="shared" ref="AB157:AB163" si="104">V157</f>
        <v>5.4082931111111119</v>
      </c>
      <c r="AE157" s="44" cm="1">
        <f t="array" ref="AE157">_xll.BDH("COMXGOLD Comdty","PX_Last", N157)</f>
        <v>22275815.647</v>
      </c>
      <c r="AF157" s="15" t="str" cm="1">
        <f t="array" ref="AF157">_xll.BDS("GCA Comdty","FUT_CHAIN", "CHAIN_DATE",A157,"endrow=1")</f>
        <v>GCN23 Comdty</v>
      </c>
      <c r="AG157" s="44" cm="1">
        <f t="array" ref="AG157">_xll.BDH(AF157,"FUT_AGGTE_OPEN_INT",A157)</f>
        <v>486719</v>
      </c>
      <c r="AH157" s="44">
        <f t="shared" si="91"/>
        <v>48671900</v>
      </c>
      <c r="AI157" s="48">
        <f t="shared" si="92"/>
        <v>0.4576730237981258</v>
      </c>
      <c r="AJ157" s="45"/>
      <c r="AK157" s="44" cm="1">
        <f t="array" ref="AK157">_xll.BDH("COMXSILV Comdty","PX_Last", N157)</f>
        <v>276656.53000000003</v>
      </c>
      <c r="AL157" s="15" t="str" cm="1">
        <f t="array" ref="AL157">_xll.BDS("SIA Comdty","FUT_CHAIN", "CHAIN_DATE",A157,"endrow=1")</f>
        <v>SIN23 Comdty</v>
      </c>
      <c r="AM157" s="47" cm="1">
        <f t="array" ref="AM157">_xll.BDH(AL157,"FUT_AGGTE_OPEN_INT",A157)</f>
        <v>145190</v>
      </c>
      <c r="AN157" s="45">
        <f t="shared" si="93"/>
        <v>381.0958468214065</v>
      </c>
      <c r="AO157" s="46">
        <f t="shared" si="94"/>
        <v>27665653000.000004</v>
      </c>
      <c r="AP157" s="46">
        <f t="shared" si="95"/>
        <v>725950</v>
      </c>
      <c r="AQ157" s="46"/>
    </row>
    <row r="158" spans="1:43" s="15" customFormat="1" x14ac:dyDescent="0.2">
      <c r="A158" s="24">
        <v>45125</v>
      </c>
      <c r="B158" s="25" cm="1">
        <f t="array" ref="B158">_xll.BADDPERIODS(A158, "PER=WD", "NUMBEROFPERIODS=2", "BUSDAYADJ=-2", "CDR=GQ", "CDR=P9")</f>
        <v>45127</v>
      </c>
      <c r="C158" s="26" cm="1">
        <f t="array" ref="C158">_xll.BDH("XAU Curncy","PX_LAST",A158,A158)</f>
        <v>1978.72</v>
      </c>
      <c r="D158" s="15" t="str" cm="1">
        <f t="array" ref="D158">_xll.BDP("GCQ23 Comdty",$M$32)</f>
        <v>01/08/2023</v>
      </c>
      <c r="E158" s="26">
        <f t="shared" si="96"/>
        <v>12</v>
      </c>
      <c r="F158" s="27">
        <v>5.3499999999999999E-2</v>
      </c>
      <c r="G158" s="28">
        <f t="shared" si="97"/>
        <v>3.5287173333333337</v>
      </c>
      <c r="H158" s="29">
        <v>3.7</v>
      </c>
      <c r="I158" s="19">
        <f t="shared" si="98"/>
        <v>0.17128266666666647</v>
      </c>
      <c r="J158" s="26">
        <v>4</v>
      </c>
      <c r="K158" s="26">
        <v>6</v>
      </c>
      <c r="L158" s="26">
        <v>8</v>
      </c>
      <c r="N158" s="24">
        <v>45125</v>
      </c>
      <c r="O158" s="16" cm="1">
        <f t="array" ref="O158">_xll.BADDPERIODS(N158, "PER=WD", "NUMBEROFPERIODS=2", "BUSDAYADJ=-2", "CDR=GQ", "CDR=P9")</f>
        <v>45127</v>
      </c>
      <c r="P158" s="15" cm="1">
        <f t="array" ref="P158">_xll.BDH("XAG Curncy","PX_LAST",N158,N158)</f>
        <v>25.055800000000001</v>
      </c>
      <c r="Q158" s="15" t="str" cm="1">
        <f t="array" ref="Q158">_xll.BDP("SIU23 Comdty",$M$32)</f>
        <v>01/09/2023</v>
      </c>
      <c r="R158" s="15">
        <f t="shared" si="99"/>
        <v>43</v>
      </c>
      <c r="S158" s="23">
        <v>5.2999999999999999E-2</v>
      </c>
      <c r="T158" s="21">
        <f t="shared" si="100"/>
        <v>0.1586171338888889</v>
      </c>
      <c r="U158" s="22">
        <v>0.215</v>
      </c>
      <c r="V158" s="20">
        <f t="shared" si="101"/>
        <v>5.6382866111111092</v>
      </c>
      <c r="W158" s="15">
        <v>15</v>
      </c>
      <c r="X158" s="15">
        <v>20</v>
      </c>
      <c r="Y158" s="15">
        <v>25</v>
      </c>
      <c r="Z158" s="18">
        <f t="shared" si="102"/>
        <v>15.861713388888891</v>
      </c>
      <c r="AA158" s="18">
        <f t="shared" si="103"/>
        <v>21.5</v>
      </c>
      <c r="AB158" s="18">
        <f t="shared" si="104"/>
        <v>5.6382866111111092</v>
      </c>
      <c r="AE158" s="44" cm="1">
        <f t="array" ref="AE158">_xll.BDH("COMXGOLD Comdty","PX_Last", N158)</f>
        <v>22275154.927000001</v>
      </c>
      <c r="AF158" s="15" t="str" cm="1">
        <f t="array" ref="AF158">_xll.BDS("GCA Comdty","FUT_CHAIN", "CHAIN_DATE",A158,"endrow=1")</f>
        <v>GCN23 Comdty</v>
      </c>
      <c r="AG158" s="44" cm="1">
        <f t="array" ref="AG158">_xll.BDH(AF158,"FUT_AGGTE_OPEN_INT",A158)</f>
        <v>482104</v>
      </c>
      <c r="AH158" s="44">
        <f t="shared" si="91"/>
        <v>48210400</v>
      </c>
      <c r="AI158" s="48">
        <f t="shared" si="92"/>
        <v>0.46204045033851621</v>
      </c>
      <c r="AJ158" s="45"/>
      <c r="AK158" s="44" cm="1">
        <f t="array" ref="AK158">_xll.BDH("COMXSILV Comdty","PX_Last", N158)</f>
        <v>276936.96999999997</v>
      </c>
      <c r="AL158" s="15" t="str" cm="1">
        <f t="array" ref="AL158">_xll.BDS("SIA Comdty","FUT_CHAIN", "CHAIN_DATE",A158,"endrow=1")</f>
        <v>SIN23 Comdty</v>
      </c>
      <c r="AM158" s="47" cm="1">
        <f t="array" ref="AM158">_xll.BDH(AL158,"FUT_AGGTE_OPEN_INT",A158)</f>
        <v>146863</v>
      </c>
      <c r="AN158" s="45">
        <f t="shared" si="93"/>
        <v>377.13647412895006</v>
      </c>
      <c r="AO158" s="46">
        <f t="shared" si="94"/>
        <v>27693696999.999996</v>
      </c>
      <c r="AP158" s="46">
        <f t="shared" si="95"/>
        <v>734315</v>
      </c>
      <c r="AQ158" s="46"/>
    </row>
    <row r="159" spans="1:43" s="15" customFormat="1" x14ac:dyDescent="0.2">
      <c r="A159" s="24">
        <v>45126</v>
      </c>
      <c r="B159" s="25" cm="1">
        <f t="array" ref="B159">_xll.BADDPERIODS(A159, "PER=WD", "NUMBEROFPERIODS=2", "BUSDAYADJ=-2", "CDR=GQ", "CDR=P9")</f>
        <v>45128</v>
      </c>
      <c r="C159" s="26" cm="1">
        <f t="array" ref="C159">_xll.BDH("XAU Curncy","PX_LAST",A159,A159)</f>
        <v>1976.64</v>
      </c>
      <c r="D159" s="15" t="str" cm="1">
        <f t="array" ref="D159">_xll.BDP("GCQ23 Comdty",$M$32)</f>
        <v>01/08/2023</v>
      </c>
      <c r="E159" s="26">
        <f t="shared" si="96"/>
        <v>11</v>
      </c>
      <c r="F159" s="27">
        <v>5.3499999999999999E-2</v>
      </c>
      <c r="G159" s="28">
        <f t="shared" si="97"/>
        <v>3.2312573333333332</v>
      </c>
      <c r="H159" s="29">
        <v>3.5</v>
      </c>
      <c r="I159" s="19">
        <f t="shared" si="98"/>
        <v>0.2687426666666668</v>
      </c>
      <c r="J159" s="26">
        <v>4</v>
      </c>
      <c r="K159" s="26">
        <v>6</v>
      </c>
      <c r="L159" s="26">
        <v>8</v>
      </c>
      <c r="N159" s="24">
        <v>45126</v>
      </c>
      <c r="O159" s="16" cm="1">
        <f t="array" ref="O159">_xll.BADDPERIODS(N159, "PER=WD", "NUMBEROFPERIODS=2", "BUSDAYADJ=-2", "CDR=GQ", "CDR=P9")</f>
        <v>45128</v>
      </c>
      <c r="P159" s="15" cm="1">
        <f t="array" ref="P159">_xll.BDH("XAG Curncy","PX_LAST",N159,N159)</f>
        <v>25.145199999999999</v>
      </c>
      <c r="Q159" s="15" t="str" cm="1">
        <f t="array" ref="Q159">_xll.BDP("SIU23 Comdty",$M$32)</f>
        <v>01/09/2023</v>
      </c>
      <c r="R159" s="15">
        <f t="shared" si="99"/>
        <v>42</v>
      </c>
      <c r="S159" s="23">
        <v>5.2999999999999999E-2</v>
      </c>
      <c r="T159" s="21">
        <f t="shared" si="100"/>
        <v>0.15548115333333332</v>
      </c>
      <c r="U159" s="22">
        <v>0.21</v>
      </c>
      <c r="V159" s="20">
        <f t="shared" si="101"/>
        <v>5.4518846666666674</v>
      </c>
      <c r="W159" s="15">
        <v>15</v>
      </c>
      <c r="X159" s="15">
        <v>20</v>
      </c>
      <c r="Y159" s="15">
        <v>25</v>
      </c>
      <c r="Z159" s="18">
        <f t="shared" si="102"/>
        <v>15.548115333333332</v>
      </c>
      <c r="AA159" s="18">
        <f t="shared" si="103"/>
        <v>21</v>
      </c>
      <c r="AB159" s="18">
        <f t="shared" si="104"/>
        <v>5.4518846666666674</v>
      </c>
      <c r="AE159" s="44" cm="1">
        <f t="array" ref="AE159">_xll.BDH("COMXGOLD Comdty","PX_Last", N159)</f>
        <v>22274962.021000002</v>
      </c>
      <c r="AF159" s="15" t="str" cm="1">
        <f t="array" ref="AF159">_xll.BDS("GCA Comdty","FUT_CHAIN", "CHAIN_DATE",A159,"endrow=1")</f>
        <v>GCN23 Comdty</v>
      </c>
      <c r="AG159" s="44" cm="1">
        <f t="array" ref="AG159">_xll.BDH(AF159,"FUT_AGGTE_OPEN_INT",A159)</f>
        <v>484097</v>
      </c>
      <c r="AH159" s="44">
        <f t="shared" si="91"/>
        <v>48409700</v>
      </c>
      <c r="AI159" s="48">
        <f t="shared" si="92"/>
        <v>0.46013427104485261</v>
      </c>
      <c r="AJ159" s="45"/>
      <c r="AK159" s="44" cm="1">
        <f t="array" ref="AK159">_xll.BDH("COMXSILV Comdty","PX_Last", N159)</f>
        <v>278075.56</v>
      </c>
      <c r="AL159" s="15" t="str" cm="1">
        <f t="array" ref="AL159">_xll.BDS("SIA Comdty","FUT_CHAIN", "CHAIN_DATE",A159,"endrow=1")</f>
        <v>SIN23 Comdty</v>
      </c>
      <c r="AM159" s="47" cm="1">
        <f t="array" ref="AM159">_xll.BDH(AL159,"FUT_AGGTE_OPEN_INT",A159)</f>
        <v>149808</v>
      </c>
      <c r="AN159" s="45">
        <f t="shared" si="93"/>
        <v>371.24260386628214</v>
      </c>
      <c r="AO159" s="46">
        <f t="shared" si="94"/>
        <v>27807556000</v>
      </c>
      <c r="AP159" s="46">
        <f t="shared" si="95"/>
        <v>749040</v>
      </c>
      <c r="AQ159" s="46"/>
    </row>
    <row r="160" spans="1:43" s="15" customFormat="1" x14ac:dyDescent="0.2">
      <c r="A160" s="24">
        <v>45127</v>
      </c>
      <c r="B160" s="25" cm="1">
        <f t="array" ref="B160">_xll.BADDPERIODS(A160, "PER=WD", "NUMBEROFPERIODS=2", "BUSDAYADJ=-2", "CDR=GQ", "CDR=P9")</f>
        <v>45131</v>
      </c>
      <c r="C160" s="26" cm="1">
        <f t="array" ref="C160">_xll.BDH("XAU Curncy","PX_LAST",A160,A160)</f>
        <v>1969.53</v>
      </c>
      <c r="D160" s="15" t="str" cm="1">
        <f t="array" ref="D160">_xll.BDP("GCQ23 Comdty",$M$32)</f>
        <v>01/08/2023</v>
      </c>
      <c r="E160" s="26">
        <f t="shared" si="96"/>
        <v>8</v>
      </c>
      <c r="F160" s="27">
        <v>5.3499999999999999E-2</v>
      </c>
      <c r="G160" s="28">
        <f t="shared" si="97"/>
        <v>2.3415523333333335</v>
      </c>
      <c r="H160" s="29">
        <v>2.6</v>
      </c>
      <c r="I160" s="19">
        <f t="shared" si="98"/>
        <v>0.25844766666666663</v>
      </c>
      <c r="J160" s="26">
        <v>4</v>
      </c>
      <c r="K160" s="26">
        <v>6</v>
      </c>
      <c r="L160" s="26">
        <v>8</v>
      </c>
      <c r="N160" s="24">
        <v>45127</v>
      </c>
      <c r="O160" s="16" cm="1">
        <f t="array" ref="O160">_xll.BADDPERIODS(N160, "PER=WD", "NUMBEROFPERIODS=2", "BUSDAYADJ=-2", "CDR=GQ", "CDR=P9")</f>
        <v>45131</v>
      </c>
      <c r="P160" s="15" cm="1">
        <f t="array" ref="P160">_xll.BDH("XAG Curncy","PX_LAST",N160,N160)</f>
        <v>24.7605</v>
      </c>
      <c r="Q160" s="15" t="str" cm="1">
        <f t="array" ref="Q160">_xll.BDP("SIU23 Comdty",$M$32)</f>
        <v>01/09/2023</v>
      </c>
      <c r="R160" s="15">
        <f t="shared" si="99"/>
        <v>39</v>
      </c>
      <c r="S160" s="23">
        <v>5.2999999999999999E-2</v>
      </c>
      <c r="T160" s="21">
        <f t="shared" si="100"/>
        <v>0.1421665375</v>
      </c>
      <c r="U160" s="22">
        <v>0.2</v>
      </c>
      <c r="V160" s="20">
        <f t="shared" si="101"/>
        <v>5.7833462500000019</v>
      </c>
      <c r="W160" s="15">
        <v>15</v>
      </c>
      <c r="X160" s="15">
        <v>20</v>
      </c>
      <c r="Y160" s="15">
        <v>25</v>
      </c>
      <c r="Z160" s="18">
        <f t="shared" si="102"/>
        <v>14.216653749999999</v>
      </c>
      <c r="AA160" s="18">
        <f t="shared" si="103"/>
        <v>20</v>
      </c>
      <c r="AB160" s="18">
        <f t="shared" si="104"/>
        <v>5.7833462500000019</v>
      </c>
      <c r="AE160" s="44" cm="1">
        <f t="array" ref="AE160">_xll.BDH("COMXGOLD Comdty","PX_Last", N160)</f>
        <v>22242714.568</v>
      </c>
      <c r="AF160" s="15" t="str" cm="1">
        <f t="array" ref="AF160">_xll.BDS("GCA Comdty","FUT_CHAIN", "CHAIN_DATE",A160,"endrow=1")</f>
        <v>GCN23 Comdty</v>
      </c>
      <c r="AG160" s="44" cm="1">
        <f t="array" ref="AG160">_xll.BDH(AF160,"FUT_AGGTE_OPEN_INT",A160)</f>
        <v>483396</v>
      </c>
      <c r="AH160" s="44">
        <f t="shared" si="91"/>
        <v>48339600</v>
      </c>
      <c r="AI160" s="48">
        <f t="shared" si="92"/>
        <v>0.46013443570075052</v>
      </c>
      <c r="AJ160" s="45"/>
      <c r="AK160" s="44" cm="1">
        <f t="array" ref="AK160">_xll.BDH("COMXSILV Comdty","PX_Last", N160)</f>
        <v>276118.13</v>
      </c>
      <c r="AL160" s="15" t="str" cm="1">
        <f t="array" ref="AL160">_xll.BDS("SIA Comdty","FUT_CHAIN", "CHAIN_DATE",A160,"endrow=1")</f>
        <v>SIN23 Comdty</v>
      </c>
      <c r="AM160" s="47" cm="1">
        <f t="array" ref="AM160">_xll.BDH(AL160,"FUT_AGGTE_OPEN_INT",A160)</f>
        <v>149599</v>
      </c>
      <c r="AN160" s="45">
        <f t="shared" si="93"/>
        <v>369.14435256920166</v>
      </c>
      <c r="AO160" s="46">
        <f t="shared" si="94"/>
        <v>27611813000</v>
      </c>
      <c r="AP160" s="46">
        <f t="shared" si="95"/>
        <v>747995</v>
      </c>
      <c r="AQ160" s="46"/>
    </row>
    <row r="161" spans="1:43" s="15" customFormat="1" x14ac:dyDescent="0.2">
      <c r="A161" s="24">
        <v>45128</v>
      </c>
      <c r="B161" s="25" cm="1">
        <f t="array" ref="B161">_xll.BADDPERIODS(A161, "PER=WD", "NUMBEROFPERIODS=2", "BUSDAYADJ=-2", "CDR=GQ", "CDR=P9")</f>
        <v>45132</v>
      </c>
      <c r="C161" s="26" cm="1">
        <f t="array" ref="C161">_xll.BDH("XAU Curncy","PX_LAST",A161,A161)</f>
        <v>1961.94</v>
      </c>
      <c r="D161" s="15" t="str" cm="1">
        <f t="array" ref="D161">_xll.BDP("GCQ23 Comdty",$M$32)</f>
        <v>01/08/2023</v>
      </c>
      <c r="E161" s="26">
        <f t="shared" si="96"/>
        <v>7</v>
      </c>
      <c r="F161" s="27">
        <v>5.3499999999999999E-2</v>
      </c>
      <c r="G161" s="28">
        <f t="shared" si="97"/>
        <v>2.0409625833333336</v>
      </c>
      <c r="H161" s="29">
        <v>2.1</v>
      </c>
      <c r="I161" s="19">
        <f t="shared" si="98"/>
        <v>5.9037416666666509E-2</v>
      </c>
      <c r="J161" s="26">
        <v>4</v>
      </c>
      <c r="K161" s="26">
        <v>6</v>
      </c>
      <c r="L161" s="26">
        <v>8</v>
      </c>
      <c r="N161" s="24">
        <v>45128</v>
      </c>
      <c r="O161" s="16" cm="1">
        <f t="array" ref="O161">_xll.BADDPERIODS(N161, "PER=WD", "NUMBEROFPERIODS=2", "BUSDAYADJ=-2", "CDR=GQ", "CDR=P9")</f>
        <v>45132</v>
      </c>
      <c r="P161" s="15" cm="1">
        <f t="array" ref="P161">_xll.BDH("XAG Curncy","PX_LAST",N161,N161)</f>
        <v>24.613299999999999</v>
      </c>
      <c r="Q161" s="15" t="str" cm="1">
        <f t="array" ref="Q161">_xll.BDP("SIU23 Comdty",$M$32)</f>
        <v>01/09/2023</v>
      </c>
      <c r="R161" s="15">
        <f t="shared" si="99"/>
        <v>38</v>
      </c>
      <c r="S161" s="23">
        <v>5.2999999999999999E-2</v>
      </c>
      <c r="T161" s="21">
        <f t="shared" si="100"/>
        <v>0.13769773944444441</v>
      </c>
      <c r="U161" s="22">
        <v>0.185</v>
      </c>
      <c r="V161" s="20">
        <f t="shared" si="101"/>
        <v>4.7302260555555584</v>
      </c>
      <c r="W161" s="15">
        <v>15</v>
      </c>
      <c r="X161" s="15">
        <v>20</v>
      </c>
      <c r="Y161" s="15">
        <v>25</v>
      </c>
      <c r="Z161" s="18">
        <f t="shared" si="102"/>
        <v>13.769773944444442</v>
      </c>
      <c r="AA161" s="18">
        <f t="shared" si="103"/>
        <v>18.5</v>
      </c>
      <c r="AB161" s="18">
        <f t="shared" si="104"/>
        <v>4.7302260555555584</v>
      </c>
      <c r="AE161" s="44" cm="1">
        <f t="array" ref="AE161">_xll.BDH("COMXGOLD Comdty","PX_Last", N161)</f>
        <v>22242511.168000001</v>
      </c>
      <c r="AF161" s="15" t="str" cm="1">
        <f t="array" ref="AF161">_xll.BDS("GCA Comdty","FUT_CHAIN", "CHAIN_DATE",A161,"endrow=1")</f>
        <v>GCN23 Comdty</v>
      </c>
      <c r="AG161" s="44" cm="1">
        <f t="array" ref="AG161">_xll.BDH(AF161,"FUT_AGGTE_OPEN_INT",A161)</f>
        <v>479342</v>
      </c>
      <c r="AH161" s="44">
        <f t="shared" si="91"/>
        <v>47934200</v>
      </c>
      <c r="AI161" s="48">
        <f t="shared" si="92"/>
        <v>0.46402174580988109</v>
      </c>
      <c r="AJ161" s="45"/>
      <c r="AK161" s="44" cm="1">
        <f t="array" ref="AK161">_xll.BDH("COMXSILV Comdty","PX_Last", N161)</f>
        <v>276718.84000000003</v>
      </c>
      <c r="AL161" s="15" t="str" cm="1">
        <f t="array" ref="AL161">_xll.BDS("SIA Comdty","FUT_CHAIN", "CHAIN_DATE",A161,"endrow=1")</f>
        <v>SIN23 Comdty</v>
      </c>
      <c r="AM161" s="47" cm="1">
        <f t="array" ref="AM161">_xll.BDH(AL161,"FUT_AGGTE_OPEN_INT",A161)</f>
        <v>148645</v>
      </c>
      <c r="AN161" s="45">
        <f t="shared" si="93"/>
        <v>372.32175989774305</v>
      </c>
      <c r="AO161" s="46">
        <f t="shared" si="94"/>
        <v>27671884000.000004</v>
      </c>
      <c r="AP161" s="46">
        <f t="shared" si="95"/>
        <v>743225</v>
      </c>
      <c r="AQ161" s="46"/>
    </row>
    <row r="162" spans="1:43" s="15" customFormat="1" x14ac:dyDescent="0.2">
      <c r="A162" s="24">
        <v>45131</v>
      </c>
      <c r="B162" s="25" cm="1">
        <f t="array" ref="B162">_xll.BADDPERIODS(A162, "PER=WD", "NUMBEROFPERIODS=2", "BUSDAYADJ=-2", "CDR=GQ", "CDR=P9")</f>
        <v>45133</v>
      </c>
      <c r="C162" s="26" cm="1">
        <f t="array" ref="C162">_xll.BDH("XAU Curncy","PX_LAST",A162,A162)</f>
        <v>1954.73</v>
      </c>
      <c r="D162" s="15" t="str" cm="1">
        <f t="array" ref="D162">_xll.BDP("GCQ23 Comdty",$M$32)</f>
        <v>01/08/2023</v>
      </c>
      <c r="E162" s="26">
        <f t="shared" si="96"/>
        <v>6</v>
      </c>
      <c r="F162" s="27">
        <v>5.3499999999999999E-2</v>
      </c>
      <c r="G162" s="28">
        <f t="shared" si="97"/>
        <v>1.7429675833333333</v>
      </c>
      <c r="H162" s="29">
        <v>1.875</v>
      </c>
      <c r="I162" s="19">
        <f t="shared" si="98"/>
        <v>0.13203241666666665</v>
      </c>
      <c r="J162" s="26">
        <v>4</v>
      </c>
      <c r="K162" s="26">
        <v>6</v>
      </c>
      <c r="L162" s="26">
        <v>8</v>
      </c>
      <c r="N162" s="24">
        <v>45131</v>
      </c>
      <c r="O162" s="16" cm="1">
        <f t="array" ref="O162">_xll.BADDPERIODS(N162, "PER=WD", "NUMBEROFPERIODS=2", "BUSDAYADJ=-2", "CDR=GQ", "CDR=P9")</f>
        <v>45133</v>
      </c>
      <c r="P162" s="15" cm="1">
        <f t="array" ref="P162">_xll.BDH("XAG Curncy","PX_LAST",N162,N162)</f>
        <v>24.3477</v>
      </c>
      <c r="Q162" s="15" t="str" cm="1">
        <f t="array" ref="Q162">_xll.BDP("SIU23 Comdty",$M$32)</f>
        <v>01/09/2023</v>
      </c>
      <c r="R162" s="15">
        <f t="shared" si="99"/>
        <v>37</v>
      </c>
      <c r="S162" s="23">
        <v>5.6000000000000001E-2</v>
      </c>
      <c r="T162" s="21">
        <f t="shared" si="100"/>
        <v>0.14013453999999997</v>
      </c>
      <c r="U162" s="22">
        <v>0.17499999999999999</v>
      </c>
      <c r="V162" s="20">
        <f t="shared" si="101"/>
        <v>3.4865460000000015</v>
      </c>
      <c r="W162" s="15">
        <v>15</v>
      </c>
      <c r="X162" s="15">
        <v>20</v>
      </c>
      <c r="Y162" s="15">
        <v>25</v>
      </c>
      <c r="Z162" s="18">
        <f t="shared" si="102"/>
        <v>14.013453999999998</v>
      </c>
      <c r="AA162" s="18">
        <f t="shared" si="103"/>
        <v>17.5</v>
      </c>
      <c r="AB162" s="18">
        <f t="shared" si="104"/>
        <v>3.4865460000000015</v>
      </c>
      <c r="AE162" s="44" cm="1">
        <f t="array" ref="AE162">_xll.BDH("COMXGOLD Comdty","PX_Last", N162)</f>
        <v>22242511.168000001</v>
      </c>
      <c r="AF162" s="15" t="str" cm="1">
        <f t="array" ref="AF162">_xll.BDS("GCA Comdty","FUT_CHAIN", "CHAIN_DATE",A162,"endrow=1")</f>
        <v>GCN23 Comdty</v>
      </c>
      <c r="AG162" s="44" cm="1">
        <f t="array" ref="AG162">_xll.BDH(AF162,"FUT_AGGTE_OPEN_INT",A162)</f>
        <v>487232</v>
      </c>
      <c r="AH162" s="44">
        <f t="shared" si="91"/>
        <v>48723200</v>
      </c>
      <c r="AI162" s="48">
        <f t="shared" si="92"/>
        <v>0.45650760147116776</v>
      </c>
      <c r="AJ162" s="45"/>
      <c r="AK162" s="44" cm="1">
        <f t="array" ref="AK162">_xll.BDH("COMXSILV Comdty","PX_Last", N162)</f>
        <v>276632.19</v>
      </c>
      <c r="AL162" s="15" t="str" cm="1">
        <f t="array" ref="AL162">_xll.BDS("SIA Comdty","FUT_CHAIN", "CHAIN_DATE",A162,"endrow=1")</f>
        <v>SIN23 Comdty</v>
      </c>
      <c r="AM162" s="47" cm="1">
        <f t="array" ref="AM162">_xll.BDH(AL162,"FUT_AGGTE_OPEN_INT",A162)</f>
        <v>146625</v>
      </c>
      <c r="AN162" s="45">
        <f t="shared" si="93"/>
        <v>377.33291048593355</v>
      </c>
      <c r="AO162" s="46">
        <f t="shared" si="94"/>
        <v>27663219000</v>
      </c>
      <c r="AP162" s="46">
        <f t="shared" si="95"/>
        <v>733125</v>
      </c>
      <c r="AQ162" s="46"/>
    </row>
    <row r="163" spans="1:43" s="15" customFormat="1" x14ac:dyDescent="0.2">
      <c r="A163" s="24">
        <v>45132</v>
      </c>
      <c r="B163" s="25" cm="1">
        <f t="array" ref="B163">_xll.BADDPERIODS(A163, "PER=WD", "NUMBEROFPERIODS=2", "BUSDAYADJ=-2", "CDR=GQ", "CDR=P9")</f>
        <v>45134</v>
      </c>
      <c r="C163" s="26" cm="1">
        <f t="array" ref="C163">_xll.BDH("XAU Curncy","PX_LAST",A163,A163)</f>
        <v>1964.96</v>
      </c>
      <c r="D163" s="15" t="str" cm="1">
        <f t="array" ref="D163">_xll.BDP("GCQ23 Comdty",$M$32)</f>
        <v>01/08/2023</v>
      </c>
      <c r="E163" s="26">
        <f t="shared" si="96"/>
        <v>5</v>
      </c>
      <c r="F163" s="27">
        <v>5.3499999999999999E-2</v>
      </c>
      <c r="G163" s="28">
        <f t="shared" si="97"/>
        <v>1.4600744444444445</v>
      </c>
      <c r="H163" s="29">
        <v>1.4</v>
      </c>
      <c r="I163" s="19">
        <f t="shared" si="98"/>
        <v>-6.0074444444444541E-2</v>
      </c>
      <c r="J163" s="26">
        <v>4</v>
      </c>
      <c r="K163" s="26">
        <v>6</v>
      </c>
      <c r="L163" s="26">
        <v>8</v>
      </c>
      <c r="N163" s="24">
        <v>45132</v>
      </c>
      <c r="O163" s="16" cm="1">
        <f t="array" ref="O163">_xll.BADDPERIODS(N163, "PER=WD", "NUMBEROFPERIODS=2", "BUSDAYADJ=-2", "CDR=GQ", "CDR=P9")</f>
        <v>45134</v>
      </c>
      <c r="P163" s="15" cm="1">
        <f t="array" ref="P163">_xll.BDH("XAG Curncy","PX_LAST",N163,N163)</f>
        <v>24.689299999999999</v>
      </c>
      <c r="Q163" s="15" t="str" cm="1">
        <f t="array" ref="Q163">_xll.BDP("SIU23 Comdty",$M$32)</f>
        <v>01/09/2023</v>
      </c>
      <c r="R163" s="15">
        <f t="shared" si="99"/>
        <v>36</v>
      </c>
      <c r="S163" s="23">
        <v>5.6000000000000001E-2</v>
      </c>
      <c r="T163" s="21">
        <f t="shared" si="100"/>
        <v>0.13826008000000001</v>
      </c>
      <c r="U163" s="22">
        <v>0.16500000000000001</v>
      </c>
      <c r="V163" s="20">
        <f t="shared" si="101"/>
        <v>2.6739920000000001</v>
      </c>
      <c r="W163" s="15">
        <v>15</v>
      </c>
      <c r="X163" s="15">
        <v>20</v>
      </c>
      <c r="Y163" s="15">
        <v>25</v>
      </c>
      <c r="Z163" s="18">
        <f t="shared" si="102"/>
        <v>13.826008000000002</v>
      </c>
      <c r="AA163" s="18">
        <f t="shared" si="103"/>
        <v>16.5</v>
      </c>
      <c r="AB163" s="18">
        <f t="shared" si="104"/>
        <v>2.6739920000000001</v>
      </c>
      <c r="AE163" s="44" cm="1">
        <f t="array" ref="AE163">_xll.BDH("COMXGOLD Comdty","PX_Last", N163)</f>
        <v>22274188.234000001</v>
      </c>
      <c r="AF163" s="15" t="str" cm="1">
        <f t="array" ref="AF163">_xll.BDS("GCA Comdty","FUT_CHAIN", "CHAIN_DATE",A163,"endrow=1")</f>
        <v>GCN23 Comdty</v>
      </c>
      <c r="AG163" s="44" cm="1">
        <f t="array" ref="AG163">_xll.BDH(AF163,"FUT_AGGTE_OPEN_INT",A163)</f>
        <v>476176</v>
      </c>
      <c r="AH163" s="44">
        <f t="shared" si="91"/>
        <v>47617600</v>
      </c>
      <c r="AI163" s="48">
        <f t="shared" si="92"/>
        <v>0.46777217318806497</v>
      </c>
      <c r="AJ163" s="45"/>
      <c r="AK163" s="44" cm="1">
        <f t="array" ref="AK163">_xll.BDH("COMXSILV Comdty","PX_Last", N163)</f>
        <v>277172.15999999997</v>
      </c>
      <c r="AL163" s="15" t="str" cm="1">
        <f t="array" ref="AL163">_xll.BDS("SIA Comdty","FUT_CHAIN", "CHAIN_DATE",A163,"endrow=1")</f>
        <v>SIN23 Comdty</v>
      </c>
      <c r="AM163" s="47" cm="1">
        <f t="array" ref="AM163">_xll.BDH(AL163,"FUT_AGGTE_OPEN_INT",A163)</f>
        <v>146898</v>
      </c>
      <c r="AN163" s="45">
        <f t="shared" si="93"/>
        <v>377.36682596087076</v>
      </c>
      <c r="AO163" s="46">
        <f t="shared" si="94"/>
        <v>27717215999.999996</v>
      </c>
      <c r="AP163" s="46">
        <f t="shared" si="95"/>
        <v>734490</v>
      </c>
      <c r="AQ163" s="46"/>
    </row>
    <row r="164" spans="1:43" s="15" customFormat="1" x14ac:dyDescent="0.2">
      <c r="A164" s="24">
        <v>45133</v>
      </c>
      <c r="B164" s="25" cm="1">
        <f t="array" ref="B164">_xll.BADDPERIODS(A164, "PER=WD", "NUMBEROFPERIODS=2", "BUSDAYADJ=-2", "CDR=GQ", "CDR=P9")</f>
        <v>45135</v>
      </c>
      <c r="C164" s="26" cm="1">
        <f t="array" ref="C164">_xll.BDH("XAU Curncy","PX_LAST",A164,A164)</f>
        <v>1972.07</v>
      </c>
      <c r="D164" s="15" t="str" cm="1">
        <f t="array" ref="D164">_xll.BDP("GCQ23 Comdty",$M$32)</f>
        <v>01/08/2023</v>
      </c>
      <c r="E164" s="26">
        <f t="shared" si="96"/>
        <v>4</v>
      </c>
      <c r="F164" s="27">
        <v>5.3499999999999999E-2</v>
      </c>
      <c r="G164" s="28">
        <f t="shared" si="97"/>
        <v>1.1722860555555554</v>
      </c>
      <c r="H164" s="29">
        <v>1</v>
      </c>
      <c r="I164" s="19">
        <f t="shared" si="98"/>
        <v>-0.17228605555555543</v>
      </c>
      <c r="J164" s="26">
        <v>4</v>
      </c>
      <c r="K164" s="26">
        <v>6</v>
      </c>
      <c r="L164" s="26">
        <v>8</v>
      </c>
      <c r="N164" s="24">
        <v>45133</v>
      </c>
      <c r="O164" s="16" cm="1">
        <f t="array" ref="O164">_xll.BADDPERIODS(N164, "PER=WD", "NUMBEROFPERIODS=2", "BUSDAYADJ=-2", "CDR=GQ", "CDR=P9")</f>
        <v>45135</v>
      </c>
      <c r="P164" s="15" cm="1">
        <f t="array" ref="P164">_xll.BDH("XAG Curncy","PX_LAST",N164,N164)</f>
        <v>24.930700000000002</v>
      </c>
      <c r="Q164" s="15" t="str" cm="1">
        <f t="array" ref="Q164">_xll.BDP("SIU23 Comdty",$M$32)</f>
        <v>01/09/2023</v>
      </c>
      <c r="R164" s="15">
        <f t="shared" si="99"/>
        <v>35</v>
      </c>
      <c r="S164" s="23">
        <v>5.6000000000000001E-2</v>
      </c>
      <c r="T164" s="21">
        <f t="shared" si="100"/>
        <v>0.13573381111111113</v>
      </c>
      <c r="U164" s="22">
        <v>0.16500000000000001</v>
      </c>
      <c r="V164" s="20">
        <f t="shared" si="101"/>
        <v>2.9266188888888878</v>
      </c>
      <c r="W164" s="15">
        <v>15</v>
      </c>
      <c r="X164" s="15">
        <v>20</v>
      </c>
      <c r="Y164" s="15">
        <v>25</v>
      </c>
      <c r="Z164" s="18">
        <f t="shared" si="102"/>
        <v>13.573381111111113</v>
      </c>
      <c r="AA164" s="18">
        <f t="shared" ref="AA164:AA225" si="105">U164*100</f>
        <v>16.5</v>
      </c>
      <c r="AB164" s="18">
        <f t="shared" ref="AB164:AB225" si="106">V164</f>
        <v>2.9266188888888878</v>
      </c>
      <c r="AE164" s="44" cm="1">
        <f t="array" ref="AE164">_xll.BDH("COMXGOLD Comdty","PX_Last", N164)</f>
        <v>22305812.271000002</v>
      </c>
      <c r="AF164" s="15" t="str" cm="1">
        <f t="array" ref="AF164">_xll.BDS("GCA Comdty","FUT_CHAIN", "CHAIN_DATE",A164,"endrow=1")</f>
        <v>GCN23 Comdty</v>
      </c>
      <c r="AG164" s="44" cm="1">
        <f t="array" ref="AG164">_xll.BDH(AF164,"FUT_AGGTE_OPEN_INT",A164)</f>
        <v>473607</v>
      </c>
      <c r="AH164" s="44">
        <f t="shared" si="91"/>
        <v>47360700</v>
      </c>
      <c r="AI164" s="48">
        <f t="shared" si="92"/>
        <v>0.47097725056850936</v>
      </c>
      <c r="AJ164" s="45"/>
      <c r="AK164" s="44" cm="1">
        <f t="array" ref="AK164">_xll.BDH("COMXSILV Comdty","PX_Last", N164)</f>
        <v>278578.53000000003</v>
      </c>
      <c r="AL164" s="15" t="str" cm="1">
        <f t="array" ref="AL164">_xll.BDS("SIA Comdty","FUT_CHAIN", "CHAIN_DATE",A164,"endrow=1")</f>
        <v>SIN23 Comdty</v>
      </c>
      <c r="AM164" s="47" cm="1">
        <f t="array" ref="AM164">_xll.BDH(AL164,"FUT_AGGTE_OPEN_INT",A164)</f>
        <v>146251</v>
      </c>
      <c r="AN164" s="45">
        <f t="shared" si="93"/>
        <v>380.95948745649605</v>
      </c>
      <c r="AO164" s="46">
        <f t="shared" si="94"/>
        <v>27857853000.000004</v>
      </c>
      <c r="AP164" s="46">
        <f t="shared" si="95"/>
        <v>731255</v>
      </c>
      <c r="AQ164" s="46"/>
    </row>
    <row r="165" spans="1:43" s="15" customFormat="1" x14ac:dyDescent="0.2">
      <c r="A165" s="24">
        <v>45134</v>
      </c>
      <c r="B165" s="25" cm="1">
        <f t="array" ref="B165">_xll.BADDPERIODS(A165, "PER=WD", "NUMBEROFPERIODS=2", "BUSDAYADJ=-2", "CDR=GQ", "CDR=P9")</f>
        <v>45138</v>
      </c>
      <c r="C165" s="26" cm="1">
        <f t="array" ref="C165">_xll.BDH("XAU Curncy","PX_LAST",A165,A165)</f>
        <v>1946</v>
      </c>
      <c r="D165" s="26" t="str" cm="1">
        <f t="array" ref="D165">_xll.BDP("GCZ23 Comdty",$M$32)</f>
        <v>01/12/2023</v>
      </c>
      <c r="E165" s="26">
        <f t="shared" si="96"/>
        <v>123</v>
      </c>
      <c r="F165" s="27">
        <v>5.6399999999999999E-2</v>
      </c>
      <c r="G165" s="28">
        <f t="shared" si="97"/>
        <v>37.499420000000001</v>
      </c>
      <c r="H165" s="29">
        <v>38.799999999999997</v>
      </c>
      <c r="I165" s="19">
        <f t="shared" si="98"/>
        <v>1.3005799999999965</v>
      </c>
      <c r="J165" s="26">
        <v>4</v>
      </c>
      <c r="K165" s="26">
        <v>6</v>
      </c>
      <c r="L165" s="26">
        <v>8</v>
      </c>
      <c r="N165" s="24">
        <v>45134</v>
      </c>
      <c r="O165" s="16" cm="1">
        <f t="array" ref="O165">_xll.BADDPERIODS(N165, "PER=WD", "NUMBEROFPERIODS=2", "BUSDAYADJ=-2", "CDR=GQ", "CDR=P9")</f>
        <v>45138</v>
      </c>
      <c r="P165" s="15" cm="1">
        <f t="array" ref="P165">_xll.BDH("XAG Curncy","PX_LAST",N165,N165)</f>
        <v>24.1355</v>
      </c>
      <c r="Q165" s="15" t="str" cm="1">
        <f t="array" ref="Q165">_xll.BDP("SIU23 Comdty",$M$32)</f>
        <v>01/09/2023</v>
      </c>
      <c r="R165" s="15">
        <f t="shared" si="99"/>
        <v>32</v>
      </c>
      <c r="S165" s="23">
        <v>5.6000000000000001E-2</v>
      </c>
      <c r="T165" s="21">
        <f t="shared" si="100"/>
        <v>0.12014115555555557</v>
      </c>
      <c r="U165" s="22">
        <v>0.155</v>
      </c>
      <c r="V165" s="20">
        <f t="shared" si="101"/>
        <v>3.4858844444444426</v>
      </c>
      <c r="W165" s="15">
        <v>15</v>
      </c>
      <c r="X165" s="15">
        <v>20</v>
      </c>
      <c r="Y165" s="15">
        <v>25</v>
      </c>
      <c r="Z165" s="18">
        <f>100*T165</f>
        <v>12.014115555555557</v>
      </c>
      <c r="AA165" s="18">
        <f t="shared" si="105"/>
        <v>15.5</v>
      </c>
      <c r="AB165" s="18">
        <f t="shared" si="106"/>
        <v>3.4858844444444426</v>
      </c>
      <c r="AE165" s="44" cm="1">
        <f t="array" ref="AE165">_xll.BDH("COMXGOLD Comdty","PX_Last", N165)</f>
        <v>22337753.171</v>
      </c>
      <c r="AF165" s="15" t="str" cm="1">
        <f t="array" ref="AF165">_xll.BDS("GCA Comdty","FUT_CHAIN", "CHAIN_DATE",A165,"endrow=1")</f>
        <v>GCN23 Comdty</v>
      </c>
      <c r="AG165" s="44" cm="1">
        <f t="array" ref="AG165">_xll.BDH(AF165,"FUT_AGGTE_OPEN_INT",A165)</f>
        <v>459036</v>
      </c>
      <c r="AH165" s="44">
        <f t="shared" si="91"/>
        <v>45903600</v>
      </c>
      <c r="AI165" s="48">
        <f t="shared" si="92"/>
        <v>0.48662312260912</v>
      </c>
      <c r="AJ165" s="45"/>
      <c r="AK165" s="44" cm="1">
        <f t="array" ref="AK165">_xll.BDH("COMXSILV Comdty","PX_Last", N165)</f>
        <v>278572.28000000003</v>
      </c>
      <c r="AL165" s="15" t="str" cm="1">
        <f t="array" ref="AL165">_xll.BDS("SIA Comdty","FUT_CHAIN", "CHAIN_DATE",A165,"endrow=1")</f>
        <v>SIN23 Comdty</v>
      </c>
      <c r="AM165" s="47" cm="1">
        <f t="array" ref="AM165">_xll.BDH(AL165,"FUT_AGGTE_OPEN_INT",A165)</f>
        <v>145266</v>
      </c>
      <c r="AN165" s="45">
        <f t="shared" si="93"/>
        <v>383.53404100064711</v>
      </c>
      <c r="AO165" s="46">
        <f t="shared" si="94"/>
        <v>27857228000.000004</v>
      </c>
      <c r="AP165" s="46">
        <f t="shared" si="95"/>
        <v>726330</v>
      </c>
      <c r="AQ165" s="46"/>
    </row>
    <row r="166" spans="1:43" x14ac:dyDescent="0.2">
      <c r="A166" s="24">
        <v>45135</v>
      </c>
      <c r="B166" s="25" cm="1">
        <f t="array" ref="B166">_xll.BADDPERIODS(A166, "PER=WD", "NUMBEROFPERIODS=2", "BUSDAYADJ=-2", "CDR=GQ", "CDR=P9")</f>
        <v>45139</v>
      </c>
      <c r="C166" s="26" cm="1">
        <f t="array" ref="C166">_xll.BDH("XAU Curncy","PX_LAST",A166,A166)</f>
        <v>1959.49</v>
      </c>
      <c r="D166" s="26" t="str" cm="1">
        <f t="array" ref="D166">_xll.BDP("GCZ23 Comdty",$M$32)</f>
        <v>01/12/2023</v>
      </c>
      <c r="E166" s="26">
        <f t="shared" si="96"/>
        <v>122</v>
      </c>
      <c r="F166" s="27">
        <v>5.6399999999999999E-2</v>
      </c>
      <c r="G166" s="28">
        <f t="shared" si="97"/>
        <v>37.452385533333334</v>
      </c>
      <c r="H166" s="29">
        <v>38.299999999999997</v>
      </c>
      <c r="I166" s="19">
        <f t="shared" si="98"/>
        <v>0.84761446666666274</v>
      </c>
      <c r="J166" s="26">
        <v>4</v>
      </c>
      <c r="K166" s="26">
        <v>6</v>
      </c>
      <c r="L166" s="26">
        <v>8</v>
      </c>
      <c r="N166" s="24">
        <v>45135</v>
      </c>
      <c r="O166" s="16" cm="1">
        <f t="array" ref="O166">_xll.BADDPERIODS(N166, "PER=WD", "NUMBEROFPERIODS=2", "BUSDAYADJ=-2", "CDR=GQ", "CDR=P9")</f>
        <v>45139</v>
      </c>
      <c r="P166" s="15" cm="1">
        <f t="array" ref="P166">_xll.BDH("XAG Curncy","PX_LAST",N166,N166)</f>
        <v>24.3443</v>
      </c>
      <c r="Q166" s="15" t="str" cm="1">
        <f t="array" ref="Q166">_xll.BDP("SIU23 Comdty",$M$32)</f>
        <v>01/09/2023</v>
      </c>
      <c r="R166" s="15">
        <f t="shared" si="99"/>
        <v>31</v>
      </c>
      <c r="S166" s="23">
        <v>5.6000000000000001E-2</v>
      </c>
      <c r="T166" s="21">
        <f t="shared" si="100"/>
        <v>0.11739362444444444</v>
      </c>
      <c r="U166" s="22">
        <v>0.14499999999999999</v>
      </c>
      <c r="V166" s="20">
        <f t="shared" si="101"/>
        <v>2.7606375555555549</v>
      </c>
      <c r="W166" s="15">
        <v>15</v>
      </c>
      <c r="X166" s="15">
        <v>20</v>
      </c>
      <c r="Y166" s="15">
        <v>25</v>
      </c>
      <c r="Z166" s="18">
        <f t="shared" si="102"/>
        <v>11.739362444444444</v>
      </c>
      <c r="AA166" s="18">
        <f t="shared" si="105"/>
        <v>14.499999999999998</v>
      </c>
      <c r="AB166" s="18">
        <f t="shared" si="106"/>
        <v>2.7606375555555549</v>
      </c>
      <c r="AE166" s="44" cm="1">
        <f t="array" ref="AE166">_xll.BDH("COMXGOLD Comdty","PX_Last", N166)</f>
        <v>22337753.171</v>
      </c>
      <c r="AF166" s="15" t="str" cm="1">
        <f t="array" ref="AF166">_xll.BDS("GCA Comdty","FUT_CHAIN", "CHAIN_DATE",A166,"endrow=1")</f>
        <v>GCQ23 Comdty</v>
      </c>
      <c r="AG166" s="44" cm="1">
        <f t="array" ref="AG166">_xll.BDH(AF166,"FUT_AGGTE_OPEN_INT",A166)</f>
        <v>446453</v>
      </c>
      <c r="AH166" s="44">
        <f t="shared" si="91"/>
        <v>44645300</v>
      </c>
      <c r="AI166" s="48">
        <f t="shared" si="92"/>
        <v>0.50033829251903339</v>
      </c>
      <c r="AJ166" s="45"/>
      <c r="AK166" s="44" cm="1">
        <f t="array" ref="AK166">_xll.BDH("COMXSILV Comdty","PX_Last", N166)</f>
        <v>278535.13</v>
      </c>
      <c r="AL166" s="15" t="str" cm="1">
        <f t="array" ref="AL166">_xll.BDS("SIA Comdty","FUT_CHAIN", "CHAIN_DATE",A166,"endrow=1")</f>
        <v>SIQ23 Comdty</v>
      </c>
      <c r="AM166" s="47" cm="1">
        <f t="array" ref="AM166">_xll.BDH(AL166,"FUT_AGGTE_OPEN_INT",A166)</f>
        <v>143298</v>
      </c>
      <c r="AN166" s="45">
        <f t="shared" si="93"/>
        <v>388.7495010397912</v>
      </c>
      <c r="AO166" s="46">
        <f t="shared" si="94"/>
        <v>27853513000</v>
      </c>
      <c r="AP166" s="46">
        <f t="shared" si="95"/>
        <v>716490</v>
      </c>
      <c r="AQ166" s="46"/>
    </row>
    <row r="167" spans="1:43" s="15" customFormat="1" x14ac:dyDescent="0.2">
      <c r="A167" s="24">
        <v>45138</v>
      </c>
      <c r="B167" s="25" cm="1">
        <f t="array" ref="B167">_xll.BADDPERIODS(A167, "PER=WD", "NUMBEROFPERIODS=2", "BUSDAYADJ=-2", "CDR=GQ", "CDR=P9")</f>
        <v>45140</v>
      </c>
      <c r="C167" s="26" cm="1">
        <f t="array" ref="C167">_xll.BDH("XAU Curncy","PX_LAST",A167,A167)</f>
        <v>1965.09</v>
      </c>
      <c r="D167" s="26" t="str" cm="1">
        <f t="array" ref="D167">_xll.BDP("GCZ23 Comdty",$M$32)</f>
        <v>01/12/2023</v>
      </c>
      <c r="E167" s="26">
        <f t="shared" ref="E167:E174" si="107">_xlfn.DAYS(D167,B167)</f>
        <v>121</v>
      </c>
      <c r="F167" s="27">
        <v>5.6399999999999999E-2</v>
      </c>
      <c r="G167" s="28">
        <f t="shared" ref="G167:G180" si="108">C167*(E167/360)*F167</f>
        <v>37.251556100000002</v>
      </c>
      <c r="H167" s="29">
        <v>38.299999999999997</v>
      </c>
      <c r="I167" s="19">
        <f t="shared" ref="I167:I180" si="109">H167-G167</f>
        <v>1.0484438999999952</v>
      </c>
      <c r="J167" s="26">
        <v>4</v>
      </c>
      <c r="K167" s="26">
        <v>6</v>
      </c>
      <c r="L167" s="26">
        <v>8</v>
      </c>
      <c r="N167" s="24">
        <v>45138</v>
      </c>
      <c r="O167" s="16" cm="1">
        <f t="array" ref="O167">_xll.BADDPERIODS(N167, "PER=WD", "NUMBEROFPERIODS=2", "BUSDAYADJ=-2", "CDR=GQ", "CDR=P9")</f>
        <v>45140</v>
      </c>
      <c r="P167" s="15" cm="1">
        <f t="array" ref="P167">_xll.BDH("XAG Curncy","PX_LAST",N167,N167)</f>
        <v>24.746500000000001</v>
      </c>
      <c r="Q167" s="15" t="str" cm="1">
        <f t="array" ref="Q167">_xll.BDP("SIU23 Comdty",$M$32)</f>
        <v>01/09/2023</v>
      </c>
      <c r="R167" s="15">
        <f t="shared" si="99"/>
        <v>30</v>
      </c>
      <c r="S167" s="23">
        <v>5.6000000000000001E-2</v>
      </c>
      <c r="T167" s="21">
        <f t="shared" si="100"/>
        <v>0.11548366666666668</v>
      </c>
      <c r="U167" s="22">
        <v>0.14000000000000001</v>
      </c>
      <c r="V167" s="20">
        <f t="shared" si="101"/>
        <v>2.4516333333333336</v>
      </c>
      <c r="W167" s="15">
        <v>15</v>
      </c>
      <c r="X167" s="15">
        <v>20</v>
      </c>
      <c r="Y167" s="15">
        <v>25</v>
      </c>
      <c r="Z167" s="18">
        <f t="shared" si="102"/>
        <v>11.548366666666668</v>
      </c>
      <c r="AA167" s="18">
        <f t="shared" si="105"/>
        <v>14.000000000000002</v>
      </c>
      <c r="AB167" s="18">
        <f t="shared" si="106"/>
        <v>2.4516333333333336</v>
      </c>
      <c r="AE167" s="44" cm="1">
        <f t="array" ref="AE167">_xll.BDH("COMXGOLD Comdty","PX_Last", N167)</f>
        <v>22209687.181000002</v>
      </c>
      <c r="AF167" s="15" t="str" cm="1">
        <f t="array" ref="AF167">_xll.BDS("GCA Comdty","FUT_CHAIN", "CHAIN_DATE",A167,"endrow=1")</f>
        <v>GCQ23 Comdty</v>
      </c>
      <c r="AG167" s="44" cm="1">
        <f t="array" ref="AG167">_xll.BDH(AF167,"FUT_AGGTE_OPEN_INT",A167)</f>
        <v>444586</v>
      </c>
      <c r="AH167" s="44">
        <f t="shared" si="91"/>
        <v>44458600</v>
      </c>
      <c r="AI167" s="48">
        <f t="shared" si="92"/>
        <v>0.49955885207811318</v>
      </c>
      <c r="AJ167" s="45"/>
      <c r="AK167" s="44" cm="1">
        <f t="array" ref="AK167">_xll.BDH("COMXSILV Comdty","PX_Last", N167)</f>
        <v>281695.59000000003</v>
      </c>
      <c r="AL167" s="15" t="str" cm="1">
        <f t="array" ref="AL167">_xll.BDS("SIA Comdty","FUT_CHAIN", "CHAIN_DATE",A167,"endrow=1")</f>
        <v>SIQ23 Comdty</v>
      </c>
      <c r="AM167" s="47" cm="1">
        <f t="array" ref="AM167">_xll.BDH(AL167,"FUT_AGGTE_OPEN_INT",A167)</f>
        <v>144808</v>
      </c>
      <c r="AN167" s="45">
        <f t="shared" si="93"/>
        <v>389.06081155737257</v>
      </c>
      <c r="AO167" s="46">
        <f t="shared" si="94"/>
        <v>28169559000.000004</v>
      </c>
      <c r="AP167" s="46">
        <f t="shared" si="95"/>
        <v>724040</v>
      </c>
      <c r="AQ167" s="46"/>
    </row>
    <row r="168" spans="1:43" s="15" customFormat="1" x14ac:dyDescent="0.2">
      <c r="A168" s="24">
        <v>45139</v>
      </c>
      <c r="B168" s="25" cm="1">
        <f t="array" ref="B168">_xll.BADDPERIODS(A168, "PER=WD", "NUMBEROFPERIODS=2", "BUSDAYADJ=-2", "CDR=GQ", "CDR=P9")</f>
        <v>45141</v>
      </c>
      <c r="C168" s="26" cm="1">
        <f t="array" ref="C168">_xll.BDH("XAU Curncy","PX_LAST",A168,A168)</f>
        <v>1944.29</v>
      </c>
      <c r="D168" s="26" t="str" cm="1">
        <f t="array" ref="D168">_xll.BDP("GCZ23 Comdty",$M$32)</f>
        <v>01/12/2023</v>
      </c>
      <c r="E168" s="26">
        <f t="shared" si="107"/>
        <v>120</v>
      </c>
      <c r="F168" s="27">
        <v>5.6000000000000001E-2</v>
      </c>
      <c r="G168" s="28">
        <f t="shared" si="108"/>
        <v>36.293413333333326</v>
      </c>
      <c r="H168" s="29">
        <v>37.299999999999997</v>
      </c>
      <c r="I168" s="19">
        <f t="shared" si="109"/>
        <v>1.0065866666666707</v>
      </c>
      <c r="J168" s="26">
        <v>4</v>
      </c>
      <c r="K168" s="26">
        <v>6</v>
      </c>
      <c r="L168" s="26">
        <v>8</v>
      </c>
      <c r="N168" s="24">
        <v>45139</v>
      </c>
      <c r="O168" s="16" cm="1">
        <f t="array" ref="O168">_xll.BADDPERIODS(N168, "PER=WD", "NUMBEROFPERIODS=2", "BUSDAYADJ=-2", "CDR=GQ", "CDR=P9")</f>
        <v>45141</v>
      </c>
      <c r="P168" s="15" cm="1">
        <f t="array" ref="P168">_xll.BDH("XAG Curncy","PX_LAST",N168,N168)</f>
        <v>24.305</v>
      </c>
      <c r="Q168" s="15" t="str" cm="1">
        <f t="array" ref="Q168">_xll.BDP("SIU23 Comdty",$M$32)</f>
        <v>01/09/2023</v>
      </c>
      <c r="R168" s="15">
        <f t="shared" si="99"/>
        <v>29</v>
      </c>
      <c r="S168" s="23">
        <v>5.6000000000000001E-2</v>
      </c>
      <c r="T168" s="21">
        <f t="shared" si="100"/>
        <v>0.10964255555555558</v>
      </c>
      <c r="U168" s="22">
        <v>0.13500000000000001</v>
      </c>
      <c r="V168" s="20">
        <f t="shared" si="101"/>
        <v>2.5357444444444432</v>
      </c>
      <c r="W168" s="15">
        <v>15</v>
      </c>
      <c r="X168" s="15">
        <v>20</v>
      </c>
      <c r="Y168" s="15">
        <v>25</v>
      </c>
      <c r="Z168" s="18">
        <f t="shared" si="102"/>
        <v>10.964255555555557</v>
      </c>
      <c r="AA168" s="18">
        <f t="shared" si="105"/>
        <v>13.5</v>
      </c>
      <c r="AB168" s="18">
        <f t="shared" si="106"/>
        <v>2.5357444444444432</v>
      </c>
      <c r="AE168" s="44" cm="1">
        <f t="array" ref="AE168">_xll.BDH("COMXGOLD Comdty","PX_Last", N168)</f>
        <v>22209590.728</v>
      </c>
      <c r="AF168" s="15" t="str" cm="1">
        <f t="array" ref="AF168">_xll.BDS("GCA Comdty","FUT_CHAIN", "CHAIN_DATE",A168,"endrow=1")</f>
        <v>GCQ23 Comdty</v>
      </c>
      <c r="AG168" s="44" cm="1">
        <f t="array" ref="AG168">_xll.BDH(AF168,"FUT_AGGTE_OPEN_INT",A168)</f>
        <v>439383</v>
      </c>
      <c r="AH168" s="44">
        <f t="shared" si="91"/>
        <v>43938300</v>
      </c>
      <c r="AI168" s="48">
        <f t="shared" si="92"/>
        <v>0.50547223556669241</v>
      </c>
      <c r="AJ168" s="45"/>
      <c r="AK168" s="44" cm="1">
        <f t="array" ref="AK168">_xll.BDH("COMXSILV Comdty","PX_Last", N168)</f>
        <v>281695.59000000003</v>
      </c>
      <c r="AL168" s="15" t="str" cm="1">
        <f t="array" ref="AL168">_xll.BDS("SIA Comdty","FUT_CHAIN", "CHAIN_DATE",A168,"endrow=1")</f>
        <v>SIQ23 Comdty</v>
      </c>
      <c r="AM168" s="47" cm="1">
        <f t="array" ref="AM168">_xll.BDH(AL168,"FUT_AGGTE_OPEN_INT",A168)</f>
        <v>144138</v>
      </c>
      <c r="AN168" s="45">
        <f t="shared" si="93"/>
        <v>390.86929192856849</v>
      </c>
      <c r="AO168" s="46">
        <f t="shared" si="94"/>
        <v>28169559000.000004</v>
      </c>
      <c r="AP168" s="46">
        <f t="shared" si="95"/>
        <v>720690</v>
      </c>
      <c r="AQ168" s="46"/>
    </row>
    <row r="169" spans="1:43" s="15" customFormat="1" x14ac:dyDescent="0.2">
      <c r="A169" s="24">
        <v>45140</v>
      </c>
      <c r="B169" s="25" cm="1">
        <f t="array" ref="B169">_xll.BADDPERIODS(A169, "PER=WD", "NUMBEROFPERIODS=2", "BUSDAYADJ=-2", "CDR=GQ", "CDR=P9")</f>
        <v>45142</v>
      </c>
      <c r="C169" s="26" cm="1">
        <f t="array" ref="C169">_xll.BDH("XAU Curncy","PX_LAST",A169,A169)</f>
        <v>1934.45</v>
      </c>
      <c r="D169" s="26" t="str" cm="1">
        <f t="array" ref="D169">_xll.BDP("GCZ23 Comdty",$M$32)</f>
        <v>01/12/2023</v>
      </c>
      <c r="E169" s="26">
        <f t="shared" si="107"/>
        <v>119</v>
      </c>
      <c r="F169" s="27">
        <v>5.6000000000000001E-2</v>
      </c>
      <c r="G169" s="28">
        <f t="shared" si="108"/>
        <v>35.808818888888887</v>
      </c>
      <c r="H169" s="29">
        <v>36.5</v>
      </c>
      <c r="I169" s="19">
        <f t="shared" si="109"/>
        <v>0.69118111111111347</v>
      </c>
      <c r="J169" s="26">
        <v>4</v>
      </c>
      <c r="K169" s="26">
        <v>6</v>
      </c>
      <c r="L169" s="26">
        <v>8</v>
      </c>
      <c r="N169" s="24">
        <v>45140</v>
      </c>
      <c r="O169" s="16" cm="1">
        <f t="array" ref="O169">_xll.BADDPERIODS(N169, "PER=WD", "NUMBEROFPERIODS=2", "BUSDAYADJ=-2", "CDR=GQ", "CDR=P9")</f>
        <v>45142</v>
      </c>
      <c r="P169" s="15" cm="1">
        <f t="array" ref="P169">_xll.BDH("XAG Curncy","PX_LAST",N169,N169)</f>
        <v>23.716699999999999</v>
      </c>
      <c r="Q169" s="15" t="str" cm="1">
        <f t="array" ref="Q169">_xll.BDP("SIU23 Comdty",$M$32)</f>
        <v>01/09/2023</v>
      </c>
      <c r="R169" s="15">
        <f t="shared" si="99"/>
        <v>28</v>
      </c>
      <c r="S169" s="23">
        <v>5.6000000000000001E-2</v>
      </c>
      <c r="T169" s="21">
        <f t="shared" si="100"/>
        <v>0.10329940444444445</v>
      </c>
      <c r="U169" s="22">
        <v>0.13</v>
      </c>
      <c r="V169" s="20">
        <f t="shared" si="101"/>
        <v>2.6700595555555555</v>
      </c>
      <c r="W169" s="15">
        <v>15</v>
      </c>
      <c r="X169" s="15">
        <v>20</v>
      </c>
      <c r="Y169" s="15">
        <v>25</v>
      </c>
      <c r="Z169" s="18">
        <f t="shared" si="102"/>
        <v>10.329940444444444</v>
      </c>
      <c r="AA169" s="18">
        <f t="shared" si="105"/>
        <v>13</v>
      </c>
      <c r="AB169" s="18">
        <f t="shared" si="106"/>
        <v>2.6700595555555555</v>
      </c>
      <c r="AE169" s="44" cm="1">
        <f t="array" ref="AE169">_xll.BDH("COMXGOLD Comdty","PX_Last", N169)</f>
        <v>22202871.168000001</v>
      </c>
      <c r="AF169" s="15" t="str" cm="1">
        <f t="array" ref="AF169">_xll.BDS("GCA Comdty","FUT_CHAIN", "CHAIN_DATE",A169,"endrow=1")</f>
        <v>GCQ23 Comdty</v>
      </c>
      <c r="AG169" s="44" cm="1">
        <f t="array" ref="AG169">_xll.BDH(AF169,"FUT_AGGTE_OPEN_INT",A169)</f>
        <v>439412</v>
      </c>
      <c r="AH169" s="44">
        <f t="shared" si="91"/>
        <v>43941200</v>
      </c>
      <c r="AI169" s="48">
        <f t="shared" si="92"/>
        <v>0.50528595413871269</v>
      </c>
      <c r="AJ169" s="45"/>
      <c r="AK169" s="44" cm="1">
        <f t="array" ref="AK169">_xll.BDH("COMXSILV Comdty","PX_Last", N169)</f>
        <v>281652.38</v>
      </c>
      <c r="AL169" s="15" t="str" cm="1">
        <f t="array" ref="AL169">_xll.BDS("SIA Comdty","FUT_CHAIN", "CHAIN_DATE",A169,"endrow=1")</f>
        <v>SIQ23 Comdty</v>
      </c>
      <c r="AM169" s="47" cm="1">
        <f t="array" ref="AM169">_xll.BDH(AL169,"FUT_AGGTE_OPEN_INT",A169)</f>
        <v>141093</v>
      </c>
      <c r="AN169" s="45">
        <f t="shared" si="93"/>
        <v>399.24359110657514</v>
      </c>
      <c r="AO169" s="46">
        <f t="shared" si="94"/>
        <v>28165238000</v>
      </c>
      <c r="AP169" s="46">
        <f t="shared" si="95"/>
        <v>705465</v>
      </c>
      <c r="AQ169" s="46"/>
    </row>
    <row r="170" spans="1:43" s="15" customFormat="1" x14ac:dyDescent="0.2">
      <c r="A170" s="24">
        <v>45141</v>
      </c>
      <c r="B170" s="25" cm="1">
        <f t="array" ref="B170">_xll.BADDPERIODS(A170, "PER=WD", "NUMBEROFPERIODS=2", "BUSDAYADJ=-2", "CDR=GQ", "CDR=P9")</f>
        <v>45145</v>
      </c>
      <c r="C170" s="26" cm="1">
        <f t="array" ref="C170">_xll.BDH("XAU Curncy","PX_LAST",A170,A170)</f>
        <v>1934.06</v>
      </c>
      <c r="D170" s="26" t="str" cm="1">
        <f t="array" ref="D170">_xll.BDP("GCZ23 Comdty",$M$32)</f>
        <v>01/12/2023</v>
      </c>
      <c r="E170" s="26">
        <f t="shared" si="107"/>
        <v>116</v>
      </c>
      <c r="F170" s="27">
        <v>5.6000000000000001E-2</v>
      </c>
      <c r="G170" s="28">
        <f t="shared" si="108"/>
        <v>34.899038222222224</v>
      </c>
      <c r="H170" s="29">
        <v>35.6</v>
      </c>
      <c r="I170" s="19">
        <f t="shared" si="109"/>
        <v>0.70096177777777768</v>
      </c>
      <c r="J170" s="26">
        <v>4</v>
      </c>
      <c r="K170" s="26">
        <v>6</v>
      </c>
      <c r="L170" s="26">
        <v>8</v>
      </c>
      <c r="N170" s="24">
        <v>45141</v>
      </c>
      <c r="O170" s="16" cm="1">
        <f t="array" ref="O170">_xll.BADDPERIODS(N170, "PER=WD", "NUMBEROFPERIODS=2", "BUSDAYADJ=-2", "CDR=GQ", "CDR=P9")</f>
        <v>45145</v>
      </c>
      <c r="P170" s="15" cm="1">
        <f t="array" ref="P170">_xll.BDH("XAG Curncy","PX_LAST",N170,N170)</f>
        <v>23.570799999999998</v>
      </c>
      <c r="Q170" s="15" t="str" cm="1">
        <f t="array" ref="Q170">_xll.BDP("SIU23 Comdty",$M$32)</f>
        <v>01/09/2023</v>
      </c>
      <c r="R170" s="15">
        <f t="shared" si="99"/>
        <v>25</v>
      </c>
      <c r="S170" s="23">
        <v>5.6000000000000001E-2</v>
      </c>
      <c r="T170" s="21">
        <f t="shared" si="100"/>
        <v>9.166422222222223E-2</v>
      </c>
      <c r="U170" s="22">
        <v>0.1</v>
      </c>
      <c r="V170" s="20">
        <f t="shared" si="101"/>
        <v>0.83357777777777753</v>
      </c>
      <c r="W170" s="15">
        <v>15</v>
      </c>
      <c r="X170" s="15">
        <v>20</v>
      </c>
      <c r="Y170" s="15">
        <v>25</v>
      </c>
      <c r="Z170" s="18">
        <f t="shared" si="102"/>
        <v>9.1664222222222236</v>
      </c>
      <c r="AA170" s="18">
        <f t="shared" si="105"/>
        <v>10</v>
      </c>
      <c r="AB170" s="18">
        <f t="shared" si="106"/>
        <v>0.83357777777777753</v>
      </c>
      <c r="AE170" s="44" cm="1">
        <f t="array" ref="AE170">_xll.BDH("COMXGOLD Comdty","PX_Last", N170)</f>
        <v>22202871.168000001</v>
      </c>
      <c r="AF170" s="15" t="str" cm="1">
        <f t="array" ref="AF170">_xll.BDS("GCA Comdty","FUT_CHAIN", "CHAIN_DATE",A170,"endrow=1")</f>
        <v>GCQ23 Comdty</v>
      </c>
      <c r="AG170" s="44" cm="1">
        <f t="array" ref="AG170">_xll.BDH(AF170,"FUT_AGGTE_OPEN_INT",A170)</f>
        <v>435395</v>
      </c>
      <c r="AH170" s="44">
        <f t="shared" si="91"/>
        <v>43539500</v>
      </c>
      <c r="AI170" s="48">
        <f t="shared" si="92"/>
        <v>0.50994777542231773</v>
      </c>
      <c r="AJ170" s="45"/>
      <c r="AK170" s="44" cm="1">
        <f t="array" ref="AK170">_xll.BDH("COMXSILV Comdty","PX_Last", N170)</f>
        <v>281645.13</v>
      </c>
      <c r="AL170" s="15" t="str" cm="1">
        <f t="array" ref="AL170">_xll.BDS("SIA Comdty","FUT_CHAIN", "CHAIN_DATE",A170,"endrow=1")</f>
        <v>SIQ23 Comdty</v>
      </c>
      <c r="AM170" s="47" cm="1">
        <f t="array" ref="AM170">_xll.BDH(AL170,"FUT_AGGTE_OPEN_INT",A170)</f>
        <v>137515</v>
      </c>
      <c r="AN170" s="45">
        <f t="shared" si="93"/>
        <v>409.620957713704</v>
      </c>
      <c r="AO170" s="46">
        <f t="shared" si="94"/>
        <v>28164513000</v>
      </c>
      <c r="AP170" s="46">
        <f t="shared" si="95"/>
        <v>687575</v>
      </c>
      <c r="AQ170" s="46"/>
    </row>
    <row r="171" spans="1:43" s="15" customFormat="1" x14ac:dyDescent="0.2">
      <c r="A171" s="24">
        <v>45142</v>
      </c>
      <c r="B171" s="25" cm="1">
        <f t="array" ref="B171">_xll.BADDPERIODS(A171, "PER=WD", "NUMBEROFPERIODS=2", "BUSDAYADJ=-2", "CDR=GQ", "CDR=P9")</f>
        <v>45146</v>
      </c>
      <c r="C171" s="26" cm="1">
        <f t="array" ref="C171">_xll.BDH("XAU Curncy","PX_LAST",A171,A171)</f>
        <v>1942.91</v>
      </c>
      <c r="D171" s="26" t="str" cm="1">
        <f t="array" ref="D171">_xll.BDP("GCZ23 Comdty",$M$32)</f>
        <v>01/12/2023</v>
      </c>
      <c r="E171" s="26">
        <f t="shared" si="107"/>
        <v>115</v>
      </c>
      <c r="F171" s="27">
        <v>5.6000000000000001E-2</v>
      </c>
      <c r="G171" s="28">
        <f t="shared" si="108"/>
        <v>34.756501111111106</v>
      </c>
      <c r="H171" s="29">
        <v>35.4</v>
      </c>
      <c r="I171" s="19">
        <f t="shared" si="109"/>
        <v>0.6434988888888924</v>
      </c>
      <c r="J171" s="26">
        <v>4</v>
      </c>
      <c r="K171" s="26">
        <v>6</v>
      </c>
      <c r="L171" s="26">
        <v>8</v>
      </c>
      <c r="N171" s="24">
        <v>45142</v>
      </c>
      <c r="O171" s="16" cm="1">
        <f t="array" ref="O171">_xll.BADDPERIODS(N171, "PER=WD", "NUMBEROFPERIODS=2", "BUSDAYADJ=-2", "CDR=GQ", "CDR=P9")</f>
        <v>45146</v>
      </c>
      <c r="P171" s="15" cm="1">
        <f t="array" ref="P171">_xll.BDH("XAG Curncy","PX_LAST",N171,N171)</f>
        <v>23.634499999999999</v>
      </c>
      <c r="Q171" s="15" t="str" cm="1">
        <f t="array" ref="Q171">_xll.BDP("SIU23 Comdty",$M$32)</f>
        <v>01/09/2023</v>
      </c>
      <c r="R171" s="15">
        <f t="shared" si="99"/>
        <v>24</v>
      </c>
      <c r="S171" s="23">
        <v>5.6000000000000001E-2</v>
      </c>
      <c r="T171" s="21">
        <f t="shared" si="100"/>
        <v>8.8235466666666665E-2</v>
      </c>
      <c r="U171" s="22">
        <v>9.2499999999999999E-2</v>
      </c>
      <c r="V171" s="20">
        <f t="shared" si="101"/>
        <v>0.42645333333333341</v>
      </c>
      <c r="W171" s="15">
        <v>15</v>
      </c>
      <c r="X171" s="15">
        <v>20</v>
      </c>
      <c r="Y171" s="15">
        <v>25</v>
      </c>
      <c r="Z171" s="18">
        <f t="shared" si="102"/>
        <v>8.8235466666666671</v>
      </c>
      <c r="AA171" s="18">
        <f t="shared" si="105"/>
        <v>9.25</v>
      </c>
      <c r="AB171" s="18">
        <f t="shared" si="106"/>
        <v>0.42645333333333341</v>
      </c>
      <c r="AE171" s="44" cm="1">
        <f t="array" ref="AE171">_xll.BDH("COMXGOLD Comdty","PX_Last", N171)</f>
        <v>22202871.168000001</v>
      </c>
      <c r="AF171" s="15" t="str" cm="1">
        <f t="array" ref="AF171">_xll.BDS("GCA Comdty","FUT_CHAIN", "CHAIN_DATE",A171,"endrow=1")</f>
        <v>GCQ23 Comdty</v>
      </c>
      <c r="AG171" s="44" cm="1">
        <f t="array" ref="AG171">_xll.BDH(AF171,"FUT_AGGTE_OPEN_INT",A171)</f>
        <v>432460</v>
      </c>
      <c r="AH171" s="44">
        <f t="shared" si="91"/>
        <v>43246000</v>
      </c>
      <c r="AI171" s="48">
        <f t="shared" si="92"/>
        <v>0.5134086659575452</v>
      </c>
      <c r="AJ171" s="45"/>
      <c r="AK171" s="44" cm="1">
        <f t="array" ref="AK171">_xll.BDH("COMXSILV Comdty","PX_Last", N171)</f>
        <v>281947.44</v>
      </c>
      <c r="AL171" s="15" t="str" cm="1">
        <f t="array" ref="AL171">_xll.BDS("SIA Comdty","FUT_CHAIN", "CHAIN_DATE",A171,"endrow=1")</f>
        <v>SIQ23 Comdty</v>
      </c>
      <c r="AM171" s="47" cm="1">
        <f t="array" ref="AM171">_xll.BDH(AL171,"FUT_AGGTE_OPEN_INT",A171)</f>
        <v>137957</v>
      </c>
      <c r="AN171" s="45">
        <f t="shared" si="93"/>
        <v>408.74684140710508</v>
      </c>
      <c r="AO171" s="46">
        <f t="shared" si="94"/>
        <v>28194744000</v>
      </c>
      <c r="AP171" s="46">
        <f t="shared" si="95"/>
        <v>689785</v>
      </c>
      <c r="AQ171" s="46"/>
    </row>
    <row r="172" spans="1:43" x14ac:dyDescent="0.2">
      <c r="A172" s="24">
        <v>45145</v>
      </c>
      <c r="B172" s="25" cm="1">
        <f t="array" ref="B172">_xll.BADDPERIODS(A172, "PER=WD", "NUMBEROFPERIODS=2", "BUSDAYADJ=-2", "CDR=GQ", "CDR=P9")</f>
        <v>45147</v>
      </c>
      <c r="C172" s="26" cm="1">
        <f t="array" ref="C172">_xll.BDH("XAU Curncy","PX_LAST",A172,A172)</f>
        <v>1936.56</v>
      </c>
      <c r="D172" s="26" t="str" cm="1">
        <f t="array" ref="D172">_xll.BDP("GCZ23 Comdty",$M$32)</f>
        <v>01/12/2023</v>
      </c>
      <c r="E172" s="26">
        <f t="shared" si="107"/>
        <v>114</v>
      </c>
      <c r="F172" s="27">
        <v>5.6000000000000001E-2</v>
      </c>
      <c r="G172" s="28">
        <f t="shared" si="108"/>
        <v>34.341663999999994</v>
      </c>
      <c r="H172" s="29">
        <v>34.700000000000003</v>
      </c>
      <c r="I172" s="19">
        <f t="shared" si="109"/>
        <v>0.35833600000000843</v>
      </c>
      <c r="J172" s="26">
        <v>4</v>
      </c>
      <c r="K172" s="26">
        <v>6</v>
      </c>
      <c r="L172" s="26">
        <v>8</v>
      </c>
      <c r="N172" s="24">
        <v>45145</v>
      </c>
      <c r="O172" s="16" cm="1">
        <f t="array" ref="O172">_xll.BADDPERIODS(N172, "PER=WD", "NUMBEROFPERIODS=2", "BUSDAYADJ=-2", "CDR=GQ", "CDR=P9")</f>
        <v>45147</v>
      </c>
      <c r="P172" s="15" cm="1">
        <f t="array" ref="P172">_xll.BDH("XAG Curncy","PX_LAST",N172,N172)</f>
        <v>23.1341</v>
      </c>
      <c r="Q172" s="15" t="str" cm="1">
        <f t="array" ref="Q172">_xll.BDP("SIU23 Comdty",$M$32)</f>
        <v>01/09/2023</v>
      </c>
      <c r="R172" s="15">
        <f t="shared" si="99"/>
        <v>23</v>
      </c>
      <c r="S172" s="23">
        <v>5.6000000000000001E-2</v>
      </c>
      <c r="T172" s="21">
        <f t="shared" si="100"/>
        <v>8.2768668888888883E-2</v>
      </c>
      <c r="U172" s="22">
        <v>8.5000000000000006E-2</v>
      </c>
      <c r="V172" s="20">
        <f t="shared" si="101"/>
        <v>0.22313311111111234</v>
      </c>
      <c r="W172" s="15">
        <v>15</v>
      </c>
      <c r="X172" s="15">
        <v>20</v>
      </c>
      <c r="Y172" s="15">
        <v>25</v>
      </c>
      <c r="Z172" s="18">
        <f t="shared" si="102"/>
        <v>8.2768668888888879</v>
      </c>
      <c r="AA172" s="18">
        <f t="shared" si="105"/>
        <v>8.5</v>
      </c>
      <c r="AB172" s="18">
        <f t="shared" si="106"/>
        <v>0.22313311111111234</v>
      </c>
      <c r="AE172" s="44" cm="1">
        <f t="array" ref="AE172">_xll.BDH("COMXGOLD Comdty","PX_Last", N172)</f>
        <v>22260357.155999999</v>
      </c>
      <c r="AF172" s="15" t="str" cm="1">
        <f t="array" ref="AF172">_xll.BDS("GCA Comdty","FUT_CHAIN", "CHAIN_DATE",A172,"endrow=1")</f>
        <v>GCQ23 Comdty</v>
      </c>
      <c r="AG172" s="44" cm="1">
        <f t="array" ref="AG172">_xll.BDH(AF172,"FUT_AGGTE_OPEN_INT",A172)</f>
        <v>431434</v>
      </c>
      <c r="AH172" s="44">
        <f t="shared" si="91"/>
        <v>43143400</v>
      </c>
      <c r="AI172" s="48">
        <f t="shared" si="92"/>
        <v>0.5159620511132641</v>
      </c>
      <c r="AJ172" s="45"/>
      <c r="AK172" s="44" cm="1">
        <f t="array" ref="AK172">_xll.BDH("COMXSILV Comdty","PX_Last", N172)</f>
        <v>281324.63</v>
      </c>
      <c r="AL172" s="15" t="str" cm="1">
        <f t="array" ref="AL172">_xll.BDS("SIA Comdty","FUT_CHAIN", "CHAIN_DATE",A172,"endrow=1")</f>
        <v>SIQ23 Comdty</v>
      </c>
      <c r="AM172" s="47" cm="1">
        <f t="array" ref="AM172">_xll.BDH(AL172,"FUT_AGGTE_OPEN_INT",A172)</f>
        <v>141517</v>
      </c>
      <c r="AN172" s="45">
        <f t="shared" si="93"/>
        <v>397.58421956372729</v>
      </c>
      <c r="AO172" s="46">
        <f t="shared" si="94"/>
        <v>28132463000</v>
      </c>
      <c r="AP172" s="46">
        <f t="shared" si="95"/>
        <v>707585</v>
      </c>
      <c r="AQ172" s="46"/>
    </row>
    <row r="173" spans="1:43" x14ac:dyDescent="0.2">
      <c r="A173" s="24">
        <v>45146</v>
      </c>
      <c r="B173" s="25" cm="1">
        <f t="array" ref="B173">_xll.BADDPERIODS(A173, "PER=WD", "NUMBEROFPERIODS=2", "BUSDAYADJ=-2", "CDR=GQ", "CDR=P9")</f>
        <v>45148</v>
      </c>
      <c r="C173" s="26" cm="1">
        <f t="array" ref="C173">_xll.BDH("XAU Curncy","PX_LAST",A173,A173)</f>
        <v>1925.24</v>
      </c>
      <c r="D173" s="26" t="str" cm="1">
        <f t="array" ref="D173">_xll.BDP("GCZ23 Comdty",$M$32)</f>
        <v>01/12/2023</v>
      </c>
      <c r="E173" s="26">
        <f t="shared" si="107"/>
        <v>113</v>
      </c>
      <c r="F173" s="27">
        <v>5.5800000000000002E-2</v>
      </c>
      <c r="G173" s="28">
        <f t="shared" si="108"/>
        <v>33.720578600000003</v>
      </c>
      <c r="H173" s="29">
        <v>34.200000000000003</v>
      </c>
      <c r="I173" s="19">
        <f t="shared" si="109"/>
        <v>0.47942139999999966</v>
      </c>
      <c r="J173" s="26">
        <v>4</v>
      </c>
      <c r="K173" s="26">
        <v>6</v>
      </c>
      <c r="L173" s="26">
        <v>8</v>
      </c>
      <c r="N173" s="24">
        <v>45146</v>
      </c>
      <c r="O173" s="16" cm="1">
        <f t="array" ref="O173">_xll.BADDPERIODS(N173, "PER=WD", "NUMBEROFPERIODS=2", "BUSDAYADJ=-2", "CDR=GQ", "CDR=P9")</f>
        <v>45148</v>
      </c>
      <c r="P173" s="15" cm="1">
        <f t="array" ref="P173">_xll.BDH("XAG Curncy","PX_LAST",N173,N173)</f>
        <v>22.782</v>
      </c>
      <c r="Q173" s="15" t="str" cm="1">
        <f t="array" ref="Q173">_xll.BDP("SIU23 Comdty",$M$32)</f>
        <v>01/09/2023</v>
      </c>
      <c r="R173" s="15">
        <f t="shared" si="99"/>
        <v>22</v>
      </c>
      <c r="S173" s="23">
        <v>5.6000000000000001E-2</v>
      </c>
      <c r="T173" s="21">
        <f t="shared" si="100"/>
        <v>7.7965066666666666E-2</v>
      </c>
      <c r="U173" s="22">
        <v>7.0000000000000007E-2</v>
      </c>
      <c r="V173" s="20">
        <f t="shared" si="101"/>
        <v>-0.79650666666666592</v>
      </c>
      <c r="W173" s="15">
        <v>15</v>
      </c>
      <c r="X173" s="15">
        <v>20</v>
      </c>
      <c r="Y173" s="15">
        <v>25</v>
      </c>
      <c r="Z173" s="18">
        <f t="shared" si="102"/>
        <v>7.7965066666666667</v>
      </c>
      <c r="AA173" s="18">
        <f t="shared" si="105"/>
        <v>7.0000000000000009</v>
      </c>
      <c r="AB173" s="18">
        <f t="shared" si="106"/>
        <v>-0.79650666666666592</v>
      </c>
      <c r="AE173" s="44" cm="1">
        <f t="array" ref="AE173">_xll.BDH("COMXGOLD Comdty","PX_Last", N173)</f>
        <v>22260325.004999999</v>
      </c>
      <c r="AF173" s="15" t="str" cm="1">
        <f t="array" ref="AF173">_xll.BDS("GCA Comdty","FUT_CHAIN", "CHAIN_DATE",A173,"endrow=1")</f>
        <v>GCQ23 Comdty</v>
      </c>
      <c r="AG173" s="44" cm="1">
        <f t="array" ref="AG173">_xll.BDH(AF173,"FUT_AGGTE_OPEN_INT",A173)</f>
        <v>427759</v>
      </c>
      <c r="AH173" s="44">
        <f t="shared" si="91"/>
        <v>42775900</v>
      </c>
      <c r="AI173" s="48">
        <f t="shared" si="92"/>
        <v>0.5203940771555946</v>
      </c>
      <c r="AJ173" s="45"/>
      <c r="AK173" s="44" cm="1">
        <f t="array" ref="AK173">_xll.BDH("COMXSILV Comdty","PX_Last", N173)</f>
        <v>281399.28000000003</v>
      </c>
      <c r="AL173" s="15" t="str" cm="1">
        <f t="array" ref="AL173">_xll.BDS("SIA Comdty","FUT_CHAIN", "CHAIN_DATE",A173,"endrow=1")</f>
        <v>SIQ23 Comdty</v>
      </c>
      <c r="AM173" s="47" cm="1">
        <f t="array" ref="AM173">_xll.BDH(AL173,"FUT_AGGTE_OPEN_INT",A173)</f>
        <v>137631</v>
      </c>
      <c r="AN173" s="45">
        <f t="shared" si="93"/>
        <v>408.9184558711338</v>
      </c>
      <c r="AO173" s="46">
        <f t="shared" si="94"/>
        <v>28139928000.000004</v>
      </c>
      <c r="AP173" s="46">
        <f t="shared" si="95"/>
        <v>688155</v>
      </c>
      <c r="AQ173" s="46"/>
    </row>
    <row r="174" spans="1:43" x14ac:dyDescent="0.2">
      <c r="A174" s="24">
        <v>45147</v>
      </c>
      <c r="B174" s="25" cm="1">
        <f t="array" ref="B174">_xll.BADDPERIODS(A174, "PER=WD", "NUMBEROFPERIODS=2", "BUSDAYADJ=-2", "CDR=GQ", "CDR=P9")</f>
        <v>45149</v>
      </c>
      <c r="C174" s="26" cm="1">
        <f t="array" ref="C174">_xll.BDH("XAU Curncy","PX_LAST",A174,A174)</f>
        <v>1914.46</v>
      </c>
      <c r="D174" s="26" t="str" cm="1">
        <f t="array" ref="D174">_xll.BDP("GCZ23 Comdty",$M$32)</f>
        <v>01/12/2023</v>
      </c>
      <c r="E174" s="26">
        <f t="shared" si="107"/>
        <v>112</v>
      </c>
      <c r="F174" s="27">
        <v>5.5599999999999997E-2</v>
      </c>
      <c r="G174" s="28">
        <f t="shared" si="108"/>
        <v>33.115903644444444</v>
      </c>
      <c r="H174" s="29">
        <v>33.6</v>
      </c>
      <c r="I174" s="19">
        <f t="shared" si="109"/>
        <v>0.48409635555555752</v>
      </c>
      <c r="J174" s="26">
        <v>4</v>
      </c>
      <c r="K174" s="26">
        <v>6</v>
      </c>
      <c r="L174" s="26">
        <v>8</v>
      </c>
      <c r="N174" s="24">
        <v>45147</v>
      </c>
      <c r="O174" s="16" cm="1">
        <f t="array" ref="O174">_xll.BADDPERIODS(N174, "PER=WD", "NUMBEROFPERIODS=2", "BUSDAYADJ=-2", "CDR=GQ", "CDR=P9")</f>
        <v>45149</v>
      </c>
      <c r="P174" s="15" cm="1">
        <f t="array" ref="P174">_xll.BDH("XAG Curncy","PX_LAST",N174,N174)</f>
        <v>22.6632</v>
      </c>
      <c r="Q174" s="15" t="str" cm="1">
        <f t="array" ref="Q174">_xll.BDP("SIU23 Comdty",$M$32)</f>
        <v>01/09/2023</v>
      </c>
      <c r="R174" s="15">
        <f t="shared" si="99"/>
        <v>21</v>
      </c>
      <c r="S174" s="23">
        <v>5.6000000000000001E-2</v>
      </c>
      <c r="T174" s="21">
        <f t="shared" si="100"/>
        <v>7.4033119999999994E-2</v>
      </c>
      <c r="U174" s="22">
        <v>7.4999999999999997E-2</v>
      </c>
      <c r="V174" s="20">
        <f t="shared" si="101"/>
        <v>9.6688000000000329E-2</v>
      </c>
      <c r="W174" s="15">
        <v>15</v>
      </c>
      <c r="X174" s="15">
        <v>20</v>
      </c>
      <c r="Y174" s="15">
        <v>25</v>
      </c>
      <c r="Z174" s="18">
        <f t="shared" si="102"/>
        <v>7.4033119999999997</v>
      </c>
      <c r="AA174" s="18">
        <f t="shared" si="105"/>
        <v>7.5</v>
      </c>
      <c r="AB174" s="18">
        <f t="shared" si="106"/>
        <v>9.6688000000000329E-2</v>
      </c>
      <c r="AE174" s="44" cm="1">
        <f t="array" ref="AE174">_xll.BDH("COMXGOLD Comdty","PX_Last", N174)</f>
        <v>22207661.666999999</v>
      </c>
      <c r="AF174" s="15" t="str" cm="1">
        <f t="array" ref="AF174">_xll.BDS("GCA Comdty","FUT_CHAIN", "CHAIN_DATE",A174,"endrow=1")</f>
        <v>GCQ23 Comdty</v>
      </c>
      <c r="AG174" s="44" cm="1">
        <f t="array" ref="AG174">_xll.BDH(AF174,"FUT_AGGTE_OPEN_INT",A174)</f>
        <v>429883</v>
      </c>
      <c r="AH174" s="44">
        <f t="shared" si="91"/>
        <v>42988300</v>
      </c>
      <c r="AI174" s="48">
        <f t="shared" si="92"/>
        <v>0.5165978107298963</v>
      </c>
      <c r="AJ174" s="45"/>
      <c r="AK174" s="44" cm="1">
        <f t="array" ref="AK174">_xll.BDH("COMXSILV Comdty","PX_Last", N174)</f>
        <v>281306.88</v>
      </c>
      <c r="AL174" s="15" t="str" cm="1">
        <f t="array" ref="AL174">_xll.BDS("SIA Comdty","FUT_CHAIN", "CHAIN_DATE",A174,"endrow=1")</f>
        <v>SIQ23 Comdty</v>
      </c>
      <c r="AM174" s="47" cm="1">
        <f t="array" ref="AM174">_xll.BDH(AL174,"FUT_AGGTE_OPEN_INT",A174)</f>
        <v>137576</v>
      </c>
      <c r="AN174" s="45">
        <f t="shared" si="93"/>
        <v>408.94760714078041</v>
      </c>
      <c r="AO174" s="46">
        <f t="shared" si="94"/>
        <v>28130688000</v>
      </c>
      <c r="AP174" s="46">
        <f t="shared" si="95"/>
        <v>687880</v>
      </c>
      <c r="AQ174" s="46"/>
    </row>
    <row r="175" spans="1:43" s="15" customFormat="1" x14ac:dyDescent="0.2">
      <c r="A175" s="24">
        <v>45148</v>
      </c>
      <c r="B175" s="25" cm="1">
        <f t="array" ref="B175">_xll.BADDPERIODS(A175, "PER=WD", "NUMBEROFPERIODS=2", "BUSDAYADJ=-2", "CDR=GQ", "CDR=P9")</f>
        <v>45152</v>
      </c>
      <c r="C175" s="26" cm="1">
        <f t="array" ref="C175">_xll.BDH("XAU Curncy","PX_LAST",A175,A175)</f>
        <v>1912.48</v>
      </c>
      <c r="D175" s="26" t="str" cm="1">
        <f t="array" ref="D175">_xll.BDP("GCZ23 Comdty",$M$32)</f>
        <v>01/12/2023</v>
      </c>
      <c r="E175" s="26">
        <f t="shared" ref="E175:E186" si="110">_xlfn.DAYS(D175,B175)</f>
        <v>109</v>
      </c>
      <c r="F175" s="27">
        <v>5.57E-2</v>
      </c>
      <c r="G175" s="28">
        <f>C175*(E175/360)*F175</f>
        <v>32.253443955555554</v>
      </c>
      <c r="H175" s="29">
        <v>32.5</v>
      </c>
      <c r="I175" s="19">
        <f>H175-G175</f>
        <v>0.24655604444444634</v>
      </c>
      <c r="J175" s="26">
        <v>4</v>
      </c>
      <c r="K175" s="26">
        <v>6</v>
      </c>
      <c r="L175" s="26">
        <v>8</v>
      </c>
      <c r="N175" s="24">
        <v>45148</v>
      </c>
      <c r="O175" s="16" cm="1">
        <f t="array" ref="O175">_xll.BADDPERIODS(N175, "PER=WD", "NUMBEROFPERIODS=2", "BUSDAYADJ=-2", "CDR=GQ", "CDR=P9")</f>
        <v>45152</v>
      </c>
      <c r="P175" s="15" cm="1">
        <f t="array" ref="P175">_xll.BDH("XAG Curncy","PX_LAST",N175,N175)</f>
        <v>22.7043</v>
      </c>
      <c r="Q175" s="15" t="str" cm="1">
        <f t="array" ref="Q175">_xll.BDP("SIU23 Comdty",$M$32)</f>
        <v>01/09/2023</v>
      </c>
      <c r="R175" s="15">
        <f t="shared" si="99"/>
        <v>18</v>
      </c>
      <c r="S175" s="23">
        <v>5.6000000000000001E-2</v>
      </c>
      <c r="T175" s="21">
        <f t="shared" si="100"/>
        <v>6.357204000000001E-2</v>
      </c>
      <c r="U175" s="22">
        <v>0.06</v>
      </c>
      <c r="V175" s="20">
        <f t="shared" si="101"/>
        <v>-0.35720400000000124</v>
      </c>
      <c r="W175" s="15">
        <v>15</v>
      </c>
      <c r="X175" s="15">
        <v>20</v>
      </c>
      <c r="Y175" s="15">
        <v>25</v>
      </c>
      <c r="Z175" s="18">
        <f t="shared" si="102"/>
        <v>6.3572040000000012</v>
      </c>
      <c r="AA175" s="18">
        <f t="shared" si="105"/>
        <v>6</v>
      </c>
      <c r="AB175" s="18">
        <f t="shared" si="106"/>
        <v>-0.35720400000000124</v>
      </c>
      <c r="AE175" s="44" cm="1">
        <f t="array" ref="AE175">_xll.BDH("COMXGOLD Comdty","PX_Last", N175)</f>
        <v>22207629.515999999</v>
      </c>
      <c r="AF175" s="15" t="str" cm="1">
        <f t="array" ref="AF175">_xll.BDS("GCA Comdty","FUT_CHAIN", "CHAIN_DATE",A175,"endrow=1")</f>
        <v>GCQ23 Comdty</v>
      </c>
      <c r="AG175" s="44" cm="1">
        <f t="array" ref="AG175">_xll.BDH(AF175,"FUT_AGGTE_OPEN_INT",A175)</f>
        <v>430408</v>
      </c>
      <c r="AH175" s="44">
        <f t="shared" si="91"/>
        <v>43040800</v>
      </c>
      <c r="AI175" s="48">
        <f t="shared" si="92"/>
        <v>0.51596693174848052</v>
      </c>
      <c r="AJ175" s="45"/>
      <c r="AK175" s="44" cm="1">
        <f t="array" ref="AK175">_xll.BDH("COMXSILV Comdty","PX_Last", N175)</f>
        <v>281172.96999999997</v>
      </c>
      <c r="AL175" s="15" t="str" cm="1">
        <f t="array" ref="AL175">_xll.BDS("SIA Comdty","FUT_CHAIN", "CHAIN_DATE",A175,"endrow=1")</f>
        <v>SIQ23 Comdty</v>
      </c>
      <c r="AM175" s="47" cm="1">
        <f t="array" ref="AM175">_xll.BDH(AL175,"FUT_AGGTE_OPEN_INT",A175)</f>
        <v>137489</v>
      </c>
      <c r="AN175" s="45">
        <f t="shared" si="93"/>
        <v>409.01158638145591</v>
      </c>
      <c r="AO175" s="46">
        <f t="shared" si="94"/>
        <v>28117296999.999996</v>
      </c>
      <c r="AP175" s="46">
        <f t="shared" si="95"/>
        <v>687445</v>
      </c>
      <c r="AQ175" s="46"/>
    </row>
    <row r="176" spans="1:43" s="15" customFormat="1" x14ac:dyDescent="0.2">
      <c r="A176" s="24">
        <v>45149</v>
      </c>
      <c r="B176" s="25" cm="1">
        <f t="array" ref="B176">_xll.BADDPERIODS(A176, "PER=WD", "NUMBEROFPERIODS=2", "BUSDAYADJ=-2", "CDR=GQ", "CDR=P9")</f>
        <v>45153</v>
      </c>
      <c r="C176" s="26" cm="1">
        <f t="array" ref="C176">_xll.BDH("XAU Curncy","PX_LAST",A176,A176)</f>
        <v>1913.76</v>
      </c>
      <c r="D176" s="26" t="str" cm="1">
        <f t="array" ref="D176">_xll.BDP("GCZ23 Comdty",$M$32)</f>
        <v>01/12/2023</v>
      </c>
      <c r="E176" s="26">
        <f t="shared" si="110"/>
        <v>108</v>
      </c>
      <c r="F176" s="27">
        <v>5.57E-2</v>
      </c>
      <c r="G176" s="28">
        <f>C176*(E176/360)*F176</f>
        <v>31.978929599999997</v>
      </c>
      <c r="H176" s="29">
        <v>32.200000000000003</v>
      </c>
      <c r="I176" s="19">
        <f>H176-G176</f>
        <v>0.22107040000000566</v>
      </c>
      <c r="J176" s="26">
        <v>4</v>
      </c>
      <c r="K176" s="26">
        <v>6</v>
      </c>
      <c r="L176" s="26">
        <v>8</v>
      </c>
      <c r="N176" s="24">
        <v>45149</v>
      </c>
      <c r="O176" s="16" cm="1">
        <f t="array" ref="O176">_xll.BADDPERIODS(N176, "PER=WD", "NUMBEROFPERIODS=2", "BUSDAYADJ=-2", "CDR=GQ", "CDR=P9")</f>
        <v>45153</v>
      </c>
      <c r="P176" s="15" cm="1">
        <f t="array" ref="P176">_xll.BDH("XAG Curncy","PX_LAST",N176,N176)</f>
        <v>22.685700000000001</v>
      </c>
      <c r="Q176" s="15" t="str" cm="1">
        <f t="array" ref="Q176">_xll.BDP("SIU23 Comdty",$M$32)</f>
        <v>01/09/2023</v>
      </c>
      <c r="R176" s="15">
        <f t="shared" si="99"/>
        <v>17</v>
      </c>
      <c r="S176" s="23">
        <v>5.6000000000000001E-2</v>
      </c>
      <c r="T176" s="21">
        <f t="shared" si="100"/>
        <v>5.9991073333333339E-2</v>
      </c>
      <c r="U176" s="22">
        <v>5.5E-2</v>
      </c>
      <c r="V176" s="20">
        <f t="shared" si="101"/>
        <v>-0.4991073333333339</v>
      </c>
      <c r="W176" s="15">
        <v>15</v>
      </c>
      <c r="X176" s="15">
        <v>20</v>
      </c>
      <c r="Y176" s="15">
        <v>25</v>
      </c>
      <c r="Z176" s="18">
        <f t="shared" si="102"/>
        <v>5.9991073333333338</v>
      </c>
      <c r="AA176" s="18">
        <f t="shared" si="105"/>
        <v>5.5</v>
      </c>
      <c r="AB176" s="18">
        <f t="shared" si="106"/>
        <v>-0.4991073333333339</v>
      </c>
      <c r="AE176" s="44" cm="1">
        <f t="array" ref="AE176">_xll.BDH("COMXGOLD Comdty","PX_Last", N176)</f>
        <v>22111819.535999998</v>
      </c>
      <c r="AF176" s="15" t="str" cm="1">
        <f t="array" ref="AF176">_xll.BDS("GCA Comdty","FUT_CHAIN", "CHAIN_DATE",A176,"endrow=1")</f>
        <v>GCQ23 Comdty</v>
      </c>
      <c r="AG176" s="44" cm="1">
        <f t="array" ref="AG176">_xll.BDH(AF176,"FUT_AGGTE_OPEN_INT",A176)</f>
        <v>431187</v>
      </c>
      <c r="AH176" s="44">
        <f t="shared" si="91"/>
        <v>43118700</v>
      </c>
      <c r="AI176" s="48">
        <f t="shared" si="92"/>
        <v>0.51281275956835426</v>
      </c>
      <c r="AJ176" s="45"/>
      <c r="AK176" s="44" cm="1">
        <f t="array" ref="AK176">_xll.BDH("COMXSILV Comdty","PX_Last", N176)</f>
        <v>280597.94</v>
      </c>
      <c r="AL176" s="15" t="str" cm="1">
        <f t="array" ref="AL176">_xll.BDS("SIA Comdty","FUT_CHAIN", "CHAIN_DATE",A176,"endrow=1")</f>
        <v>SIQ23 Comdty</v>
      </c>
      <c r="AM176" s="47" cm="1">
        <f t="array" ref="AM176">_xll.BDH(AL176,"FUT_AGGTE_OPEN_INT",A176)</f>
        <v>140394</v>
      </c>
      <c r="AN176" s="45">
        <f t="shared" si="93"/>
        <v>399.72924768864766</v>
      </c>
      <c r="AO176" s="46">
        <f t="shared" si="94"/>
        <v>28059794000</v>
      </c>
      <c r="AP176" s="46">
        <f t="shared" si="95"/>
        <v>701970</v>
      </c>
      <c r="AQ176" s="46"/>
    </row>
    <row r="177" spans="1:43" s="15" customFormat="1" x14ac:dyDescent="0.2">
      <c r="A177" s="24">
        <v>45152</v>
      </c>
      <c r="B177" s="25" cm="1">
        <f t="array" ref="B177">_xll.BADDPERIODS(A177, "PER=WD", "NUMBEROFPERIODS=2", "BUSDAYADJ=-2", "CDR=GQ", "CDR=P9")</f>
        <v>45154</v>
      </c>
      <c r="C177" s="26" cm="1">
        <f t="array" ref="C177">_xll.BDH("XAU Curncy","PX_LAST",A177,A177)</f>
        <v>1907.1</v>
      </c>
      <c r="D177" s="26" t="str" cm="1">
        <f t="array" ref="D177">_xll.BDP("GCZ23 Comdty",$M$32)</f>
        <v>01/12/2023</v>
      </c>
      <c r="E177" s="26">
        <f t="shared" si="110"/>
        <v>107</v>
      </c>
      <c r="F177" s="27">
        <v>5.57E-2</v>
      </c>
      <c r="G177" s="28">
        <f>C177*(E177/360)*F177</f>
        <v>31.572570249999998</v>
      </c>
      <c r="H177" s="29">
        <v>31.9</v>
      </c>
      <c r="I177" s="19">
        <f>H177-G177</f>
        <v>0.3274297500000003</v>
      </c>
      <c r="J177" s="26">
        <v>4</v>
      </c>
      <c r="K177" s="26">
        <v>6</v>
      </c>
      <c r="L177" s="26">
        <v>8</v>
      </c>
      <c r="N177" s="24">
        <v>45152</v>
      </c>
      <c r="O177" s="16" cm="1">
        <f t="array" ref="O177">_xll.BADDPERIODS(N177, "PER=WD", "NUMBEROFPERIODS=2", "BUSDAYADJ=-2", "CDR=GQ", "CDR=P9")</f>
        <v>45154</v>
      </c>
      <c r="P177" s="15" cm="1">
        <f t="array" ref="P177">_xll.BDH("XAG Curncy","PX_LAST",N177,N177)</f>
        <v>22.6</v>
      </c>
      <c r="Q177" s="15" t="str" cm="1">
        <f t="array" ref="Q177">_xll.BDP("SIU23 Comdty",$M$32)</f>
        <v>01/09/2023</v>
      </c>
      <c r="R177" s="15">
        <f t="shared" si="99"/>
        <v>16</v>
      </c>
      <c r="S177" s="23">
        <v>5.3999999999999999E-2</v>
      </c>
      <c r="T177" s="21">
        <f t="shared" si="100"/>
        <v>5.4240000000000003E-2</v>
      </c>
      <c r="U177" s="22">
        <v>0.05</v>
      </c>
      <c r="V177" s="20">
        <f t="shared" si="101"/>
        <v>-0.42400000000000004</v>
      </c>
      <c r="W177" s="15">
        <v>15</v>
      </c>
      <c r="X177" s="15">
        <v>20</v>
      </c>
      <c r="Y177" s="15">
        <v>25</v>
      </c>
      <c r="Z177" s="18">
        <f t="shared" si="102"/>
        <v>5.4240000000000004</v>
      </c>
      <c r="AA177" s="18">
        <f t="shared" si="105"/>
        <v>5</v>
      </c>
      <c r="AB177" s="18">
        <f t="shared" si="106"/>
        <v>-0.42400000000000004</v>
      </c>
      <c r="AE177" s="44" cm="1">
        <f t="array" ref="AE177">_xll.BDH("COMXGOLD Comdty","PX_Last", N177)</f>
        <v>22047485.388</v>
      </c>
      <c r="AF177" s="15" t="str" cm="1">
        <f t="array" ref="AF177">_xll.BDS("GCA Comdty","FUT_CHAIN", "CHAIN_DATE",A177,"endrow=1")</f>
        <v>GCQ23 Comdty</v>
      </c>
      <c r="AG177" s="44" cm="1">
        <f t="array" ref="AG177">_xll.BDH(AF177,"FUT_AGGTE_OPEN_INT",A177)</f>
        <v>431384</v>
      </c>
      <c r="AH177" s="44">
        <f t="shared" si="91"/>
        <v>43138400</v>
      </c>
      <c r="AI177" s="48">
        <f t="shared" si="92"/>
        <v>0.51108723058806071</v>
      </c>
      <c r="AJ177" s="45"/>
      <c r="AK177" s="44" cm="1">
        <f t="array" ref="AK177">_xll.BDH("COMXSILV Comdty","PX_Last", N177)</f>
        <v>279586.56</v>
      </c>
      <c r="AL177" s="15" t="str" cm="1">
        <f t="array" ref="AL177">_xll.BDS("SIA Comdty","FUT_CHAIN", "CHAIN_DATE",A177,"endrow=1")</f>
        <v>SIQ23 Comdty</v>
      </c>
      <c r="AM177" s="47" cm="1">
        <f t="array" ref="AM177">_xll.BDH(AL177,"FUT_AGGTE_OPEN_INT",A177)</f>
        <v>138118</v>
      </c>
      <c r="AN177" s="45">
        <f t="shared" si="93"/>
        <v>404.85173547256693</v>
      </c>
      <c r="AO177" s="46">
        <f t="shared" si="94"/>
        <v>27958656000</v>
      </c>
      <c r="AP177" s="46">
        <f t="shared" si="95"/>
        <v>690590</v>
      </c>
      <c r="AQ177" s="46"/>
    </row>
    <row r="178" spans="1:43" s="15" customFormat="1" x14ac:dyDescent="0.2">
      <c r="A178" s="24">
        <v>45153</v>
      </c>
      <c r="B178" s="25" cm="1">
        <f t="array" ref="B178">_xll.BADDPERIODS(A178, "PER=WD", "NUMBEROFPERIODS=2", "BUSDAYADJ=-2", "CDR=GQ", "CDR=P9")</f>
        <v>45155</v>
      </c>
      <c r="C178" s="26" cm="1">
        <f t="array" ref="C178">_xll.BDH("XAU Curncy","PX_LAST",A178,A178)</f>
        <v>1902</v>
      </c>
      <c r="D178" s="26" t="str" cm="1">
        <f t="array" ref="D178">_xll.BDP("GCZ23 Comdty",$M$32)</f>
        <v>01/12/2023</v>
      </c>
      <c r="E178" s="26">
        <f t="shared" si="110"/>
        <v>106</v>
      </c>
      <c r="F178" s="27">
        <v>5.5500000000000001E-2</v>
      </c>
      <c r="G178" s="28">
        <f>C178*(E178/360)*F178</f>
        <v>31.081849999999999</v>
      </c>
      <c r="H178" s="29">
        <v>31.6</v>
      </c>
      <c r="I178" s="19">
        <f>H178-G178</f>
        <v>0.51815000000000211</v>
      </c>
      <c r="J178" s="26">
        <v>4</v>
      </c>
      <c r="K178" s="26">
        <v>6</v>
      </c>
      <c r="L178" s="26">
        <v>8</v>
      </c>
      <c r="N178" s="24">
        <v>45153</v>
      </c>
      <c r="O178" s="16" cm="1">
        <f t="array" ref="O178">_xll.BADDPERIODS(N178, "PER=WD", "NUMBEROFPERIODS=2", "BUSDAYADJ=-2", "CDR=GQ", "CDR=P9")</f>
        <v>45155</v>
      </c>
      <c r="P178" s="15" cm="1">
        <f t="array" ref="P178">_xll.BDH("XAG Curncy","PX_LAST",N178,N178)</f>
        <v>22.528600000000001</v>
      </c>
      <c r="Q178" s="15" t="str" cm="1">
        <f t="array" ref="Q178">_xll.BDP("SIU23 Comdty",$M$32)</f>
        <v>01/09/2023</v>
      </c>
      <c r="R178" s="15">
        <f t="shared" si="99"/>
        <v>15</v>
      </c>
      <c r="S178" s="23">
        <v>5.3999999999999999E-2</v>
      </c>
      <c r="T178" s="21">
        <f t="shared" si="100"/>
        <v>5.0689350000000001E-2</v>
      </c>
      <c r="U178" s="22">
        <v>0.05</v>
      </c>
      <c r="V178" s="20">
        <f t="shared" si="101"/>
        <v>-6.893499999999983E-2</v>
      </c>
      <c r="W178" s="15">
        <v>15</v>
      </c>
      <c r="X178" s="15">
        <v>20</v>
      </c>
      <c r="Y178" s="15">
        <v>25</v>
      </c>
      <c r="Z178" s="18">
        <f t="shared" si="102"/>
        <v>5.0689349999999997</v>
      </c>
      <c r="AA178" s="18">
        <f t="shared" si="105"/>
        <v>5</v>
      </c>
      <c r="AB178" s="18">
        <f t="shared" si="106"/>
        <v>-6.893499999999983E-2</v>
      </c>
      <c r="AE178" s="44" cm="1">
        <f t="array" ref="AE178">_xll.BDH("COMXGOLD Comdty","PX_Last", N178)</f>
        <v>22003785.758000001</v>
      </c>
      <c r="AF178" s="15" t="str" cm="1">
        <f t="array" ref="AF178">_xll.BDS("GCA Comdty","FUT_CHAIN", "CHAIN_DATE",A178,"endrow=1")</f>
        <v>GCQ23 Comdty</v>
      </c>
      <c r="AG178" s="44" cm="1">
        <f t="array" ref="AG178">_xll.BDH(AF178,"FUT_AGGTE_OPEN_INT",A178)</f>
        <v>433611</v>
      </c>
      <c r="AH178" s="44">
        <f t="shared" si="91"/>
        <v>43361100</v>
      </c>
      <c r="AI178" s="48">
        <f t="shared" si="92"/>
        <v>0.50745451010237286</v>
      </c>
      <c r="AJ178" s="45"/>
      <c r="AK178" s="44" cm="1">
        <f t="array" ref="AK178">_xll.BDH("COMXSILV Comdty","PX_Last", N178)</f>
        <v>279192.28000000003</v>
      </c>
      <c r="AL178" s="15" t="str" cm="1">
        <f t="array" ref="AL178">_xll.BDS("SIA Comdty","FUT_CHAIN", "CHAIN_DATE",A178,"endrow=1")</f>
        <v>SIQ23 Comdty</v>
      </c>
      <c r="AM178" s="47" cm="1">
        <f t="array" ref="AM178">_xll.BDH(AL178,"FUT_AGGTE_OPEN_INT",A178)</f>
        <v>138215</v>
      </c>
      <c r="AN178" s="45">
        <f t="shared" si="93"/>
        <v>403.99707701768989</v>
      </c>
      <c r="AO178" s="46">
        <f t="shared" si="94"/>
        <v>27919228000.000004</v>
      </c>
      <c r="AP178" s="46">
        <f t="shared" si="95"/>
        <v>691075</v>
      </c>
      <c r="AQ178" s="46"/>
    </row>
    <row r="179" spans="1:43" s="15" customFormat="1" x14ac:dyDescent="0.2">
      <c r="A179" s="24">
        <v>45154</v>
      </c>
      <c r="B179" s="25" cm="1">
        <f t="array" ref="B179">_xll.BADDPERIODS(A179, "PER=WD", "NUMBEROFPERIODS=2", "BUSDAYADJ=-2", "CDR=GQ", "CDR=P9")</f>
        <v>45156</v>
      </c>
      <c r="C179" s="26" cm="1">
        <f t="array" ref="C179">_xll.BDH("XAU Curncy","PX_LAST",A179,A179)</f>
        <v>1891.81</v>
      </c>
      <c r="D179" s="26" t="str" cm="1">
        <f t="array" ref="D179">_xll.BDP("GCZ23 Comdty",$M$32)</f>
        <v>01/12/2023</v>
      </c>
      <c r="E179" s="26">
        <f t="shared" si="110"/>
        <v>105</v>
      </c>
      <c r="F179" s="27">
        <v>5.5500000000000001E-2</v>
      </c>
      <c r="G179" s="28">
        <f>C179*(E179/360)*F179</f>
        <v>30.623674375</v>
      </c>
      <c r="H179" s="29">
        <v>30.8</v>
      </c>
      <c r="I179" s="19">
        <f>H179-G179</f>
        <v>0.17632562500000049</v>
      </c>
      <c r="J179" s="26">
        <v>4</v>
      </c>
      <c r="K179" s="26">
        <v>6</v>
      </c>
      <c r="L179" s="26">
        <v>8</v>
      </c>
      <c r="N179" s="24">
        <v>45154</v>
      </c>
      <c r="O179" s="16" cm="1">
        <f t="array" ref="O179">_xll.BADDPERIODS(N179, "PER=WD", "NUMBEROFPERIODS=2", "BUSDAYADJ=-2", "CDR=GQ", "CDR=P9")</f>
        <v>45156</v>
      </c>
      <c r="P179" s="15" cm="1">
        <f t="array" ref="P179">_xll.BDH("XAG Curncy","PX_LAST",N179,N179)</f>
        <v>22.414999999999999</v>
      </c>
      <c r="Q179" s="15" t="str" cm="1">
        <f t="array" ref="Q179">_xll.BDP("SIU23 Comdty",$M$32)</f>
        <v>01/09/2023</v>
      </c>
      <c r="R179" s="15">
        <f t="shared" si="99"/>
        <v>14</v>
      </c>
      <c r="S179" s="23">
        <v>5.3999999999999999E-2</v>
      </c>
      <c r="T179" s="21">
        <f t="shared" si="100"/>
        <v>4.7071500000000002E-2</v>
      </c>
      <c r="U179" s="22">
        <v>5.7500000000000002E-2</v>
      </c>
      <c r="V179" s="20">
        <f t="shared" si="101"/>
        <v>1.0428500000000001</v>
      </c>
      <c r="W179" s="15">
        <v>15</v>
      </c>
      <c r="X179" s="15">
        <v>20</v>
      </c>
      <c r="Y179" s="15">
        <v>25</v>
      </c>
      <c r="Z179" s="18">
        <f t="shared" si="102"/>
        <v>4.7071500000000004</v>
      </c>
      <c r="AA179" s="18">
        <f t="shared" si="105"/>
        <v>5.75</v>
      </c>
      <c r="AB179" s="18">
        <f t="shared" si="106"/>
        <v>1.0428500000000001</v>
      </c>
      <c r="AE179" s="44" cm="1">
        <f t="array" ref="AE179">_xll.BDH("COMXGOLD Comdty","PX_Last", N179)</f>
        <v>22003399.945999999</v>
      </c>
      <c r="AF179" s="15" t="str" cm="1">
        <f t="array" ref="AF179">_xll.BDS("GCA Comdty","FUT_CHAIN", "CHAIN_DATE",A179,"endrow=1")</f>
        <v>GCQ23 Comdty</v>
      </c>
      <c r="AG179" s="44" cm="1">
        <f t="array" ref="AG179">_xll.BDH(AF179,"FUT_AGGTE_OPEN_INT",A179)</f>
        <v>434748</v>
      </c>
      <c r="AH179" s="44">
        <f t="shared" si="91"/>
        <v>43474800</v>
      </c>
      <c r="AI179" s="48">
        <f t="shared" si="92"/>
        <v>0.50611848578946883</v>
      </c>
      <c r="AJ179" s="45"/>
      <c r="AK179" s="44" cm="1">
        <f t="array" ref="AK179">_xll.BDH("COMXSILV Comdty","PX_Last", N179)</f>
        <v>279167.59000000003</v>
      </c>
      <c r="AL179" s="15" t="str" cm="1">
        <f t="array" ref="AL179">_xll.BDS("SIA Comdty","FUT_CHAIN", "CHAIN_DATE",A179,"endrow=1")</f>
        <v>SIQ23 Comdty</v>
      </c>
      <c r="AM179" s="47" cm="1">
        <f t="array" ref="AM179">_xll.BDH(AL179,"FUT_AGGTE_OPEN_INT",A179)</f>
        <v>137406</v>
      </c>
      <c r="AN179" s="45">
        <f t="shared" si="93"/>
        <v>406.33973771159924</v>
      </c>
      <c r="AO179" s="46">
        <f t="shared" si="94"/>
        <v>27916759000.000004</v>
      </c>
      <c r="AP179" s="46">
        <f t="shared" si="95"/>
        <v>687030</v>
      </c>
      <c r="AQ179" s="46"/>
    </row>
    <row r="180" spans="1:43" x14ac:dyDescent="0.2">
      <c r="A180" s="24">
        <v>45155</v>
      </c>
      <c r="B180" s="25" cm="1">
        <f t="array" ref="B180">_xll.BADDPERIODS(A180, "PER=WD", "NUMBEROFPERIODS=2", "BUSDAYADJ=-2", "CDR=GQ", "CDR=P9")</f>
        <v>45159</v>
      </c>
      <c r="C180" s="26" cm="1">
        <f t="array" ref="C180">_xll.BDH("XAU Curncy","PX_LAST",A180,A180)</f>
        <v>1889.43</v>
      </c>
      <c r="D180" s="26" t="str" cm="1">
        <f t="array" ref="D180">_xll.BDP("GCZ23 Comdty",$M$32)</f>
        <v>01/12/2023</v>
      </c>
      <c r="E180" s="26">
        <f t="shared" si="110"/>
        <v>102</v>
      </c>
      <c r="F180" s="27">
        <v>5.5500000000000001E-2</v>
      </c>
      <c r="G180" s="28">
        <f t="shared" si="108"/>
        <v>29.711286749999999</v>
      </c>
      <c r="H180" s="29">
        <v>29.6</v>
      </c>
      <c r="I180" s="19">
        <f t="shared" si="109"/>
        <v>-0.11128674999999788</v>
      </c>
      <c r="J180" s="26">
        <v>4</v>
      </c>
      <c r="K180" s="26">
        <v>6</v>
      </c>
      <c r="L180" s="26">
        <v>8</v>
      </c>
      <c r="N180" s="24">
        <v>45155</v>
      </c>
      <c r="O180" s="16" cm="1">
        <f t="array" ref="O180">_xll.BADDPERIODS(N180, "PER=WD", "NUMBEROFPERIODS=2", "BUSDAYADJ=-2", "CDR=GQ", "CDR=P9")</f>
        <v>45159</v>
      </c>
      <c r="P180" s="15" cm="1">
        <f t="array" ref="P180">_xll.BDH("XAG Curncy","PX_LAST",N180,N180)</f>
        <v>22.692799999999998</v>
      </c>
      <c r="Q180" s="15" t="str" cm="1">
        <f t="array" ref="Q180">_xll.BDP("SIU23 Comdty",$M$32)</f>
        <v>01/09/2023</v>
      </c>
      <c r="R180" s="15">
        <f t="shared" si="99"/>
        <v>11</v>
      </c>
      <c r="S180" s="23">
        <v>5.3999999999999999E-2</v>
      </c>
      <c r="T180" s="21">
        <f t="shared" si="100"/>
        <v>3.7443119999999996E-2</v>
      </c>
      <c r="U180" s="22">
        <v>0.05</v>
      </c>
      <c r="V180" s="20">
        <f t="shared" si="101"/>
        <v>1.2556880000000006</v>
      </c>
      <c r="W180" s="15">
        <v>15</v>
      </c>
      <c r="X180" s="15">
        <v>20</v>
      </c>
      <c r="Y180" s="15">
        <v>25</v>
      </c>
      <c r="Z180" s="18">
        <f t="shared" si="102"/>
        <v>3.7443119999999999</v>
      </c>
      <c r="AA180" s="18">
        <f t="shared" si="105"/>
        <v>5</v>
      </c>
      <c r="AB180" s="18">
        <f t="shared" si="106"/>
        <v>1.2556880000000006</v>
      </c>
      <c r="AE180" s="44" cm="1">
        <f t="array" ref="AE180">_xll.BDH("COMXGOLD Comdty","PX_Last", N180)</f>
        <v>21832184.747000001</v>
      </c>
      <c r="AF180" s="15" t="str" cm="1">
        <f t="array" ref="AF180">_xll.BDS("GCA Comdty","FUT_CHAIN", "CHAIN_DATE",A180,"endrow=1")</f>
        <v>GCQ23 Comdty</v>
      </c>
      <c r="AG180" s="44" cm="1">
        <f t="array" ref="AG180">_xll.BDH(AF180,"FUT_AGGTE_OPEN_INT",A180)</f>
        <v>433060</v>
      </c>
      <c r="AH180" s="44">
        <f t="shared" si="91"/>
        <v>43306000</v>
      </c>
      <c r="AI180" s="48">
        <f t="shared" si="92"/>
        <v>0.50413764252066695</v>
      </c>
      <c r="AJ180" s="45"/>
      <c r="AK180" s="44" cm="1">
        <f t="array" ref="AK180">_xll.BDH("COMXSILV Comdty","PX_Last", N180)</f>
        <v>279707.15999999997</v>
      </c>
      <c r="AL180" s="15" t="str" cm="1">
        <f t="array" ref="AL180">_xll.BDS("SIA Comdty","FUT_CHAIN", "CHAIN_DATE",A180,"endrow=1")</f>
        <v>SIQ23 Comdty</v>
      </c>
      <c r="AM180" s="47" cm="1">
        <f t="array" ref="AM180">_xll.BDH(AL180,"FUT_AGGTE_OPEN_INT",A180)</f>
        <v>137140</v>
      </c>
      <c r="AN180" s="45">
        <f t="shared" si="93"/>
        <v>407.91477322444211</v>
      </c>
      <c r="AO180" s="46">
        <f t="shared" si="94"/>
        <v>27970715999.999996</v>
      </c>
      <c r="AP180" s="46">
        <f t="shared" si="95"/>
        <v>685700</v>
      </c>
      <c r="AQ180" s="46"/>
    </row>
    <row r="181" spans="1:43" x14ac:dyDescent="0.2">
      <c r="A181" s="24">
        <v>45156</v>
      </c>
      <c r="B181" s="25" cm="1">
        <f t="array" ref="B181">_xll.BADDPERIODS(A181, "PER=WD", "NUMBEROFPERIODS=2", "BUSDAYADJ=-2", "CDR=GQ", "CDR=P9")</f>
        <v>45160</v>
      </c>
      <c r="C181" s="26" cm="1">
        <f t="array" ref="C181">_xll.BDH("XAU Curncy","PX_LAST",A181,A181)</f>
        <v>1889.31</v>
      </c>
      <c r="D181" s="26" t="str" cm="1">
        <f t="array" ref="D181">_xll.BDP("GCZ23 Comdty",$M$32)</f>
        <v>01/12/2023</v>
      </c>
      <c r="E181" s="26">
        <f t="shared" si="110"/>
        <v>101</v>
      </c>
      <c r="F181" s="27">
        <v>5.5500000000000001E-2</v>
      </c>
      <c r="G181" s="28">
        <f t="shared" ref="G181:G186" si="111">C181*(E181/360)*F181</f>
        <v>29.418131125000002</v>
      </c>
      <c r="H181" s="29">
        <v>29.15</v>
      </c>
      <c r="I181" s="19">
        <f t="shared" ref="I181:I186" si="112">H181-G181</f>
        <v>-0.26813112500000358</v>
      </c>
      <c r="J181" s="26">
        <v>4</v>
      </c>
      <c r="K181" s="26">
        <v>6</v>
      </c>
      <c r="L181" s="26">
        <v>8</v>
      </c>
      <c r="N181" s="24">
        <v>45156</v>
      </c>
      <c r="O181" s="16" cm="1">
        <f t="array" ref="O181">_xll.BADDPERIODS(N181, "PER=WD", "NUMBEROFPERIODS=2", "BUSDAYADJ=-2", "CDR=GQ", "CDR=P9")</f>
        <v>45160</v>
      </c>
      <c r="P181" s="15" cm="1">
        <f t="array" ref="P181">_xll.BDH("XAG Curncy","PX_LAST",N181,N181)</f>
        <v>22.75</v>
      </c>
      <c r="Q181" s="15" t="str" cm="1">
        <f t="array" ref="Q181">_xll.BDP("SIU23 Comdty",$M$32)</f>
        <v>01/09/2023</v>
      </c>
      <c r="R181" s="15">
        <f t="shared" si="99"/>
        <v>10</v>
      </c>
      <c r="S181" s="23">
        <v>5.3999999999999999E-2</v>
      </c>
      <c r="T181" s="21">
        <f t="shared" si="100"/>
        <v>3.4124999999999996E-2</v>
      </c>
      <c r="U181" s="22">
        <v>0.05</v>
      </c>
      <c r="V181" s="20">
        <f t="shared" si="101"/>
        <v>1.5875000000000008</v>
      </c>
      <c r="W181" s="15">
        <v>15</v>
      </c>
      <c r="X181" s="15">
        <v>20</v>
      </c>
      <c r="Y181" s="15">
        <v>25</v>
      </c>
      <c r="Z181" s="18">
        <f t="shared" si="102"/>
        <v>3.4124999999999996</v>
      </c>
      <c r="AA181" s="18">
        <f t="shared" si="105"/>
        <v>5</v>
      </c>
      <c r="AB181" s="18">
        <f t="shared" si="106"/>
        <v>1.5875000000000008</v>
      </c>
      <c r="AE181" s="44" cm="1">
        <f t="array" ref="AE181">_xll.BDH("COMXGOLD Comdty","PX_Last", N181)</f>
        <v>21798795.500999998</v>
      </c>
      <c r="AF181" s="15" t="str" cm="1">
        <f t="array" ref="AF181">_xll.BDS("GCA Comdty","FUT_CHAIN", "CHAIN_DATE",A181,"endrow=1")</f>
        <v>GCQ23 Comdty</v>
      </c>
      <c r="AG181" s="44" cm="1">
        <f t="array" ref="AG181">_xll.BDH(AF181,"FUT_AGGTE_OPEN_INT",A181)</f>
        <v>433441</v>
      </c>
      <c r="AH181" s="44">
        <f t="shared" si="91"/>
        <v>43344100</v>
      </c>
      <c r="AI181" s="48">
        <f t="shared" si="92"/>
        <v>0.50292416963323727</v>
      </c>
      <c r="AJ181" s="45"/>
      <c r="AK181" s="44" cm="1">
        <f t="array" ref="AK181">_xll.BDH("COMXSILV Comdty","PX_Last", N181)</f>
        <v>279697.15999999997</v>
      </c>
      <c r="AL181" s="15" t="str" cm="1">
        <f t="array" ref="AL181">_xll.BDS("SIA Comdty","FUT_CHAIN", "CHAIN_DATE",A181,"endrow=1")</f>
        <v>SIQ23 Comdty</v>
      </c>
      <c r="AM181" s="47" cm="1">
        <f t="array" ref="AM181">_xll.BDH(AL181,"FUT_AGGTE_OPEN_INT",A181)</f>
        <v>136351</v>
      </c>
      <c r="AN181" s="45">
        <f t="shared" si="93"/>
        <v>410.26051880807614</v>
      </c>
      <c r="AO181" s="46">
        <f t="shared" si="94"/>
        <v>27969715999.999996</v>
      </c>
      <c r="AP181" s="46">
        <f t="shared" si="95"/>
        <v>681755</v>
      </c>
      <c r="AQ181" s="46"/>
    </row>
    <row r="182" spans="1:43" s="15" customFormat="1" x14ac:dyDescent="0.2">
      <c r="A182" s="24">
        <v>45159</v>
      </c>
      <c r="B182" s="25" cm="1">
        <f t="array" ref="B182">_xll.BADDPERIODS(A182, "PER=WD", "NUMBEROFPERIODS=2", "BUSDAYADJ=-2", "CDR=GQ", "CDR=P9")</f>
        <v>45161</v>
      </c>
      <c r="C182" s="26" cm="1">
        <f t="array" ref="C182">_xll.BDH("XAU Curncy","PX_LAST",A182,A182)</f>
        <v>1894.93</v>
      </c>
      <c r="D182" s="26" t="str" cm="1">
        <f t="array" ref="D182">_xll.BDP("GCZ23 Comdty",$M$32)</f>
        <v>01/12/2023</v>
      </c>
      <c r="E182" s="26">
        <f t="shared" si="110"/>
        <v>100</v>
      </c>
      <c r="F182" s="27">
        <v>5.5500000000000001E-2</v>
      </c>
      <c r="G182" s="28">
        <f t="shared" si="111"/>
        <v>29.21350416666667</v>
      </c>
      <c r="H182" s="29">
        <v>28.9</v>
      </c>
      <c r="I182" s="19">
        <f t="shared" si="112"/>
        <v>-0.31350416666667158</v>
      </c>
      <c r="J182" s="26">
        <v>4</v>
      </c>
      <c r="K182" s="26">
        <v>6</v>
      </c>
      <c r="L182" s="26">
        <v>8</v>
      </c>
      <c r="N182" s="24">
        <v>45159</v>
      </c>
      <c r="O182" s="16" cm="1">
        <f t="array" ref="O182">_xll.BADDPERIODS(N182, "PER=WD", "NUMBEROFPERIODS=2", "BUSDAYADJ=-2", "CDR=GQ", "CDR=P9")</f>
        <v>45161</v>
      </c>
      <c r="P182" s="15" cm="1">
        <f t="array" ref="P182">_xll.BDH("XAG Curncy","PX_LAST",N182,N182)</f>
        <v>23.306999999999999</v>
      </c>
      <c r="Q182" s="15" t="str" cm="1">
        <f t="array" ref="Q182">_xll.BDP("SIU23 Comdty",$M$32)</f>
        <v>01/09/2023</v>
      </c>
      <c r="R182" s="15">
        <f t="shared" si="99"/>
        <v>9</v>
      </c>
      <c r="S182" s="23">
        <v>5.3999999999999999E-2</v>
      </c>
      <c r="T182" s="21">
        <f t="shared" si="100"/>
        <v>3.1464449999999998E-2</v>
      </c>
      <c r="U182" s="22">
        <v>4.4999999999999998E-2</v>
      </c>
      <c r="V182" s="20">
        <f t="shared" si="101"/>
        <v>1.3535550000000001</v>
      </c>
      <c r="W182" s="15">
        <v>15</v>
      </c>
      <c r="X182" s="15">
        <v>20</v>
      </c>
      <c r="Y182" s="15">
        <v>25</v>
      </c>
      <c r="Z182" s="18">
        <f t="shared" si="102"/>
        <v>3.1464449999999999</v>
      </c>
      <c r="AA182" s="18">
        <f t="shared" si="105"/>
        <v>4.5</v>
      </c>
      <c r="AB182" s="18">
        <f t="shared" si="106"/>
        <v>1.3535550000000001</v>
      </c>
      <c r="AE182" s="44" cm="1">
        <f t="array" ref="AE182">_xll.BDH("COMXGOLD Comdty","PX_Last", N182)</f>
        <v>21752764.760000002</v>
      </c>
      <c r="AF182" s="15" t="str" cm="1">
        <f t="array" ref="AF182">_xll.BDS("GCA Comdty","FUT_CHAIN", "CHAIN_DATE",A182,"endrow=1")</f>
        <v>GCQ23 Comdty</v>
      </c>
      <c r="AG182" s="44" cm="1">
        <f t="array" ref="AG182">_xll.BDH(AF182,"FUT_AGGTE_OPEN_INT",A182)</f>
        <v>431947</v>
      </c>
      <c r="AH182" s="44">
        <f t="shared" si="91"/>
        <v>43194700</v>
      </c>
      <c r="AI182" s="48">
        <f t="shared" si="92"/>
        <v>0.50359800531083676</v>
      </c>
      <c r="AJ182" s="45"/>
      <c r="AK182" s="44" cm="1">
        <f t="array" ref="AK182">_xll.BDH("COMXSILV Comdty","PX_Last", N182)</f>
        <v>278573.46999999997</v>
      </c>
      <c r="AL182" s="15" t="str" cm="1">
        <f t="array" ref="AL182">_xll.BDS("SIA Comdty","FUT_CHAIN", "CHAIN_DATE",A182,"endrow=1")</f>
        <v>SIQ23 Comdty</v>
      </c>
      <c r="AM182" s="47" cm="1">
        <f t="array" ref="AM182">_xll.BDH(AL182,"FUT_AGGTE_OPEN_INT",A182)</f>
        <v>137895</v>
      </c>
      <c r="AN182" s="45">
        <f t="shared" si="93"/>
        <v>404.03708618876675</v>
      </c>
      <c r="AO182" s="46">
        <f t="shared" si="94"/>
        <v>27857346999.999996</v>
      </c>
      <c r="AP182" s="46">
        <f t="shared" si="95"/>
        <v>689475</v>
      </c>
      <c r="AQ182" s="46"/>
    </row>
    <row r="183" spans="1:43" s="15" customFormat="1" x14ac:dyDescent="0.2">
      <c r="A183" s="24">
        <v>45160</v>
      </c>
      <c r="B183" s="25" cm="1">
        <f t="array" ref="B183">_xll.BADDPERIODS(A183, "PER=WD", "NUMBEROFPERIODS=2", "BUSDAYADJ=-2", "CDR=GQ", "CDR=P9")</f>
        <v>45162</v>
      </c>
      <c r="C183" s="26" cm="1">
        <f t="array" ref="C183">_xll.BDH("XAU Curncy","PX_LAST",A183,A183)</f>
        <v>1897.48</v>
      </c>
      <c r="D183" s="26" t="str" cm="1">
        <f t="array" ref="D183">_xll.BDP("GCZ23 Comdty",$M$32)</f>
        <v>01/12/2023</v>
      </c>
      <c r="E183" s="26">
        <f t="shared" si="110"/>
        <v>99</v>
      </c>
      <c r="F183" s="27">
        <v>5.5500000000000001E-2</v>
      </c>
      <c r="G183" s="28">
        <f t="shared" si="111"/>
        <v>28.960288500000001</v>
      </c>
      <c r="H183" s="29">
        <v>28.8</v>
      </c>
      <c r="I183" s="19">
        <f t="shared" si="112"/>
        <v>-0.16028850000000006</v>
      </c>
      <c r="J183" s="26">
        <v>4</v>
      </c>
      <c r="K183" s="26">
        <v>6</v>
      </c>
      <c r="L183" s="26">
        <v>8</v>
      </c>
      <c r="N183" s="24">
        <v>45160</v>
      </c>
      <c r="O183" s="16" cm="1">
        <f t="array" ref="O183">_xll.BADDPERIODS(N183, "PER=WD", "NUMBEROFPERIODS=2", "BUSDAYADJ=-2", "CDR=GQ", "CDR=P9")</f>
        <v>45162</v>
      </c>
      <c r="P183" s="15" cm="1">
        <f t="array" ref="P183">_xll.BDH("XAG Curncy","PX_LAST",N183,N183)</f>
        <v>23.406500000000001</v>
      </c>
      <c r="Q183" s="15" t="str" cm="1">
        <f t="array" ref="Q183">_xll.BDP("SIU23 Comdty",$M$32)</f>
        <v>01/09/2023</v>
      </c>
      <c r="R183" s="15">
        <f t="shared" si="99"/>
        <v>8</v>
      </c>
      <c r="S183" s="23">
        <v>5.3999999999999999E-2</v>
      </c>
      <c r="T183" s="21">
        <f t="shared" si="100"/>
        <v>2.8087800000000003E-2</v>
      </c>
      <c r="U183" s="22">
        <v>5.5E-2</v>
      </c>
      <c r="V183" s="20">
        <f t="shared" si="101"/>
        <v>2.6912199999999995</v>
      </c>
      <c r="W183" s="15">
        <v>15</v>
      </c>
      <c r="X183" s="15">
        <v>20</v>
      </c>
      <c r="Y183" s="15">
        <v>25</v>
      </c>
      <c r="Z183" s="18">
        <f t="shared" si="102"/>
        <v>2.8087800000000005</v>
      </c>
      <c r="AA183" s="18">
        <f t="shared" si="105"/>
        <v>5.5</v>
      </c>
      <c r="AB183" s="18">
        <f t="shared" si="106"/>
        <v>2.6912199999999995</v>
      </c>
      <c r="AE183" s="44" cm="1">
        <f t="array" ref="AE183">_xll.BDH("COMXGOLD Comdty","PX_Last", N183)</f>
        <v>21752764.760000002</v>
      </c>
      <c r="AF183" s="15" t="str" cm="1">
        <f t="array" ref="AF183">_xll.BDS("GCA Comdty","FUT_CHAIN", "CHAIN_DATE",A183,"endrow=1")</f>
        <v>GCQ23 Comdty</v>
      </c>
      <c r="AG183" s="44" cm="1">
        <f t="array" ref="AG183">_xll.BDH(AF183,"FUT_AGGTE_OPEN_INT",A183)</f>
        <v>430239</v>
      </c>
      <c r="AH183" s="44">
        <f t="shared" si="91"/>
        <v>43023900</v>
      </c>
      <c r="AI183" s="48">
        <f t="shared" si="92"/>
        <v>0.50559723223603625</v>
      </c>
      <c r="AJ183" s="45"/>
      <c r="AK183" s="44" cm="1">
        <f t="array" ref="AK183">_xll.BDH("COMXSILV Comdty","PX_Last", N183)</f>
        <v>277508.96999999997</v>
      </c>
      <c r="AL183" s="15" t="str" cm="1">
        <f t="array" ref="AL183">_xll.BDS("SIA Comdty","FUT_CHAIN", "CHAIN_DATE",A183,"endrow=1")</f>
        <v>SIQ23 Comdty</v>
      </c>
      <c r="AM183" s="47" cm="1">
        <f t="array" ref="AM183">_xll.BDH(AL183,"FUT_AGGTE_OPEN_INT",A183)</f>
        <v>136680</v>
      </c>
      <c r="AN183" s="45">
        <f t="shared" si="93"/>
        <v>406.07107111501313</v>
      </c>
      <c r="AO183" s="46">
        <f t="shared" si="94"/>
        <v>27750896999.999996</v>
      </c>
      <c r="AP183" s="46">
        <f t="shared" si="95"/>
        <v>683400</v>
      </c>
      <c r="AQ183" s="46"/>
    </row>
    <row r="184" spans="1:43" s="15" customFormat="1" x14ac:dyDescent="0.2">
      <c r="A184" s="24">
        <v>45161</v>
      </c>
      <c r="B184" s="25" cm="1">
        <f t="array" ref="B184">_xll.BADDPERIODS(A184, "PER=WD", "NUMBEROFPERIODS=2", "BUSDAYADJ=-2", "CDR=GQ", "CDR=P9")</f>
        <v>45163</v>
      </c>
      <c r="C184" s="26" cm="1">
        <f t="array" ref="C184">_xll.BDH("XAU Curncy","PX_LAST",A184,A184)</f>
        <v>1915.48</v>
      </c>
      <c r="D184" s="26" t="str" cm="1">
        <f t="array" ref="D184">_xll.BDP("GCZ23 Comdty",$M$32)</f>
        <v>01/12/2023</v>
      </c>
      <c r="E184" s="26">
        <f t="shared" si="110"/>
        <v>98</v>
      </c>
      <c r="F184" s="27">
        <v>5.5500000000000001E-2</v>
      </c>
      <c r="G184" s="28">
        <f t="shared" si="111"/>
        <v>28.939710333333334</v>
      </c>
      <c r="H184" s="29">
        <v>29.05</v>
      </c>
      <c r="I184" s="19">
        <f t="shared" si="112"/>
        <v>0.11028966666666662</v>
      </c>
      <c r="J184" s="26">
        <v>4</v>
      </c>
      <c r="K184" s="26">
        <v>6</v>
      </c>
      <c r="L184" s="26">
        <v>8</v>
      </c>
      <c r="N184" s="24">
        <v>45161</v>
      </c>
      <c r="O184" s="16" cm="1">
        <f t="array" ref="O184">_xll.BADDPERIODS(N184, "PER=WD", "NUMBEROFPERIODS=2", "BUSDAYADJ=-2", "CDR=GQ", "CDR=P9")</f>
        <v>45163</v>
      </c>
      <c r="P184" s="15" cm="1">
        <f t="array" ref="P184">_xll.BDH("XAG Curncy","PX_LAST",N184,N184)</f>
        <v>24.3108</v>
      </c>
      <c r="Q184" s="15" t="str" cm="1">
        <f t="array" ref="Q184">_xll.BDP("SIU23 Comdty",$M$32)</f>
        <v>01/09/2023</v>
      </c>
      <c r="R184" s="15">
        <f t="shared" si="99"/>
        <v>7</v>
      </c>
      <c r="S184" s="23">
        <v>5.3999999999999999E-2</v>
      </c>
      <c r="T184" s="21">
        <f t="shared" si="100"/>
        <v>2.5526340000000002E-2</v>
      </c>
      <c r="U184" s="22">
        <v>7.0000000000000007E-2</v>
      </c>
      <c r="V184" s="20">
        <f t="shared" si="101"/>
        <v>4.4473660000000006</v>
      </c>
      <c r="W184" s="15">
        <v>15</v>
      </c>
      <c r="X184" s="15">
        <v>20</v>
      </c>
      <c r="Y184" s="15">
        <v>25</v>
      </c>
      <c r="Z184" s="18">
        <f t="shared" si="102"/>
        <v>2.5526340000000003</v>
      </c>
      <c r="AA184" s="18">
        <f t="shared" si="105"/>
        <v>7.0000000000000009</v>
      </c>
      <c r="AB184" s="18">
        <f t="shared" si="106"/>
        <v>4.4473660000000006</v>
      </c>
      <c r="AE184" s="44" cm="1">
        <f t="array" ref="AE184">_xll.BDH("COMXGOLD Comdty","PX_Last", N184)</f>
        <v>21656086.703000002</v>
      </c>
      <c r="AF184" s="15" t="str" cm="1">
        <f t="array" ref="AF184">_xll.BDS("GCA Comdty","FUT_CHAIN", "CHAIN_DATE",A184,"endrow=1")</f>
        <v>GCQ23 Comdty</v>
      </c>
      <c r="AG184" s="44" cm="1">
        <f t="array" ref="AG184">_xll.BDH(AF184,"FUT_AGGTE_OPEN_INT",A184)</f>
        <v>435751</v>
      </c>
      <c r="AH184" s="44">
        <f t="shared" si="91"/>
        <v>43575100</v>
      </c>
      <c r="AI184" s="48">
        <f t="shared" si="92"/>
        <v>0.49698306379101831</v>
      </c>
      <c r="AJ184" s="45"/>
      <c r="AK184" s="44" cm="1">
        <f t="array" ref="AK184">_xll.BDH("COMXSILV Comdty","PX_Last", N184)</f>
        <v>277505.94</v>
      </c>
      <c r="AL184" s="15" t="str" cm="1">
        <f t="array" ref="AL184">_xll.BDS("SIA Comdty","FUT_CHAIN", "CHAIN_DATE",A184,"endrow=1")</f>
        <v>SIQ23 Comdty</v>
      </c>
      <c r="AM184" s="47" cm="1">
        <f t="array" ref="AM184">_xll.BDH(AL184,"FUT_AGGTE_OPEN_INT",A184)</f>
        <v>138801</v>
      </c>
      <c r="AN184" s="45">
        <f t="shared" si="93"/>
        <v>399.86158601162816</v>
      </c>
      <c r="AO184" s="46">
        <f t="shared" si="94"/>
        <v>27750594000</v>
      </c>
      <c r="AP184" s="46">
        <f t="shared" si="95"/>
        <v>694005</v>
      </c>
      <c r="AQ184" s="46"/>
    </row>
    <row r="185" spans="1:43" s="15" customFormat="1" x14ac:dyDescent="0.2">
      <c r="A185" s="24">
        <v>45162</v>
      </c>
      <c r="B185" s="25" cm="1">
        <f t="array" ref="B185">_xll.BADDPERIODS(A185, "PER=WD", "NUMBEROFPERIODS=2", "BUSDAYADJ=-2", "CDR=GQ", "CDR=P9")</f>
        <v>45167</v>
      </c>
      <c r="C185" s="26" cm="1">
        <f t="array" ref="C185">_xll.BDH("XAU Curncy","PX_LAST",A185,A185)</f>
        <v>1916.91</v>
      </c>
      <c r="D185" s="26" t="str" cm="1">
        <f t="array" ref="D185">_xll.BDP("GCZ23 Comdty",$M$32)</f>
        <v>01/12/2023</v>
      </c>
      <c r="E185" s="26">
        <f t="shared" si="110"/>
        <v>94</v>
      </c>
      <c r="F185" s="27">
        <v>5.5500000000000001E-2</v>
      </c>
      <c r="G185" s="28">
        <f t="shared" si="111"/>
        <v>27.779220750000004</v>
      </c>
      <c r="H185" s="29">
        <v>27.8</v>
      </c>
      <c r="I185" s="19">
        <f t="shared" si="112"/>
        <v>2.0779249999996807E-2</v>
      </c>
      <c r="J185" s="26">
        <v>4</v>
      </c>
      <c r="K185" s="26">
        <v>6</v>
      </c>
      <c r="L185" s="26">
        <v>8</v>
      </c>
      <c r="N185" s="24">
        <v>45162</v>
      </c>
      <c r="O185" s="16" cm="1">
        <f t="array" ref="O185">_xll.BADDPERIODS(N185, "PER=WD", "NUMBEROFPERIODS=2", "BUSDAYADJ=-2", "CDR=GQ", "CDR=P9")</f>
        <v>45167</v>
      </c>
      <c r="P185" s="15" cm="1">
        <f t="array" ref="P185">_xll.BDH("XAG Curncy","PX_LAST",N185,N185)</f>
        <v>24.122499999999999</v>
      </c>
      <c r="Q185" s="15" t="str" cm="1">
        <f t="array" ref="Q185">_xll.BDP("SIU23 Comdty",$M$32)</f>
        <v>01/09/2023</v>
      </c>
      <c r="R185" s="15">
        <f t="shared" si="99"/>
        <v>3</v>
      </c>
      <c r="S185" s="23">
        <v>5.3999999999999999E-2</v>
      </c>
      <c r="T185" s="21">
        <f t="shared" si="100"/>
        <v>1.0855124999999998E-2</v>
      </c>
      <c r="U185" s="22">
        <v>5.5E-2</v>
      </c>
      <c r="V185" s="20">
        <f t="shared" si="101"/>
        <v>4.4144874999999999</v>
      </c>
      <c r="W185" s="15">
        <v>15</v>
      </c>
      <c r="X185" s="15">
        <v>20</v>
      </c>
      <c r="Y185" s="15">
        <v>25</v>
      </c>
      <c r="Z185" s="18">
        <f t="shared" si="102"/>
        <v>1.0855124999999999</v>
      </c>
      <c r="AA185" s="18">
        <f t="shared" si="105"/>
        <v>5.5</v>
      </c>
      <c r="AB185" s="18">
        <f t="shared" si="106"/>
        <v>4.4144874999999999</v>
      </c>
      <c r="AE185" s="44" cm="1">
        <f t="array" ref="AE185">_xll.BDH("COMXGOLD Comdty","PX_Last", N185)</f>
        <v>21621199.451000001</v>
      </c>
      <c r="AF185" s="15" t="str" cm="1">
        <f t="array" ref="AF185">_xll.BDS("GCA Comdty","FUT_CHAIN", "CHAIN_DATE",A185,"endrow=1")</f>
        <v>GCQ23 Comdty</v>
      </c>
      <c r="AG185" s="44" cm="1">
        <f t="array" ref="AG185">_xll.BDH(AF185,"FUT_AGGTE_OPEN_INT",A185)</f>
        <v>435344</v>
      </c>
      <c r="AH185" s="44">
        <f t="shared" si="91"/>
        <v>43534400</v>
      </c>
      <c r="AI185" s="48">
        <f t="shared" si="92"/>
        <v>0.49664631764765338</v>
      </c>
      <c r="AJ185" s="45"/>
      <c r="AK185" s="44" cm="1">
        <f t="array" ref="AK185">_xll.BDH("COMXSILV Comdty","PX_Last", N185)</f>
        <v>276522.31</v>
      </c>
      <c r="AL185" s="15" t="str" cm="1">
        <f t="array" ref="AL185">_xll.BDS("SIA Comdty","FUT_CHAIN", "CHAIN_DATE",A185,"endrow=1")</f>
        <v>SIQ23 Comdty</v>
      </c>
      <c r="AM185" s="47" cm="1">
        <f t="array" ref="AM185">_xll.BDH(AL185,"FUT_AGGTE_OPEN_INT",A185)</f>
        <v>136150</v>
      </c>
      <c r="AN185" s="45">
        <f t="shared" si="93"/>
        <v>406.20243848696293</v>
      </c>
      <c r="AO185" s="46">
        <f t="shared" si="94"/>
        <v>27652231000</v>
      </c>
      <c r="AP185" s="46">
        <f t="shared" si="95"/>
        <v>680750</v>
      </c>
      <c r="AQ185" s="46"/>
    </row>
    <row r="186" spans="1:43" s="15" customFormat="1" x14ac:dyDescent="0.2">
      <c r="A186" s="24">
        <v>45163</v>
      </c>
      <c r="B186" s="25" cm="1">
        <f t="array" ref="B186">_xll.BADDPERIODS(A186, "PER=WD", "NUMBEROFPERIODS=2", "BUSDAYADJ=-2", "CDR=GQ", "CDR=P9")</f>
        <v>45168</v>
      </c>
      <c r="C186" s="26" cm="1">
        <f t="array" ref="C186">_xll.BDH("XAU Curncy","PX_LAST",A186,A186)</f>
        <v>1914.96</v>
      </c>
      <c r="D186" s="26" t="str" cm="1">
        <f t="array" ref="D186">_xll.BDP("GCZ23 Comdty",$M$32)</f>
        <v>01/12/2023</v>
      </c>
      <c r="E186" s="26">
        <f t="shared" si="110"/>
        <v>93</v>
      </c>
      <c r="F186" s="27">
        <v>5.5500000000000001E-2</v>
      </c>
      <c r="G186" s="28">
        <f t="shared" si="111"/>
        <v>27.455739000000001</v>
      </c>
      <c r="H186" s="29">
        <v>27.6</v>
      </c>
      <c r="I186" s="19">
        <f t="shared" si="112"/>
        <v>0.14426100000000019</v>
      </c>
      <c r="J186" s="26">
        <v>4</v>
      </c>
      <c r="K186" s="26">
        <v>6</v>
      </c>
      <c r="L186" s="26">
        <v>8</v>
      </c>
      <c r="N186" s="24">
        <v>45163</v>
      </c>
      <c r="O186" s="16" cm="1">
        <f t="array" ref="O186">_xll.BADDPERIODS(N186, "PER=WD", "NUMBEROFPERIODS=2", "BUSDAYADJ=-2", "CDR=GQ", "CDR=P9")</f>
        <v>45168</v>
      </c>
      <c r="P186" s="15" cm="1">
        <f t="array" ref="P186">_xll.BDH("XAG Curncy","PX_LAST",N186,N186)</f>
        <v>24.225999999999999</v>
      </c>
      <c r="Q186" s="15" t="str" cm="1">
        <f t="array" ref="Q186">_xll.BDP("SIU23 Comdty",$M$32)</f>
        <v>01/09/2023</v>
      </c>
      <c r="R186" s="15">
        <f t="shared" si="99"/>
        <v>2</v>
      </c>
      <c r="S186" s="23">
        <v>5.3999999999999999E-2</v>
      </c>
      <c r="T186" s="21">
        <f t="shared" si="100"/>
        <v>7.2678000000000005E-3</v>
      </c>
      <c r="U186" s="22">
        <v>0.05</v>
      </c>
      <c r="V186" s="20">
        <f t="shared" si="101"/>
        <v>4.2732200000000002</v>
      </c>
      <c r="W186" s="15">
        <v>15</v>
      </c>
      <c r="X186" s="15">
        <v>20</v>
      </c>
      <c r="Y186" s="15">
        <v>25</v>
      </c>
      <c r="Z186" s="18">
        <f t="shared" si="102"/>
        <v>0.72678000000000009</v>
      </c>
      <c r="AA186" s="18">
        <f t="shared" si="105"/>
        <v>5</v>
      </c>
      <c r="AB186" s="18">
        <f t="shared" si="106"/>
        <v>4.2732200000000002</v>
      </c>
      <c r="AE186" s="44" cm="1">
        <f t="array" ref="AE186">_xll.BDH("COMXGOLD Comdty","PX_Last", N186)</f>
        <v>21608596.142000001</v>
      </c>
      <c r="AF186" s="15" t="str" cm="1">
        <f t="array" ref="AF186">_xll.BDS("GCA Comdty","FUT_CHAIN", "CHAIN_DATE",A186,"endrow=1")</f>
        <v>GCQ23 Comdty</v>
      </c>
      <c r="AG186" s="44" cm="1">
        <f t="array" ref="AG186">_xll.BDH(AF186,"FUT_AGGTE_OPEN_INT",A186)</f>
        <v>434609</v>
      </c>
      <c r="AH186" s="44">
        <f t="shared" si="91"/>
        <v>43460900</v>
      </c>
      <c r="AI186" s="48">
        <f t="shared" si="92"/>
        <v>0.49719624172532095</v>
      </c>
      <c r="AJ186" s="45"/>
      <c r="AK186" s="44" cm="1">
        <f t="array" ref="AK186">_xll.BDH("COMXSILV Comdty","PX_Last", N186)</f>
        <v>276160.75</v>
      </c>
      <c r="AL186" s="15" t="str" cm="1">
        <f t="array" ref="AL186">_xll.BDS("SIA Comdty","FUT_CHAIN", "CHAIN_DATE",A186,"endrow=1")</f>
        <v>SIQ23 Comdty</v>
      </c>
      <c r="AM186" s="47" cm="1">
        <f t="array" ref="AM186">_xll.BDH(AL186,"FUT_AGGTE_OPEN_INT",A186)</f>
        <v>135526</v>
      </c>
      <c r="AN186" s="45">
        <f t="shared" si="93"/>
        <v>407.53914378052917</v>
      </c>
      <c r="AO186" s="46">
        <f t="shared" si="94"/>
        <v>27616075000</v>
      </c>
      <c r="AP186" s="46">
        <f t="shared" si="95"/>
        <v>677630</v>
      </c>
      <c r="AQ186" s="46"/>
    </row>
    <row r="187" spans="1:43" s="15" customFormat="1" x14ac:dyDescent="0.2">
      <c r="A187" s="24">
        <v>45167</v>
      </c>
      <c r="B187" s="25" cm="1">
        <f t="array" ref="B187">_xll.BADDPERIODS(A187, "PER=WD", "NUMBEROFPERIODS=2", "BUSDAYADJ=-2", "CDR=GQ", "CDR=P9")</f>
        <v>45169</v>
      </c>
      <c r="C187" s="26" cm="1">
        <f t="array" ref="C187">_xll.BDH("XAU Curncy","PX_LAST",A187,A187)</f>
        <v>1937.54</v>
      </c>
      <c r="D187" s="26" t="str" cm="1">
        <f t="array" ref="D187">_xll.BDP("GCZ23 Comdty",$M$32)</f>
        <v>01/12/2023</v>
      </c>
      <c r="E187" s="26">
        <f>_xlfn.DAYS(D187,B187)</f>
        <v>92</v>
      </c>
      <c r="F187" s="27">
        <v>5.5500000000000001E-2</v>
      </c>
      <c r="G187" s="28">
        <f>C187*(E187/360)*F187</f>
        <v>27.480775666666663</v>
      </c>
      <c r="H187" s="29">
        <v>27.9</v>
      </c>
      <c r="I187" s="19">
        <f>H187-G187</f>
        <v>0.41922433333333586</v>
      </c>
      <c r="J187" s="26">
        <v>4</v>
      </c>
      <c r="K187" s="26">
        <v>6</v>
      </c>
      <c r="L187" s="26">
        <v>8</v>
      </c>
      <c r="N187" s="24">
        <v>45167</v>
      </c>
      <c r="O187" s="16" cm="1">
        <f t="array" ref="O187">_xll.BADDPERIODS(N187, "PER=WD", "NUMBEROFPERIODS=2", "BUSDAYADJ=-2", "CDR=GQ", "CDR=P9")</f>
        <v>45169</v>
      </c>
      <c r="P187" s="15" cm="1">
        <f t="array" ref="P187">_xll.BDH("XAG Curncy","PX_LAST",N187,N187)</f>
        <v>24.723700000000001</v>
      </c>
      <c r="Q187" s="15" t="str" cm="1">
        <f t="array" ref="Q187">_xll.BDP("SIU23 Comdty",$M$32)</f>
        <v>01/09/2023</v>
      </c>
      <c r="R187" s="15">
        <f t="shared" si="99"/>
        <v>1</v>
      </c>
      <c r="S187" s="23">
        <v>5.45E-2</v>
      </c>
      <c r="T187" s="21">
        <f t="shared" si="100"/>
        <v>3.742893472222222E-3</v>
      </c>
      <c r="U187" s="22">
        <v>3.7499999999999999E-2</v>
      </c>
      <c r="V187" s="20">
        <f t="shared" si="101"/>
        <v>3.3757106527777774</v>
      </c>
      <c r="W187" s="15">
        <v>15</v>
      </c>
      <c r="X187" s="15">
        <v>20</v>
      </c>
      <c r="Y187" s="15">
        <v>25</v>
      </c>
      <c r="Z187" s="18">
        <f t="shared" si="102"/>
        <v>0.37428934722222218</v>
      </c>
      <c r="AA187" s="18">
        <f t="shared" si="105"/>
        <v>3.75</v>
      </c>
      <c r="AB187" s="18">
        <f t="shared" si="106"/>
        <v>3.3757106527777774</v>
      </c>
      <c r="AE187" s="44" cm="1">
        <f t="array" ref="AE187">_xll.BDH("COMXGOLD Comdty","PX_Last", N187)</f>
        <v>21550525.609999999</v>
      </c>
      <c r="AF187" s="15" t="str" cm="1">
        <f t="array" ref="AF187">_xll.BDS("GCA Comdty","FUT_CHAIN", "CHAIN_DATE",A187,"endrow=1")</f>
        <v>GCQ23 Comdty</v>
      </c>
      <c r="AG187" s="44" cm="1">
        <f t="array" ref="AG187">_xll.BDH(AF187,"FUT_AGGTE_OPEN_INT",A187)</f>
        <v>442806</v>
      </c>
      <c r="AH187" s="44">
        <f t="shared" si="91"/>
        <v>44280600</v>
      </c>
      <c r="AI187" s="48">
        <f t="shared" si="92"/>
        <v>0.48668097564170315</v>
      </c>
      <c r="AJ187" s="45"/>
      <c r="AK187" s="44" cm="1">
        <f t="array" ref="AK187">_xll.BDH("COMXSILV Comdty","PX_Last", N187)</f>
        <v>278214.46999999997</v>
      </c>
      <c r="AL187" s="15" t="str" cm="1">
        <f t="array" ref="AL187">_xll.BDS("SIA Comdty","FUT_CHAIN", "CHAIN_DATE",A187,"endrow=1")</f>
        <v>SIQ23 Comdty</v>
      </c>
      <c r="AM187" s="47" cm="1">
        <f t="array" ref="AM187">_xll.BDH(AL187,"FUT_AGGTE_OPEN_INT",A187)</f>
        <v>134993</v>
      </c>
      <c r="AN187" s="45">
        <f t="shared" si="93"/>
        <v>412.19095804967662</v>
      </c>
      <c r="AO187" s="46">
        <f t="shared" si="94"/>
        <v>27821446999.999996</v>
      </c>
      <c r="AP187" s="46">
        <f t="shared" si="95"/>
        <v>674965</v>
      </c>
      <c r="AQ187" s="46"/>
    </row>
    <row r="188" spans="1:43" s="15" customFormat="1" x14ac:dyDescent="0.2">
      <c r="A188" s="24">
        <v>45168</v>
      </c>
      <c r="B188" s="25" cm="1">
        <f t="array" ref="B188">_xll.BADDPERIODS(A188, "PER=WD", "NUMBEROFPERIODS=2", "BUSDAYADJ=-2", "CDR=GQ", "CDR=P9")</f>
        <v>45170</v>
      </c>
      <c r="C188" s="26" cm="1">
        <f t="array" ref="C188">_xll.BDH("XAU Curncy","PX_LAST",A188,A188)</f>
        <v>1942.32</v>
      </c>
      <c r="D188" s="26" t="str" cm="1">
        <f t="array" ref="D188">_xll.BDP("GCZ23 Comdty",$M$32)</f>
        <v>01/12/2023</v>
      </c>
      <c r="E188" s="26">
        <f>_xlfn.DAYS(D188,B188)</f>
        <v>91</v>
      </c>
      <c r="F188" s="27">
        <v>5.5500000000000001E-2</v>
      </c>
      <c r="G188" s="28">
        <f>C188*(E188/360)*F188</f>
        <v>27.249130999999998</v>
      </c>
      <c r="H188" s="29">
        <v>27.85</v>
      </c>
      <c r="I188" s="19">
        <f>H188-G188</f>
        <v>0.60086900000000298</v>
      </c>
      <c r="J188" s="26">
        <v>4</v>
      </c>
      <c r="K188" s="26">
        <v>6</v>
      </c>
      <c r="L188" s="26">
        <v>8</v>
      </c>
      <c r="N188" s="24">
        <v>45168</v>
      </c>
      <c r="O188" s="16" cm="1">
        <f t="array" ref="O188">_xll.BADDPERIODS(N188, "PER=WD", "NUMBEROFPERIODS=2", "BUSDAYADJ=-2", "CDR=GQ", "CDR=P9")</f>
        <v>45170</v>
      </c>
      <c r="P188" s="15" cm="1">
        <f t="array" ref="P188">_xll.BDH("XAG Curncy","PX_LAST",N188,N188)</f>
        <v>24.615600000000001</v>
      </c>
      <c r="Q188" s="15" t="str" cm="1">
        <f t="array" ref="Q188">_xll.BDP("SIZ23 Comdty",$M$32)</f>
        <v>01/12/2023</v>
      </c>
      <c r="R188" s="15">
        <f t="shared" si="99"/>
        <v>91</v>
      </c>
      <c r="S188" s="23">
        <v>5.45E-2</v>
      </c>
      <c r="T188" s="21">
        <f t="shared" si="100"/>
        <v>0.33911407833333335</v>
      </c>
      <c r="U188" s="22">
        <v>0.38750000000000001</v>
      </c>
      <c r="V188" s="20">
        <f t="shared" si="101"/>
        <v>4.8385921666666665</v>
      </c>
      <c r="W188" s="15">
        <v>15</v>
      </c>
      <c r="X188" s="15">
        <v>20</v>
      </c>
      <c r="Y188" s="15">
        <v>25</v>
      </c>
      <c r="Z188" s="18">
        <f t="shared" si="102"/>
        <v>33.911407833333335</v>
      </c>
      <c r="AA188" s="18">
        <f t="shared" si="105"/>
        <v>38.75</v>
      </c>
      <c r="AB188" s="18">
        <f t="shared" si="106"/>
        <v>4.8385921666666665</v>
      </c>
      <c r="AE188" s="44" cm="1">
        <f t="array" ref="AE188">_xll.BDH("COMXGOLD Comdty","PX_Last", N188)</f>
        <v>21389770.609999999</v>
      </c>
      <c r="AF188" s="15" t="str" cm="1">
        <f t="array" ref="AF188">_xll.BDS("GCA Comdty","FUT_CHAIN", "CHAIN_DATE",A188,"endrow=1")</f>
        <v>GCU23 Comdty</v>
      </c>
      <c r="AG188" s="44" cm="1">
        <f t="array" ref="AG188">_xll.BDH(AF188,"FUT_AGGTE_OPEN_INT",A188)</f>
        <v>447906</v>
      </c>
      <c r="AH188" s="44">
        <f t="shared" si="91"/>
        <v>44790600</v>
      </c>
      <c r="AI188" s="48">
        <f t="shared" si="92"/>
        <v>0.47755043714529388</v>
      </c>
      <c r="AJ188" s="45"/>
      <c r="AK188" s="44" cm="1">
        <f t="array" ref="AK188">_xll.BDH("COMXSILV Comdty","PX_Last", N188)</f>
        <v>277604.71999999997</v>
      </c>
      <c r="AL188" s="15" t="str" cm="1">
        <f t="array" ref="AL188">_xll.BDS("SIA Comdty","FUT_CHAIN", "CHAIN_DATE",A188,"endrow=1")</f>
        <v>SIU23 Comdty</v>
      </c>
      <c r="AM188" s="47" cm="1">
        <f t="array" ref="AM188">_xll.BDH(AL188,"FUT_AGGTE_OPEN_INT",A188)</f>
        <v>131813</v>
      </c>
      <c r="AN188" s="45">
        <f t="shared" si="93"/>
        <v>421.20992618330507</v>
      </c>
      <c r="AO188" s="46">
        <f t="shared" si="94"/>
        <v>27760471999.999996</v>
      </c>
      <c r="AP188" s="46">
        <f t="shared" si="95"/>
        <v>659065</v>
      </c>
      <c r="AQ188" s="46"/>
    </row>
    <row r="189" spans="1:43" s="15" customFormat="1" x14ac:dyDescent="0.2">
      <c r="A189" s="24">
        <v>45169</v>
      </c>
      <c r="B189" s="25" cm="1">
        <f t="array" ref="B189">_xll.BADDPERIODS(A189, "PER=WD", "NUMBEROFPERIODS=2", "BUSDAYADJ=-2", "CDR=GQ", "CDR=P9")</f>
        <v>45174</v>
      </c>
      <c r="C189" s="26" cm="1">
        <f t="array" ref="C189">_xll.BDH("XAU Curncy","PX_LAST",A189,A189)</f>
        <v>1940.19</v>
      </c>
      <c r="D189" s="26" t="str" cm="1">
        <f t="array" ref="D189">_xll.BDP("GCZ23 Comdty",$M$32)</f>
        <v>01/12/2023</v>
      </c>
      <c r="E189" s="26">
        <f>_xlfn.DAYS(D189,B189)</f>
        <v>87</v>
      </c>
      <c r="F189" s="27">
        <v>5.5500000000000001E-2</v>
      </c>
      <c r="G189" s="28">
        <f>C189*(E189/360)*F189</f>
        <v>26.022798375000001</v>
      </c>
      <c r="H189" s="29">
        <v>26.5</v>
      </c>
      <c r="I189" s="19">
        <f>H189-G189</f>
        <v>0.4772016249999993</v>
      </c>
      <c r="J189" s="26">
        <v>4</v>
      </c>
      <c r="K189" s="26">
        <v>6</v>
      </c>
      <c r="L189" s="26">
        <v>8</v>
      </c>
      <c r="N189" s="24">
        <v>45169</v>
      </c>
      <c r="O189" s="16" cm="1">
        <f t="array" ref="O189">_xll.BADDPERIODS(N189, "PER=WD", "NUMBEROFPERIODS=2", "BUSDAYADJ=-2", "CDR=GQ", "CDR=P9")</f>
        <v>45174</v>
      </c>
      <c r="P189" s="15" cm="1">
        <f t="array" ref="P189">_xll.BDH("XAG Curncy","PX_LAST",N189,N189)</f>
        <v>24.443000000000001</v>
      </c>
      <c r="Q189" s="15" t="str" cm="1">
        <f t="array" ref="Q189">_xll.BDP("SIZ23 Comdty",$M$32)</f>
        <v>01/12/2023</v>
      </c>
      <c r="R189" s="15">
        <f t="shared" si="99"/>
        <v>87</v>
      </c>
      <c r="S189" s="23">
        <v>5.45E-2</v>
      </c>
      <c r="T189" s="21">
        <f t="shared" si="100"/>
        <v>0.32193467916666668</v>
      </c>
      <c r="U189" s="22">
        <v>0.39</v>
      </c>
      <c r="V189" s="20">
        <f t="shared" si="101"/>
        <v>6.8065320833333329</v>
      </c>
      <c r="W189" s="15">
        <v>15</v>
      </c>
      <c r="X189" s="15">
        <v>20</v>
      </c>
      <c r="Y189" s="15">
        <v>25</v>
      </c>
      <c r="Z189" s="18">
        <f t="shared" si="102"/>
        <v>32.19346791666667</v>
      </c>
      <c r="AA189" s="18">
        <f t="shared" si="105"/>
        <v>39</v>
      </c>
      <c r="AB189" s="18">
        <f t="shared" si="106"/>
        <v>6.8065320833333329</v>
      </c>
      <c r="AE189" s="44" cm="1">
        <f t="array" ref="AE189">_xll.BDH("COMXGOLD Comdty","PX_Last", N189)</f>
        <v>21389738.458999999</v>
      </c>
      <c r="AF189" s="15" t="str" cm="1">
        <f t="array" ref="AF189">_xll.BDS("GCA Comdty","FUT_CHAIN", "CHAIN_DATE",A189,"endrow=1")</f>
        <v>GCU23 Comdty</v>
      </c>
      <c r="AG189" s="44" cm="1">
        <f t="array" ref="AG189">_xll.BDH(AF189,"FUT_AGGTE_OPEN_INT",A189)</f>
        <v>442643</v>
      </c>
      <c r="AH189" s="44">
        <f t="shared" si="91"/>
        <v>44264300</v>
      </c>
      <c r="AI189" s="48">
        <f t="shared" si="92"/>
        <v>0.4832277582385805</v>
      </c>
      <c r="AJ189" s="45"/>
      <c r="AK189" s="44" cm="1">
        <f t="array" ref="AK189">_xll.BDH("COMXSILV Comdty","PX_Last", N189)</f>
        <v>277734.03000000003</v>
      </c>
      <c r="AL189" s="15" t="str" cm="1">
        <f t="array" ref="AL189">_xll.BDS("SIA Comdty","FUT_CHAIN", "CHAIN_DATE",A189,"endrow=1")</f>
        <v>SIU23 Comdty</v>
      </c>
      <c r="AM189" s="47" cm="1">
        <f t="array" ref="AM189">_xll.BDH(AL189,"FUT_AGGTE_OPEN_INT",A189)</f>
        <v>130756</v>
      </c>
      <c r="AN189" s="45">
        <f t="shared" si="93"/>
        <v>424.81267398819182</v>
      </c>
      <c r="AO189" s="46">
        <f t="shared" si="94"/>
        <v>27773403000.000004</v>
      </c>
      <c r="AP189" s="46">
        <f t="shared" si="95"/>
        <v>653780</v>
      </c>
      <c r="AQ189" s="46"/>
    </row>
    <row r="190" spans="1:43" s="15" customFormat="1" x14ac:dyDescent="0.2">
      <c r="A190" s="24">
        <v>45170</v>
      </c>
      <c r="B190" s="25">
        <v>45174</v>
      </c>
      <c r="C190" s="26" cm="1">
        <f t="array" ref="C190">_xll.BDH("XAU Curncy","PX_LAST",A190,A190)</f>
        <v>1940.06</v>
      </c>
      <c r="D190" s="26" t="str" cm="1">
        <f t="array" ref="D190">_xll.BDP("GCZ23 Comdty",$M$32)</f>
        <v>01/12/2023</v>
      </c>
      <c r="E190" s="26">
        <f>_xlfn.DAYS(D190,B190)</f>
        <v>87</v>
      </c>
      <c r="F190" s="27">
        <v>5.5500000000000001E-2</v>
      </c>
      <c r="G190" s="28">
        <f>C190*(E190/360)*F190</f>
        <v>26.021054749999998</v>
      </c>
      <c r="H190" s="29">
        <v>26.3</v>
      </c>
      <c r="I190" s="19">
        <f>H190-G190</f>
        <v>0.27894525000000314</v>
      </c>
      <c r="J190" s="26">
        <v>4</v>
      </c>
      <c r="K190" s="26">
        <v>6</v>
      </c>
      <c r="L190" s="26">
        <v>8</v>
      </c>
      <c r="N190" s="24">
        <v>45170</v>
      </c>
      <c r="O190" s="16">
        <v>45174</v>
      </c>
      <c r="P190" s="15" cm="1">
        <f t="array" ref="P190">_xll.BDH("XAG Curncy","PX_LAST",N190,N190)</f>
        <v>24.187999999999999</v>
      </c>
      <c r="Q190" s="15" t="str" cm="1">
        <f t="array" ref="Q190">_xll.BDP("SIZ23 Comdty",$M$32)</f>
        <v>01/12/2023</v>
      </c>
      <c r="R190" s="15">
        <f t="shared" si="99"/>
        <v>87</v>
      </c>
      <c r="S190" s="23">
        <v>5.45E-2</v>
      </c>
      <c r="T190" s="21">
        <f t="shared" si="100"/>
        <v>0.31857611666666669</v>
      </c>
      <c r="U190" s="22">
        <v>0.37</v>
      </c>
      <c r="V190" s="20">
        <f t="shared" si="101"/>
        <v>5.1423883333333311</v>
      </c>
      <c r="W190" s="15">
        <v>15</v>
      </c>
      <c r="X190" s="15">
        <v>20</v>
      </c>
      <c r="Y190" s="15">
        <v>25</v>
      </c>
      <c r="Z190" s="18">
        <f t="shared" si="102"/>
        <v>31.857611666666667</v>
      </c>
      <c r="AA190" s="18">
        <f t="shared" si="105"/>
        <v>37</v>
      </c>
      <c r="AB190" s="18">
        <f t="shared" si="106"/>
        <v>5.1423883333333311</v>
      </c>
      <c r="AE190" s="44" cm="1">
        <f t="array" ref="AE190">_xll.BDH("COMXGOLD Comdty","PX_Last", N190)</f>
        <v>21389738.458999999</v>
      </c>
      <c r="AF190" s="15" t="str" cm="1">
        <f t="array" ref="AF190">_xll.BDS("GCA Comdty","FUT_CHAIN", "CHAIN_DATE",A190,"endrow=1")</f>
        <v>GCU23 Comdty</v>
      </c>
      <c r="AG190" s="44" cm="1">
        <f t="array" ref="AG190">_xll.BDH(AF190,"FUT_AGGTE_OPEN_INT",A190)</f>
        <v>440646</v>
      </c>
      <c r="AH190" s="44">
        <f t="shared" si="91"/>
        <v>44064600</v>
      </c>
      <c r="AI190" s="48">
        <f t="shared" si="92"/>
        <v>0.48541773802553523</v>
      </c>
      <c r="AJ190" s="45"/>
      <c r="AK190" s="44" cm="1">
        <f t="array" ref="AK190">_xll.BDH("COMXSILV Comdty","PX_Last", N190)</f>
        <v>278305.78000000003</v>
      </c>
      <c r="AL190" s="15" t="str" cm="1">
        <f t="array" ref="AL190">_xll.BDS("SIA Comdty","FUT_CHAIN", "CHAIN_DATE",A190,"endrow=1")</f>
        <v>SIU23 Comdty</v>
      </c>
      <c r="AM190" s="47" cm="1">
        <f t="array" ref="AM190">_xll.BDH(AL190,"FUT_AGGTE_OPEN_INT",A190)</f>
        <v>130467</v>
      </c>
      <c r="AN190" s="45">
        <f t="shared" si="93"/>
        <v>426.63015168586696</v>
      </c>
      <c r="AO190" s="46">
        <f t="shared" si="94"/>
        <v>27830578000.000004</v>
      </c>
      <c r="AP190" s="46">
        <f t="shared" si="95"/>
        <v>652335</v>
      </c>
      <c r="AQ190" s="46"/>
    </row>
    <row r="191" spans="1:43" s="15" customFormat="1" x14ac:dyDescent="0.2">
      <c r="A191" s="24">
        <v>45173</v>
      </c>
      <c r="B191" s="25" cm="1">
        <f t="array" ref="B191">_xll.BADDPERIODS(A191, "PER=WD", "NUMBEROFPERIODS=2", "BUSDAYADJ=-2", "CDR=GQ", "CDR=P9")</f>
        <v>45175</v>
      </c>
      <c r="C191" s="26" cm="1">
        <f t="array" ref="C191">_xll.BDH("XAU Curncy","PX_LAST",A191,A191)</f>
        <v>1942.69</v>
      </c>
      <c r="D191" s="26" t="str" cm="1">
        <f t="array" ref="D191">_xll.BDP("GCZ23 Comdty",$M$32)</f>
        <v>01/12/2023</v>
      </c>
      <c r="E191" s="26">
        <f t="shared" ref="E191:E200" si="113">_xlfn.DAYS(D191,B191)</f>
        <v>86</v>
      </c>
      <c r="F191" s="27">
        <v>5.5500000000000001E-2</v>
      </c>
      <c r="G191" s="28">
        <f t="shared" ref="G191:G200" si="114">C191*(E191/360)*F191</f>
        <v>25.756831583333337</v>
      </c>
      <c r="H191" s="29">
        <v>26.3</v>
      </c>
      <c r="I191" s="19">
        <f t="shared" ref="I191:I200" si="115">H191-G191</f>
        <v>0.54316841666666349</v>
      </c>
      <c r="J191" s="26">
        <v>4</v>
      </c>
      <c r="K191" s="26">
        <v>6</v>
      </c>
      <c r="L191" s="26">
        <v>8</v>
      </c>
      <c r="N191" s="24">
        <v>45173</v>
      </c>
      <c r="O191" s="16" cm="1">
        <f t="array" ref="O191">_xll.BADDPERIODS(N191, "PER=WD", "NUMBEROFPERIODS=2", "BUSDAYADJ=-2", "CDR=GQ", "CDR=P9")</f>
        <v>45175</v>
      </c>
      <c r="P191" s="15" cm="1">
        <f t="array" ref="P191">_xll.BDH("XAG Curncy","PX_LAST",N191,N191)</f>
        <v>23.991499999999998</v>
      </c>
      <c r="Q191" s="15" t="str" cm="1">
        <f t="array" ref="Q191">_xll.BDP("SIZ23 Comdty",$M$32)</f>
        <v>01/12/2023</v>
      </c>
      <c r="R191" s="15">
        <f t="shared" si="99"/>
        <v>86</v>
      </c>
      <c r="S191" s="23">
        <v>5.45E-2</v>
      </c>
      <c r="T191" s="21">
        <f t="shared" si="100"/>
        <v>0.31235600138888886</v>
      </c>
      <c r="U191" s="22">
        <v>0.36</v>
      </c>
      <c r="V191" s="20">
        <f t="shared" si="101"/>
        <v>4.7643998611111122</v>
      </c>
      <c r="W191" s="15">
        <v>15</v>
      </c>
      <c r="X191" s="15">
        <v>20</v>
      </c>
      <c r="Y191" s="15">
        <v>25</v>
      </c>
      <c r="Z191" s="18">
        <f t="shared" si="102"/>
        <v>31.235600138888884</v>
      </c>
      <c r="AA191" s="18">
        <f t="shared" si="105"/>
        <v>36</v>
      </c>
      <c r="AB191" s="18">
        <f t="shared" si="106"/>
        <v>4.7643998611111122</v>
      </c>
      <c r="AE191" s="44" t="str" cm="1">
        <f t="array" ref="AE191">_xll.BDH("COMXGOLD Comdty","PX_Last", N191)</f>
        <v>#N/A N/A</v>
      </c>
      <c r="AF191" s="15" t="str" cm="1">
        <f t="array" ref="AF191">_xll.BDS("GCA Comdty","FUT_CHAIN", "CHAIN_DATE",A191,"endrow=1")</f>
        <v>GCU23 Comdty</v>
      </c>
      <c r="AG191" s="44" t="str" cm="1">
        <f t="array" ref="AG191">_xll.BDH(AF191,"FUT_AGGTE_OPEN_INT",A191)</f>
        <v>#N/A N/A</v>
      </c>
      <c r="AH191" s="44" t="e">
        <f t="shared" si="91"/>
        <v>#VALUE!</v>
      </c>
      <c r="AI191" s="48" t="e">
        <f t="shared" si="92"/>
        <v>#VALUE!</v>
      </c>
      <c r="AJ191" s="45"/>
      <c r="AK191" s="44" t="str" cm="1">
        <f t="array" ref="AK191">_xll.BDH("COMXSILV Comdty","PX_Last", N191)</f>
        <v>#N/A N/A</v>
      </c>
      <c r="AL191" s="15" t="str" cm="1">
        <f t="array" ref="AL191">_xll.BDS("SIA Comdty","FUT_CHAIN", "CHAIN_DATE",A191,"endrow=1")</f>
        <v>SIU23 Comdty</v>
      </c>
      <c r="AM191" s="47" t="str" cm="1">
        <f t="array" ref="AM191">_xll.BDH(AL191,"FUT_AGGTE_OPEN_INT",A191)</f>
        <v>#N/A N/A</v>
      </c>
      <c r="AN191" s="45" t="e">
        <f t="shared" si="93"/>
        <v>#VALUE!</v>
      </c>
      <c r="AO191" s="46" t="e">
        <f t="shared" si="94"/>
        <v>#VALUE!</v>
      </c>
      <c r="AP191" s="46" t="e">
        <f t="shared" si="95"/>
        <v>#VALUE!</v>
      </c>
      <c r="AQ191" s="46"/>
    </row>
    <row r="192" spans="1:43" s="15" customFormat="1" x14ac:dyDescent="0.2">
      <c r="A192" s="24">
        <v>45174</v>
      </c>
      <c r="B192" s="25" cm="1">
        <f t="array" ref="B192">_xll.BADDPERIODS(A192, "PER=WD", "NUMBEROFPERIODS=2", "BUSDAYADJ=-2", "CDR=GQ", "CDR=P9")</f>
        <v>45176</v>
      </c>
      <c r="C192" s="26" cm="1">
        <f t="array" ref="C192">_xll.BDH("XAU Curncy","PX_LAST",A192,A192)</f>
        <v>1926.12</v>
      </c>
      <c r="D192" s="26" t="str" cm="1">
        <f t="array" ref="D192">_xll.BDP("GCZ23 Comdty",$M$32)</f>
        <v>01/12/2023</v>
      </c>
      <c r="E192" s="26">
        <f t="shared" si="113"/>
        <v>85</v>
      </c>
      <c r="F192" s="27">
        <v>5.5500000000000001E-2</v>
      </c>
      <c r="G192" s="28">
        <f t="shared" si="114"/>
        <v>25.240197499999997</v>
      </c>
      <c r="H192" s="29">
        <v>25.5</v>
      </c>
      <c r="I192" s="19">
        <f t="shared" si="115"/>
        <v>0.25980250000000282</v>
      </c>
      <c r="J192" s="26">
        <v>4</v>
      </c>
      <c r="K192" s="26">
        <v>6</v>
      </c>
      <c r="L192" s="26">
        <v>8</v>
      </c>
      <c r="N192" s="24">
        <v>45174</v>
      </c>
      <c r="O192" s="16" cm="1">
        <f t="array" ref="O192">_xll.BADDPERIODS(N192, "PER=WD", "NUMBEROFPERIODS=2", "BUSDAYADJ=-2", "CDR=GQ", "CDR=P9")</f>
        <v>45176</v>
      </c>
      <c r="P192" s="15" cm="1">
        <f t="array" ref="P192">_xll.BDH("XAG Curncy","PX_LAST",N192,N192)</f>
        <v>23.541599999999999</v>
      </c>
      <c r="Q192" s="15" t="str" cm="1">
        <f t="array" ref="Q192">_xll.BDP("SIZ23 Comdty",$M$32)</f>
        <v>01/12/2023</v>
      </c>
      <c r="R192" s="15">
        <f t="shared" si="99"/>
        <v>85</v>
      </c>
      <c r="S192" s="23">
        <v>5.45E-2</v>
      </c>
      <c r="T192" s="21">
        <f t="shared" si="100"/>
        <v>0.30293461666666666</v>
      </c>
      <c r="U192" s="22">
        <v>0.34499999999999997</v>
      </c>
      <c r="V192" s="20">
        <f t="shared" si="101"/>
        <v>4.2065383333333317</v>
      </c>
      <c r="W192" s="15">
        <v>15</v>
      </c>
      <c r="X192" s="15">
        <v>20</v>
      </c>
      <c r="Y192" s="15">
        <v>25</v>
      </c>
      <c r="Z192" s="18">
        <f t="shared" si="102"/>
        <v>30.293461666666666</v>
      </c>
      <c r="AA192" s="18">
        <f t="shared" si="105"/>
        <v>34.5</v>
      </c>
      <c r="AB192" s="18">
        <f t="shared" si="106"/>
        <v>4.2065383333333317</v>
      </c>
      <c r="AE192" s="44" cm="1">
        <f t="array" ref="AE192">_xll.BDH("COMXGOLD Comdty","PX_Last", N192)</f>
        <v>21388420.269000001</v>
      </c>
      <c r="AF192" s="15" t="str" cm="1">
        <f t="array" ref="AF192">_xll.BDS("GCA Comdty","FUT_CHAIN", "CHAIN_DATE",A192,"endrow=1")</f>
        <v>GCU23 Comdty</v>
      </c>
      <c r="AG192" s="44" cm="1">
        <f t="array" ref="AG192">_xll.BDH(AF192,"FUT_AGGTE_OPEN_INT",A192)</f>
        <v>438672</v>
      </c>
      <c r="AH192" s="44">
        <f t="shared" si="91"/>
        <v>43867200</v>
      </c>
      <c r="AI192" s="48">
        <f t="shared" si="92"/>
        <v>0.48757204173049573</v>
      </c>
      <c r="AJ192" s="45"/>
      <c r="AK192" s="44" cm="1">
        <f t="array" ref="AK192">_xll.BDH("COMXSILV Comdty","PX_Last", N192)</f>
        <v>278377.21999999997</v>
      </c>
      <c r="AL192" s="15" t="str" cm="1">
        <f t="array" ref="AL192">_xll.BDS("SIA Comdty","FUT_CHAIN", "CHAIN_DATE",A192,"endrow=1")</f>
        <v>SIU23 Comdty</v>
      </c>
      <c r="AM192" s="47" cm="1">
        <f t="array" ref="AM192">_xll.BDH(AL192,"FUT_AGGTE_OPEN_INT",A192)</f>
        <v>128279</v>
      </c>
      <c r="AN192" s="45">
        <f t="shared" si="93"/>
        <v>434.01838180840195</v>
      </c>
      <c r="AO192" s="46">
        <f t="shared" si="94"/>
        <v>27837721999.999996</v>
      </c>
      <c r="AP192" s="46">
        <f t="shared" si="95"/>
        <v>641395</v>
      </c>
      <c r="AQ192" s="46"/>
    </row>
    <row r="193" spans="1:43" s="15" customFormat="1" x14ac:dyDescent="0.2">
      <c r="A193" s="24">
        <v>45175</v>
      </c>
      <c r="B193" s="25" cm="1">
        <f t="array" ref="B193">_xll.BADDPERIODS(A193, "PER=WD", "NUMBEROFPERIODS=2", "BUSDAYADJ=-2", "CDR=GQ", "CDR=P9")</f>
        <v>45177</v>
      </c>
      <c r="C193" s="26" cm="1">
        <f t="array" ref="C193">_xll.BDH("XAU Curncy","PX_LAST",A193,A193)</f>
        <v>1916.56</v>
      </c>
      <c r="D193" s="26" t="str" cm="1">
        <f t="array" ref="D193">_xll.BDP("GCZ23 Comdty",$M$32)</f>
        <v>01/12/2023</v>
      </c>
      <c r="E193" s="26">
        <f t="shared" si="113"/>
        <v>84</v>
      </c>
      <c r="F193" s="27">
        <v>5.5500000000000001E-2</v>
      </c>
      <c r="G193" s="28">
        <f t="shared" si="114"/>
        <v>24.819452000000002</v>
      </c>
      <c r="H193" s="29">
        <v>25</v>
      </c>
      <c r="I193" s="19">
        <f t="shared" si="115"/>
        <v>0.18054799999999815</v>
      </c>
      <c r="J193" s="26">
        <v>4</v>
      </c>
      <c r="K193" s="26">
        <v>6</v>
      </c>
      <c r="L193" s="26">
        <v>8</v>
      </c>
      <c r="N193" s="24">
        <v>45175</v>
      </c>
      <c r="O193" s="16" cm="1">
        <f t="array" ref="O193">_xll.BADDPERIODS(N193, "PER=WD", "NUMBEROFPERIODS=2", "BUSDAYADJ=-2", "CDR=GQ", "CDR=P9")</f>
        <v>45177</v>
      </c>
      <c r="P193" s="15" cm="1">
        <f t="array" ref="P193">_xll.BDH("XAG Curncy","PX_LAST",N193,N193)</f>
        <v>23.168299999999999</v>
      </c>
      <c r="Q193" s="15" t="str" cm="1">
        <f t="array" ref="Q193">_xll.BDP("SIZ23 Comdty",$M$32)</f>
        <v>01/12/2023</v>
      </c>
      <c r="R193" s="15">
        <f t="shared" si="99"/>
        <v>84</v>
      </c>
      <c r="S193" s="23">
        <v>5.45E-2</v>
      </c>
      <c r="T193" s="21">
        <f t="shared" si="100"/>
        <v>0.29462354833333332</v>
      </c>
      <c r="U193" s="22">
        <v>0.33</v>
      </c>
      <c r="V193" s="20">
        <f t="shared" si="101"/>
        <v>3.5376451666666697</v>
      </c>
      <c r="W193" s="15">
        <v>15</v>
      </c>
      <c r="X193" s="15">
        <v>20</v>
      </c>
      <c r="Y193" s="15">
        <v>25</v>
      </c>
      <c r="Z193" s="18">
        <f t="shared" si="102"/>
        <v>29.462354833333332</v>
      </c>
      <c r="AA193" s="18">
        <f t="shared" si="105"/>
        <v>33</v>
      </c>
      <c r="AB193" s="18">
        <f t="shared" si="106"/>
        <v>3.5376451666666697</v>
      </c>
      <c r="AE193" s="44" cm="1">
        <f t="array" ref="AE193">_xll.BDH("COMXGOLD Comdty","PX_Last", N193)</f>
        <v>21243540.526999999</v>
      </c>
      <c r="AF193" s="15" t="str" cm="1">
        <f t="array" ref="AF193">_xll.BDS("GCA Comdty","FUT_CHAIN", "CHAIN_DATE",A193,"endrow=1")</f>
        <v>GCU23 Comdty</v>
      </c>
      <c r="AG193" s="44" cm="1">
        <f t="array" ref="AG193">_xll.BDH(AF193,"FUT_AGGTE_OPEN_INT",A193)</f>
        <v>436698</v>
      </c>
      <c r="AH193" s="44">
        <f t="shared" si="91"/>
        <v>43669800</v>
      </c>
      <c r="AI193" s="48">
        <f t="shared" si="92"/>
        <v>0.48645838833702004</v>
      </c>
      <c r="AJ193" s="45"/>
      <c r="AK193" s="44" cm="1">
        <f t="array" ref="AK193">_xll.BDH("COMXSILV Comdty","PX_Last", N193)</f>
        <v>277795.44</v>
      </c>
      <c r="AL193" s="15" t="str" cm="1">
        <f t="array" ref="AL193">_xll.BDS("SIA Comdty","FUT_CHAIN", "CHAIN_DATE",A193,"endrow=1")</f>
        <v>SIU23 Comdty</v>
      </c>
      <c r="AM193" s="47" cm="1">
        <f t="array" ref="AM193">_xll.BDH(AL193,"FUT_AGGTE_OPEN_INT",A193)</f>
        <v>125854</v>
      </c>
      <c r="AN193" s="45">
        <f t="shared" si="93"/>
        <v>441.4566720167814</v>
      </c>
      <c r="AO193" s="46">
        <f t="shared" si="94"/>
        <v>27779544000</v>
      </c>
      <c r="AP193" s="46">
        <f t="shared" si="95"/>
        <v>629270</v>
      </c>
      <c r="AQ193" s="46"/>
    </row>
    <row r="194" spans="1:43" s="15" customFormat="1" x14ac:dyDescent="0.2">
      <c r="A194" s="24">
        <v>45176</v>
      </c>
      <c r="B194" s="25" cm="1">
        <f t="array" ref="B194">_xll.BADDPERIODS(A194, "PER=WD", "NUMBEROFPERIODS=2", "BUSDAYADJ=-2", "CDR=GQ", "CDR=P9")</f>
        <v>45180</v>
      </c>
      <c r="C194" s="26" cm="1">
        <f t="array" ref="C194">_xll.BDH("XAU Curncy","PX_LAST",A194,A194)</f>
        <v>1919.68</v>
      </c>
      <c r="D194" s="26" t="str" cm="1">
        <f t="array" ref="D194">_xll.BDP("GCZ23 Comdty",$M$32)</f>
        <v>01/12/2023</v>
      </c>
      <c r="E194" s="26">
        <f t="shared" si="113"/>
        <v>81</v>
      </c>
      <c r="F194" s="27">
        <v>5.5500000000000001E-2</v>
      </c>
      <c r="G194" s="28">
        <f t="shared" si="114"/>
        <v>23.972004000000002</v>
      </c>
      <c r="H194" s="29">
        <v>24.1</v>
      </c>
      <c r="I194" s="19">
        <f t="shared" si="115"/>
        <v>0.12799599999999955</v>
      </c>
      <c r="J194" s="26">
        <v>4</v>
      </c>
      <c r="K194" s="26">
        <v>6</v>
      </c>
      <c r="L194" s="26">
        <v>8</v>
      </c>
      <c r="N194" s="24">
        <v>45176</v>
      </c>
      <c r="O194" s="16" cm="1">
        <f t="array" ref="O194">_xll.BADDPERIODS(N194, "PER=WD", "NUMBEROFPERIODS=2", "BUSDAYADJ=-2", "CDR=GQ", "CDR=P9")</f>
        <v>45180</v>
      </c>
      <c r="P194" s="15" cm="1">
        <f t="array" ref="P194">_xll.BDH("XAG Curncy","PX_LAST",N194,N194)</f>
        <v>22.9682</v>
      </c>
      <c r="Q194" s="15" t="str" cm="1">
        <f t="array" ref="Q194">_xll.BDP("SIZ23 Comdty",$M$32)</f>
        <v>01/12/2023</v>
      </c>
      <c r="R194" s="15">
        <f t="shared" si="99"/>
        <v>81</v>
      </c>
      <c r="S194" s="23">
        <v>5.45E-2</v>
      </c>
      <c r="T194" s="21">
        <f t="shared" si="100"/>
        <v>0.28164755250000001</v>
      </c>
      <c r="U194" s="22">
        <v>0.28999999999999998</v>
      </c>
      <c r="V194" s="20">
        <f t="shared" si="101"/>
        <v>0.83524474999999709</v>
      </c>
      <c r="W194" s="15">
        <v>15</v>
      </c>
      <c r="X194" s="15">
        <v>20</v>
      </c>
      <c r="Y194" s="15">
        <v>25</v>
      </c>
      <c r="Z194" s="18">
        <f t="shared" si="102"/>
        <v>28.164755250000002</v>
      </c>
      <c r="AA194" s="18">
        <f t="shared" si="105"/>
        <v>28.999999999999996</v>
      </c>
      <c r="AB194" s="18">
        <f t="shared" si="106"/>
        <v>0.83524474999999709</v>
      </c>
      <c r="AE194" s="44" cm="1">
        <f t="array" ref="AE194">_xll.BDH("COMXGOLD Comdty","PX_Last", N194)</f>
        <v>21147312.587000001</v>
      </c>
      <c r="AF194" s="15" t="str" cm="1">
        <f t="array" ref="AF194">_xll.BDS("GCA Comdty","FUT_CHAIN", "CHAIN_DATE",A194,"endrow=1")</f>
        <v>GCU23 Comdty</v>
      </c>
      <c r="AG194" s="44" cm="1">
        <f t="array" ref="AG194">_xll.BDH(AF194,"FUT_AGGTE_OPEN_INT",A194)</f>
        <v>435933</v>
      </c>
      <c r="AH194" s="44">
        <f t="shared" si="91"/>
        <v>43593300</v>
      </c>
      <c r="AI194" s="48">
        <f t="shared" si="92"/>
        <v>0.48510465110464224</v>
      </c>
      <c r="AJ194" s="45"/>
      <c r="AK194" s="44" cm="1">
        <f t="array" ref="AK194">_xll.BDH("COMXSILV Comdty","PX_Last", N194)</f>
        <v>277683.19</v>
      </c>
      <c r="AL194" s="15" t="str" cm="1">
        <f t="array" ref="AL194">_xll.BDS("SIA Comdty","FUT_CHAIN", "CHAIN_DATE",A194,"endrow=1")</f>
        <v>SIU23 Comdty</v>
      </c>
      <c r="AM194" s="47" cm="1">
        <f t="array" ref="AM194">_xll.BDH(AL194,"FUT_AGGTE_OPEN_INT",A194)</f>
        <v>125632</v>
      </c>
      <c r="AN194" s="45">
        <f t="shared" si="93"/>
        <v>442.0580584564442</v>
      </c>
      <c r="AO194" s="46">
        <f t="shared" si="94"/>
        <v>27768319000</v>
      </c>
      <c r="AP194" s="46">
        <f t="shared" si="95"/>
        <v>628160</v>
      </c>
      <c r="AQ194" s="46"/>
    </row>
    <row r="195" spans="1:43" s="15" customFormat="1" x14ac:dyDescent="0.2">
      <c r="A195" s="24">
        <v>45177</v>
      </c>
      <c r="B195" s="25" cm="1">
        <f t="array" ref="B195">_xll.BADDPERIODS(A195, "PER=WD", "NUMBEROFPERIODS=2", "BUSDAYADJ=-2", "CDR=GQ", "CDR=P9")</f>
        <v>45181</v>
      </c>
      <c r="C195" s="26" cm="1">
        <f t="array" ref="C195">_xll.BDH("XAU Curncy","PX_LAST",A195,A195)</f>
        <v>1919.08</v>
      </c>
      <c r="D195" s="26" t="str" cm="1">
        <f t="array" ref="D195">_xll.BDP("GCZ23 Comdty",$M$32)</f>
        <v>01/12/2023</v>
      </c>
      <c r="E195" s="26">
        <f>_xlfn.DAYS(D195,B195)</f>
        <v>80</v>
      </c>
      <c r="F195" s="27">
        <v>5.5500000000000001E-2</v>
      </c>
      <c r="G195" s="28">
        <f>C195*(E195/360)*F195</f>
        <v>23.668653333333332</v>
      </c>
      <c r="H195" s="29">
        <v>24</v>
      </c>
      <c r="I195" s="19">
        <f>H195-G195</f>
        <v>0.33134666666666845</v>
      </c>
      <c r="J195" s="26">
        <v>4</v>
      </c>
      <c r="K195" s="26">
        <v>6</v>
      </c>
      <c r="L195" s="26">
        <v>8</v>
      </c>
      <c r="N195" s="24">
        <v>45177</v>
      </c>
      <c r="O195" s="16" cm="1">
        <f t="array" ref="O195">_xll.BADDPERIODS(N195, "PER=WD", "NUMBEROFPERIODS=2", "BUSDAYADJ=-2", "CDR=GQ", "CDR=P9")</f>
        <v>45181</v>
      </c>
      <c r="P195" s="15" cm="1">
        <f t="array" ref="P195">_xll.BDH("XAG Curncy","PX_LAST",N195,N195)</f>
        <v>22.926600000000001</v>
      </c>
      <c r="Q195" s="15" t="str" cm="1">
        <f t="array" ref="Q195">_xll.BDP("SIZ23 Comdty",$M$32)</f>
        <v>01/12/2023</v>
      </c>
      <c r="R195" s="15">
        <f t="shared" si="99"/>
        <v>80</v>
      </c>
      <c r="S195" s="23">
        <v>5.5500000000000001E-2</v>
      </c>
      <c r="T195" s="21">
        <f t="shared" si="100"/>
        <v>0.2827614</v>
      </c>
      <c r="U195" s="22">
        <v>0.28499999999999998</v>
      </c>
      <c r="V195" s="20">
        <f t="shared" si="101"/>
        <v>0.22385999999999795</v>
      </c>
      <c r="W195" s="15">
        <v>15</v>
      </c>
      <c r="X195" s="15">
        <v>20</v>
      </c>
      <c r="Y195" s="15">
        <v>25</v>
      </c>
      <c r="Z195" s="18">
        <f t="shared" si="102"/>
        <v>28.276139999999998</v>
      </c>
      <c r="AA195" s="18">
        <f t="shared" si="105"/>
        <v>28.499999999999996</v>
      </c>
      <c r="AB195" s="18">
        <f t="shared" si="106"/>
        <v>0.22385999999999795</v>
      </c>
      <c r="AE195" s="44" cm="1">
        <f t="array" ref="AE195">_xll.BDH("COMXGOLD Comdty","PX_Last", N195)</f>
        <v>21147312.587000001</v>
      </c>
      <c r="AF195" s="15" t="str" cm="1">
        <f t="array" ref="AF195">_xll.BDS("GCA Comdty","FUT_CHAIN", "CHAIN_DATE",A195,"endrow=1")</f>
        <v>GCU23 Comdty</v>
      </c>
      <c r="AG195" s="44" cm="1">
        <f t="array" ref="AG195">_xll.BDH(AF195,"FUT_AGGTE_OPEN_INT",A195)</f>
        <v>434725</v>
      </c>
      <c r="AH195" s="44">
        <f t="shared" si="91"/>
        <v>43472500</v>
      </c>
      <c r="AI195" s="48">
        <f t="shared" si="92"/>
        <v>0.48645264447639314</v>
      </c>
      <c r="AJ195" s="45"/>
      <c r="AK195" s="44" cm="1">
        <f t="array" ref="AK195">_xll.BDH("COMXSILV Comdty","PX_Last", N195)</f>
        <v>276173.59000000003</v>
      </c>
      <c r="AL195" s="15" t="str" cm="1">
        <f t="array" ref="AL195">_xll.BDS("SIA Comdty","FUT_CHAIN", "CHAIN_DATE",A195,"endrow=1")</f>
        <v>SIU23 Comdty</v>
      </c>
      <c r="AM195" s="47" cm="1">
        <f t="array" ref="AM195">_xll.BDH(AL195,"FUT_AGGTE_OPEN_INT",A195)</f>
        <v>125169</v>
      </c>
      <c r="AN195" s="45">
        <f t="shared" si="93"/>
        <v>441.2811319096582</v>
      </c>
      <c r="AO195" s="46">
        <f t="shared" si="94"/>
        <v>27617359000.000004</v>
      </c>
      <c r="AP195" s="46">
        <f t="shared" si="95"/>
        <v>625845</v>
      </c>
      <c r="AQ195" s="46"/>
    </row>
    <row r="196" spans="1:43" s="15" customFormat="1" x14ac:dyDescent="0.2">
      <c r="A196" s="24">
        <v>45180</v>
      </c>
      <c r="B196" s="25" cm="1">
        <f t="array" ref="B196">_xll.BADDPERIODS(A196, "PER=WD", "NUMBEROFPERIODS=2", "BUSDAYADJ=-2", "CDR=GQ", "CDR=P9")</f>
        <v>45182</v>
      </c>
      <c r="C196" s="26" cm="1">
        <f t="array" ref="C196">_xll.BDH("XAU Curncy","PX_LAST",A196,A196)</f>
        <v>1922.3</v>
      </c>
      <c r="D196" s="26" t="str" cm="1">
        <f t="array" ref="D196">_xll.BDP("GCZ23 Comdty",$M$32)</f>
        <v>01/12/2023</v>
      </c>
      <c r="E196" s="26">
        <f>_xlfn.DAYS(D196,B196)</f>
        <v>79</v>
      </c>
      <c r="F196" s="27">
        <v>5.4800000000000001E-2</v>
      </c>
      <c r="G196" s="28">
        <f>C196*(E196/360)*F196</f>
        <v>23.116725444444441</v>
      </c>
      <c r="H196" s="29">
        <v>23.4</v>
      </c>
      <c r="I196" s="19">
        <f>H196-G196</f>
        <v>0.28327455555555758</v>
      </c>
      <c r="J196" s="26">
        <v>4</v>
      </c>
      <c r="K196" s="26">
        <v>6</v>
      </c>
      <c r="L196" s="26">
        <v>8</v>
      </c>
      <c r="N196" s="24">
        <v>45180</v>
      </c>
      <c r="O196" s="16" cm="1">
        <f t="array" ref="O196">_xll.BADDPERIODS(N196, "PER=WD", "NUMBEROFPERIODS=2", "BUSDAYADJ=-2", "CDR=GQ", "CDR=P9")</f>
        <v>45182</v>
      </c>
      <c r="P196" s="15" cm="1">
        <f t="array" ref="P196">_xll.BDH("XAG Curncy","PX_LAST",N196,N196)</f>
        <v>23.078499999999998</v>
      </c>
      <c r="Q196" s="15" t="str" cm="1">
        <f t="array" ref="Q196">_xll.BDP("SIZ23 Comdty",$M$32)</f>
        <v>01/12/2023</v>
      </c>
      <c r="R196" s="15">
        <f t="shared" si="99"/>
        <v>79</v>
      </c>
      <c r="S196" s="23">
        <v>5.5500000000000001E-2</v>
      </c>
      <c r="T196" s="21">
        <f t="shared" si="100"/>
        <v>0.28107689791666662</v>
      </c>
      <c r="U196" s="22">
        <v>0.28999999999999998</v>
      </c>
      <c r="V196" s="20">
        <f t="shared" si="101"/>
        <v>0.89231020833333563</v>
      </c>
      <c r="W196" s="15">
        <v>15</v>
      </c>
      <c r="X196" s="15">
        <v>20</v>
      </c>
      <c r="Y196" s="15">
        <v>25</v>
      </c>
      <c r="Z196" s="18">
        <f t="shared" si="102"/>
        <v>28.107689791666662</v>
      </c>
      <c r="AA196" s="18">
        <f t="shared" si="105"/>
        <v>28.999999999999996</v>
      </c>
      <c r="AB196" s="18">
        <f t="shared" si="106"/>
        <v>0.89231020833333563</v>
      </c>
      <c r="AE196" s="44" cm="1">
        <f t="array" ref="AE196">_xll.BDH("COMXGOLD Comdty","PX_Last", N196)</f>
        <v>21146508.811999999</v>
      </c>
      <c r="AF196" s="15" t="str" cm="1">
        <f t="array" ref="AF196">_xll.BDS("GCA Comdty","FUT_CHAIN", "CHAIN_DATE",A196,"endrow=1")</f>
        <v>GCU23 Comdty</v>
      </c>
      <c r="AG196" s="44" cm="1">
        <f t="array" ref="AG196">_xll.BDH(AF196,"FUT_AGGTE_OPEN_INT",A196)</f>
        <v>435289</v>
      </c>
      <c r="AH196" s="44">
        <f t="shared" si="91"/>
        <v>43528900</v>
      </c>
      <c r="AI196" s="48">
        <f t="shared" si="92"/>
        <v>0.48580388688894044</v>
      </c>
      <c r="AJ196" s="45"/>
      <c r="AK196" s="44" cm="1">
        <f t="array" ref="AK196">_xll.BDH("COMXSILV Comdty","PX_Last", N196)</f>
        <v>274955.44</v>
      </c>
      <c r="AL196" s="15" t="str" cm="1">
        <f t="array" ref="AL196">_xll.BDS("SIA Comdty","FUT_CHAIN", "CHAIN_DATE",A196,"endrow=1")</f>
        <v>SIU23 Comdty</v>
      </c>
      <c r="AM196" s="47" cm="1">
        <f t="array" ref="AM196">_xll.BDH(AL196,"FUT_AGGTE_OPEN_INT",A196)</f>
        <v>126221</v>
      </c>
      <c r="AN196" s="45">
        <f t="shared" si="93"/>
        <v>435.67304965100891</v>
      </c>
      <c r="AO196" s="46">
        <f t="shared" si="94"/>
        <v>27495544000</v>
      </c>
      <c r="AP196" s="46">
        <f t="shared" si="95"/>
        <v>631105</v>
      </c>
      <c r="AQ196" s="46"/>
    </row>
    <row r="197" spans="1:43" s="15" customFormat="1" x14ac:dyDescent="0.2">
      <c r="A197" s="24">
        <v>45181</v>
      </c>
      <c r="B197" s="25" cm="1">
        <f t="array" ref="B197">_xll.BADDPERIODS(A197, "PER=WD", "NUMBEROFPERIODS=2", "BUSDAYADJ=-2", "CDR=GQ", "CDR=P9")</f>
        <v>45183</v>
      </c>
      <c r="C197" s="26" cm="1">
        <f t="array" ref="C197">_xll.BDH("XAU Curncy","PX_LAST",A197,A197)</f>
        <v>1913.67</v>
      </c>
      <c r="D197" s="26" t="str" cm="1">
        <f t="array" ref="D197">_xll.BDP("GCZ23 Comdty",$M$32)</f>
        <v>01/12/2023</v>
      </c>
      <c r="E197" s="26">
        <f>_xlfn.DAYS(D197,B197)</f>
        <v>78</v>
      </c>
      <c r="F197" s="27">
        <v>5.45E-2</v>
      </c>
      <c r="G197" s="28">
        <f>C197*(E197/360)*F197</f>
        <v>22.597253250000001</v>
      </c>
      <c r="H197" s="29">
        <v>22.7</v>
      </c>
      <c r="I197" s="19">
        <f>H197-G197</f>
        <v>0.10274674999999789</v>
      </c>
      <c r="J197" s="26">
        <v>4</v>
      </c>
      <c r="K197" s="26">
        <v>6</v>
      </c>
      <c r="L197" s="26">
        <v>8</v>
      </c>
      <c r="N197" s="24">
        <v>45181</v>
      </c>
      <c r="O197" s="16" cm="1">
        <f t="array" ref="O197">_xll.BADDPERIODS(N197, "PER=WD", "NUMBEROFPERIODS=2", "BUSDAYADJ=-2", "CDR=GQ", "CDR=P9")</f>
        <v>45183</v>
      </c>
      <c r="P197" s="15" cm="1">
        <f t="array" ref="P197">_xll.BDH("XAG Curncy","PX_LAST",N197,N197)</f>
        <v>23.065799999999999</v>
      </c>
      <c r="Q197" s="15" t="str" cm="1">
        <f t="array" ref="Q197">_xll.BDP("SIZ23 Comdty",$M$32)</f>
        <v>01/12/2023</v>
      </c>
      <c r="R197" s="15">
        <f t="shared" si="99"/>
        <v>78</v>
      </c>
      <c r="S197" s="23">
        <v>5.5500000000000001E-2</v>
      </c>
      <c r="T197" s="21">
        <f t="shared" si="100"/>
        <v>0.27736624500000001</v>
      </c>
      <c r="U197" s="22">
        <v>0.28999999999999998</v>
      </c>
      <c r="V197" s="20">
        <f t="shared" si="101"/>
        <v>1.2633754999999969</v>
      </c>
      <c r="W197" s="15">
        <v>15</v>
      </c>
      <c r="X197" s="15">
        <v>20</v>
      </c>
      <c r="Y197" s="15">
        <v>25</v>
      </c>
      <c r="Z197" s="18">
        <f t="shared" si="102"/>
        <v>27.736624500000001</v>
      </c>
      <c r="AA197" s="18">
        <f t="shared" si="105"/>
        <v>28.999999999999996</v>
      </c>
      <c r="AB197" s="18">
        <f t="shared" si="106"/>
        <v>1.2633754999999969</v>
      </c>
      <c r="AE197" s="44" cm="1">
        <f t="array" ref="AE197">_xll.BDH("COMXGOLD Comdty","PX_Last", N197)</f>
        <v>21042307.420000002</v>
      </c>
      <c r="AF197" s="15" t="str" cm="1">
        <f t="array" ref="AF197">_xll.BDS("GCA Comdty","FUT_CHAIN", "CHAIN_DATE",A197,"endrow=1")</f>
        <v>GCU23 Comdty</v>
      </c>
      <c r="AG197" s="44" cm="1">
        <f t="array" ref="AG197">_xll.BDH(AF197,"FUT_AGGTE_OPEN_INT",A197)</f>
        <v>441221</v>
      </c>
      <c r="AH197" s="44">
        <f t="shared" si="91"/>
        <v>44122100</v>
      </c>
      <c r="AI197" s="48">
        <f t="shared" si="92"/>
        <v>0.47691083198669154</v>
      </c>
      <c r="AJ197" s="45"/>
      <c r="AK197" s="44" cm="1">
        <f t="array" ref="AK197">_xll.BDH("COMXSILV Comdty","PX_Last", N197)</f>
        <v>274232.46999999997</v>
      </c>
      <c r="AL197" s="15" t="str" cm="1">
        <f t="array" ref="AL197">_xll.BDS("SIA Comdty","FUT_CHAIN", "CHAIN_DATE",A197,"endrow=1")</f>
        <v>SIU23 Comdty</v>
      </c>
      <c r="AM197" s="47" cm="1">
        <f t="array" ref="AM197">_xll.BDH(AL197,"FUT_AGGTE_OPEN_INT",A197)</f>
        <v>125292</v>
      </c>
      <c r="AN197" s="45">
        <f t="shared" si="93"/>
        <v>437.74936947291121</v>
      </c>
      <c r="AO197" s="46">
        <f t="shared" si="94"/>
        <v>27423246999.999996</v>
      </c>
      <c r="AP197" s="46">
        <f t="shared" si="95"/>
        <v>626460</v>
      </c>
      <c r="AQ197" s="46"/>
    </row>
    <row r="198" spans="1:43" s="15" customFormat="1" x14ac:dyDescent="0.2">
      <c r="A198" s="24">
        <v>45182</v>
      </c>
      <c r="B198" s="25" cm="1">
        <f t="array" ref="B198">_xll.BADDPERIODS(A198, "PER=WD", "NUMBEROFPERIODS=2", "BUSDAYADJ=-2", "CDR=GQ", "CDR=P9")</f>
        <v>45184</v>
      </c>
      <c r="C198" s="26" cm="1">
        <f t="array" ref="C198">_xll.BDH("XAU Curncy","PX_LAST",A198,A198)</f>
        <v>1908.12</v>
      </c>
      <c r="D198" s="26" t="str" cm="1">
        <f t="array" ref="D198">_xll.BDP("GCZ23 Comdty",$M$32)</f>
        <v>01/12/2023</v>
      </c>
      <c r="E198" s="26">
        <f>_xlfn.DAYS(D198,B198)</f>
        <v>77</v>
      </c>
      <c r="F198" s="27">
        <v>5.45E-2</v>
      </c>
      <c r="G198" s="28">
        <f>C198*(E198/360)*F198</f>
        <v>22.24284883333333</v>
      </c>
      <c r="H198" s="29">
        <v>22.3</v>
      </c>
      <c r="I198" s="19">
        <f>H198-G198</f>
        <v>5.7151166666670861E-2</v>
      </c>
      <c r="J198" s="26">
        <v>4</v>
      </c>
      <c r="K198" s="26">
        <v>6</v>
      </c>
      <c r="L198" s="26">
        <v>8</v>
      </c>
      <c r="N198" s="24">
        <v>45182</v>
      </c>
      <c r="O198" s="16" cm="1">
        <f t="array" ref="O198">_xll.BADDPERIODS(N198, "PER=WD", "NUMBEROFPERIODS=2", "BUSDAYADJ=-2", "CDR=GQ", "CDR=P9")</f>
        <v>45184</v>
      </c>
      <c r="P198" s="15" cm="1">
        <f t="array" ref="P198">_xll.BDH("XAG Curncy","PX_LAST",N198,N198)</f>
        <v>22.838000000000001</v>
      </c>
      <c r="Q198" s="15" t="str" cm="1">
        <f t="array" ref="Q198">_xll.BDP("SIZ23 Comdty",$M$32)</f>
        <v>01/12/2023</v>
      </c>
      <c r="R198" s="15">
        <f t="shared" si="99"/>
        <v>77</v>
      </c>
      <c r="S198" s="23">
        <v>5.5500000000000001E-2</v>
      </c>
      <c r="T198" s="21">
        <f t="shared" si="100"/>
        <v>0.27110609166666666</v>
      </c>
      <c r="U198" s="22">
        <v>0.28499999999999998</v>
      </c>
      <c r="V198" s="20">
        <f t="shared" si="101"/>
        <v>1.3893908333333316</v>
      </c>
      <c r="W198" s="15">
        <v>15</v>
      </c>
      <c r="X198" s="15">
        <v>20</v>
      </c>
      <c r="Y198" s="15">
        <v>25</v>
      </c>
      <c r="Z198" s="18">
        <f t="shared" si="102"/>
        <v>27.110609166666666</v>
      </c>
      <c r="AA198" s="18">
        <f t="shared" si="105"/>
        <v>28.499999999999996</v>
      </c>
      <c r="AB198" s="18">
        <f t="shared" si="106"/>
        <v>1.3893908333333316</v>
      </c>
      <c r="AE198" s="44" cm="1">
        <f t="array" ref="AE198">_xll.BDH("COMXGOLD Comdty","PX_Last", N198)</f>
        <v>20881552.420000002</v>
      </c>
      <c r="AF198" s="15" t="str" cm="1">
        <f t="array" ref="AF198">_xll.BDS("GCA Comdty","FUT_CHAIN", "CHAIN_DATE",A198,"endrow=1")</f>
        <v>GCU23 Comdty</v>
      </c>
      <c r="AG198" s="44" cm="1">
        <f t="array" ref="AG198">_xll.BDH(AF198,"FUT_AGGTE_OPEN_INT",A198)</f>
        <v>441960</v>
      </c>
      <c r="AH198" s="44">
        <f t="shared" si="91"/>
        <v>44196000</v>
      </c>
      <c r="AI198" s="48">
        <f t="shared" si="92"/>
        <v>0.47247607068512992</v>
      </c>
      <c r="AJ198" s="45"/>
      <c r="AK198" s="44" cm="1">
        <f t="array" ref="AK198">_xll.BDH("COMXSILV Comdty","PX_Last", N198)</f>
        <v>274209.38</v>
      </c>
      <c r="AL198" s="15" t="str" cm="1">
        <f t="array" ref="AL198">_xll.BDS("SIA Comdty","FUT_CHAIN", "CHAIN_DATE",A198,"endrow=1")</f>
        <v>SIU23 Comdty</v>
      </c>
      <c r="AM198" s="47" cm="1">
        <f t="array" ref="AM198">_xll.BDH(AL198,"FUT_AGGTE_OPEN_INT",A198)</f>
        <v>126596</v>
      </c>
      <c r="AN198" s="45">
        <f t="shared" si="93"/>
        <v>433.2038611014566</v>
      </c>
      <c r="AO198" s="46">
        <f t="shared" si="94"/>
        <v>27420938000</v>
      </c>
      <c r="AP198" s="46">
        <f t="shared" si="95"/>
        <v>632980</v>
      </c>
      <c r="AQ198" s="46"/>
    </row>
    <row r="199" spans="1:43" s="15" customFormat="1" x14ac:dyDescent="0.2">
      <c r="A199" s="24">
        <v>45183</v>
      </c>
      <c r="B199" s="25" cm="1">
        <f t="array" ref="B199">_xll.BADDPERIODS(A199, "PER=WD", "NUMBEROFPERIODS=2", "BUSDAYADJ=-2", "CDR=GQ", "CDR=P9")</f>
        <v>45187</v>
      </c>
      <c r="C199" s="26" cm="1">
        <f t="array" ref="C199">_xll.BDH("XAU Curncy","PX_LAST",A199,A199)</f>
        <v>1910.79</v>
      </c>
      <c r="D199" s="26" t="str" cm="1">
        <f t="array" ref="D199">_xll.BDP("GCZ23 Comdty",$M$32)</f>
        <v>01/12/2023</v>
      </c>
      <c r="E199" s="26">
        <f>_xlfn.DAYS(D199,B199)</f>
        <v>74</v>
      </c>
      <c r="F199" s="27">
        <v>5.45E-2</v>
      </c>
      <c r="G199" s="28">
        <f>C199*(E199/360)*F199</f>
        <v>21.406155749999996</v>
      </c>
      <c r="H199" s="29">
        <v>21.4</v>
      </c>
      <c r="I199" s="19">
        <f>H199-G199</f>
        <v>-6.1557499999977949E-3</v>
      </c>
      <c r="J199" s="26">
        <v>4</v>
      </c>
      <c r="K199" s="26">
        <v>6</v>
      </c>
      <c r="L199" s="26">
        <v>8</v>
      </c>
      <c r="N199" s="24">
        <v>45183</v>
      </c>
      <c r="O199" s="16" cm="1">
        <f t="array" ref="O199">_xll.BADDPERIODS(N199, "PER=WD", "NUMBEROFPERIODS=2", "BUSDAYADJ=-2", "CDR=GQ", "CDR=P9")</f>
        <v>45187</v>
      </c>
      <c r="P199" s="15" cm="1">
        <f t="array" ref="P199">_xll.BDH("XAG Curncy","PX_LAST",N199,N199)</f>
        <v>22.649100000000001</v>
      </c>
      <c r="Q199" s="15" t="str" cm="1">
        <f t="array" ref="Q199">_xll.BDP("SIZ23 Comdty",$M$32)</f>
        <v>01/12/2023</v>
      </c>
      <c r="R199" s="15">
        <f t="shared" si="99"/>
        <v>74</v>
      </c>
      <c r="S199" s="23">
        <v>5.5500000000000001E-2</v>
      </c>
      <c r="T199" s="21">
        <f t="shared" si="100"/>
        <v>0.25838848250000002</v>
      </c>
      <c r="U199" s="22">
        <v>0.27</v>
      </c>
      <c r="V199" s="20">
        <f t="shared" si="101"/>
        <v>1.1611517500000001</v>
      </c>
      <c r="W199" s="15">
        <v>15</v>
      </c>
      <c r="X199" s="15">
        <v>20</v>
      </c>
      <c r="Y199" s="15">
        <v>25</v>
      </c>
      <c r="Z199" s="18">
        <f t="shared" si="102"/>
        <v>25.838848250000002</v>
      </c>
      <c r="AA199" s="18">
        <f t="shared" si="105"/>
        <v>27</v>
      </c>
      <c r="AB199" s="18">
        <f t="shared" si="106"/>
        <v>1.1611517500000001</v>
      </c>
      <c r="AE199" s="44" cm="1">
        <f t="array" ref="AE199">_xll.BDH("COMXGOLD Comdty","PX_Last", N199)</f>
        <v>20881552.420000002</v>
      </c>
      <c r="AF199" s="15" t="str" cm="1">
        <f t="array" ref="AF199">_xll.BDS("GCA Comdty","FUT_CHAIN", "CHAIN_DATE",A199,"endrow=1")</f>
        <v>GCU23 Comdty</v>
      </c>
      <c r="AG199" s="44" cm="1">
        <f t="array" ref="AG199">_xll.BDH(AF199,"FUT_AGGTE_OPEN_INT",A199)</f>
        <v>440649</v>
      </c>
      <c r="AH199" s="44">
        <f t="shared" si="91"/>
        <v>44064900</v>
      </c>
      <c r="AI199" s="48">
        <f t="shared" si="92"/>
        <v>0.47388176122038178</v>
      </c>
      <c r="AJ199" s="45"/>
      <c r="AK199" s="44" cm="1">
        <f t="array" ref="AK199">_xll.BDH("COMXSILV Comdty","PX_Last", N199)</f>
        <v>273630.90999999997</v>
      </c>
      <c r="AL199" s="15" t="str" cm="1">
        <f t="array" ref="AL199">_xll.BDS("SIA Comdty","FUT_CHAIN", "CHAIN_DATE",A199,"endrow=1")</f>
        <v>SIU23 Comdty</v>
      </c>
      <c r="AM199" s="47" cm="1">
        <f t="array" ref="AM199">_xll.BDH(AL199,"FUT_AGGTE_OPEN_INT",A199)</f>
        <v>127586</v>
      </c>
      <c r="AN199" s="45">
        <f t="shared" si="93"/>
        <v>428.93563557130091</v>
      </c>
      <c r="AO199" s="46">
        <f t="shared" si="94"/>
        <v>27363090999.999996</v>
      </c>
      <c r="AP199" s="46">
        <f t="shared" si="95"/>
        <v>637930</v>
      </c>
      <c r="AQ199" s="46"/>
    </row>
    <row r="200" spans="1:43" s="15" customFormat="1" x14ac:dyDescent="0.2">
      <c r="A200" s="24">
        <v>45184</v>
      </c>
      <c r="B200" s="25" cm="1">
        <f t="array" ref="B200">_xll.BADDPERIODS(A200, "PER=WD", "NUMBEROFPERIODS=2", "BUSDAYADJ=-2", "CDR=GQ", "CDR=P9")</f>
        <v>45188</v>
      </c>
      <c r="C200" s="26" cm="1">
        <f t="array" ref="C200">_xll.BDH("XAU Curncy","PX_LAST",A200,A200)</f>
        <v>1923.91</v>
      </c>
      <c r="D200" s="26" t="str" cm="1">
        <f t="array" ref="D200">_xll.BDP("GCZ23 Comdty",$M$32)</f>
        <v>01/12/2023</v>
      </c>
      <c r="E200" s="26">
        <f t="shared" si="113"/>
        <v>73</v>
      </c>
      <c r="F200" s="27">
        <v>5.45E-2</v>
      </c>
      <c r="G200" s="28">
        <f t="shared" si="114"/>
        <v>21.261877597222224</v>
      </c>
      <c r="H200" s="29">
        <v>21.6</v>
      </c>
      <c r="I200" s="19">
        <f t="shared" si="115"/>
        <v>0.33812240277777761</v>
      </c>
      <c r="J200" s="26">
        <v>4</v>
      </c>
      <c r="K200" s="26">
        <v>6</v>
      </c>
      <c r="L200" s="26">
        <v>8</v>
      </c>
      <c r="N200" s="24">
        <v>45184</v>
      </c>
      <c r="O200" s="16" cm="1">
        <f t="array" ref="O200">_xll.BADDPERIODS(N200, "PER=WD", "NUMBEROFPERIODS=2", "BUSDAYADJ=-2", "CDR=GQ", "CDR=P9")</f>
        <v>45188</v>
      </c>
      <c r="P200" s="15" cm="1">
        <f t="array" ref="P200">_xll.BDH("XAG Curncy","PX_LAST",N200,N200)</f>
        <v>23.036100000000001</v>
      </c>
      <c r="Q200" s="15" t="str" cm="1">
        <f t="array" ref="Q200">_xll.BDP("SIZ23 Comdty",$M$32)</f>
        <v>01/12/2023</v>
      </c>
      <c r="R200" s="15">
        <f t="shared" si="99"/>
        <v>73</v>
      </c>
      <c r="S200" s="23">
        <v>5.5500000000000001E-2</v>
      </c>
      <c r="T200" s="21">
        <f t="shared" si="100"/>
        <v>0.25925210875000004</v>
      </c>
      <c r="U200" s="22">
        <v>0.28000000000000003</v>
      </c>
      <c r="V200" s="20">
        <f t="shared" si="101"/>
        <v>2.0747891249999983</v>
      </c>
      <c r="W200" s="15">
        <v>15</v>
      </c>
      <c r="X200" s="15">
        <v>20</v>
      </c>
      <c r="Y200" s="15">
        <v>25</v>
      </c>
      <c r="Z200" s="18">
        <f t="shared" si="102"/>
        <v>25.925210875000005</v>
      </c>
      <c r="AA200" s="18">
        <f t="shared" si="105"/>
        <v>28.000000000000004</v>
      </c>
      <c r="AB200" s="18">
        <f t="shared" si="106"/>
        <v>2.0747891249999983</v>
      </c>
      <c r="AE200" s="44" cm="1">
        <f t="array" ref="AE200">_xll.BDH("COMXGOLD Comdty","PX_Last", N200)</f>
        <v>20878273.02</v>
      </c>
      <c r="AF200" s="15" t="str" cm="1">
        <f t="array" ref="AF200">_xll.BDS("GCA Comdty","FUT_CHAIN", "CHAIN_DATE",A200,"endrow=1")</f>
        <v>GCU23 Comdty</v>
      </c>
      <c r="AG200" s="44" cm="1">
        <f t="array" ref="AG200">_xll.BDH(AF200,"FUT_AGGTE_OPEN_INT",A200)</f>
        <v>441073</v>
      </c>
      <c r="AH200" s="44">
        <f t="shared" si="91"/>
        <v>44107300</v>
      </c>
      <c r="AI200" s="48">
        <f t="shared" si="92"/>
        <v>0.47335187191235917</v>
      </c>
      <c r="AJ200" s="45"/>
      <c r="AK200" s="44" cm="1">
        <f t="array" ref="AK200">_xll.BDH("COMXSILV Comdty","PX_Last", N200)</f>
        <v>272781.84000000003</v>
      </c>
      <c r="AL200" s="15" t="str" cm="1">
        <f t="array" ref="AL200">_xll.BDS("SIA Comdty","FUT_CHAIN", "CHAIN_DATE",A200,"endrow=1")</f>
        <v>SIU23 Comdty</v>
      </c>
      <c r="AM200" s="47" cm="1">
        <f t="array" ref="AM200">_xll.BDH(AL200,"FUT_AGGTE_OPEN_INT",A200)</f>
        <v>125247</v>
      </c>
      <c r="AN200" s="45">
        <f t="shared" si="93"/>
        <v>435.59021772976598</v>
      </c>
      <c r="AO200" s="46">
        <f t="shared" si="94"/>
        <v>27278184000.000004</v>
      </c>
      <c r="AP200" s="46">
        <f t="shared" si="95"/>
        <v>626235</v>
      </c>
      <c r="AQ200" s="46"/>
    </row>
    <row r="201" spans="1:43" s="15" customFormat="1" x14ac:dyDescent="0.2">
      <c r="A201" s="24">
        <v>45187</v>
      </c>
      <c r="B201" s="25" cm="1">
        <f t="array" ref="B201">_xll.BADDPERIODS(A201, "PER=WD", "NUMBEROFPERIODS=2", "BUSDAYADJ=-2", "CDR=GQ", "CDR=P9")</f>
        <v>45189</v>
      </c>
      <c r="C201" s="26" cm="1">
        <f t="array" ref="C201">_xll.BDH("XAU Curncy","PX_LAST",A201,A201)</f>
        <v>1933.84</v>
      </c>
      <c r="D201" s="26" t="str" cm="1">
        <f t="array" ref="D201">_xll.BDP("GCZ23 Comdty",$M$32)</f>
        <v>01/12/2023</v>
      </c>
      <c r="E201" s="26">
        <f t="shared" ref="E201:E215" si="116">_xlfn.DAYS(D201,B201)</f>
        <v>72</v>
      </c>
      <c r="F201" s="27">
        <v>5.5E-2</v>
      </c>
      <c r="G201" s="28">
        <f t="shared" ref="G201:G215" si="117">C201*(E201/360)*F201</f>
        <v>21.27224</v>
      </c>
      <c r="H201" s="29">
        <v>21.1</v>
      </c>
      <c r="I201" s="19">
        <f t="shared" ref="I201:I215" si="118">H201-G201</f>
        <v>-0.17223999999999862</v>
      </c>
      <c r="J201" s="26">
        <v>4</v>
      </c>
      <c r="K201" s="26">
        <v>6</v>
      </c>
      <c r="L201" s="26">
        <v>8</v>
      </c>
      <c r="N201" s="24">
        <v>45187</v>
      </c>
      <c r="O201" s="16" cm="1">
        <f t="array" ref="O201">_xll.BADDPERIODS(N201, "PER=WD", "NUMBEROFPERIODS=2", "BUSDAYADJ=-2", "CDR=GQ", "CDR=P9")</f>
        <v>45189</v>
      </c>
      <c r="P201" s="15" cm="1">
        <f t="array" ref="P201">_xll.BDH("XAG Curncy","PX_LAST",N201,N201)</f>
        <v>23.243400000000001</v>
      </c>
      <c r="Q201" s="15" t="str" cm="1">
        <f t="array" ref="Q201">_xll.BDP("SIZ23 Comdty",$M$32)</f>
        <v>01/12/2023</v>
      </c>
      <c r="R201" s="15">
        <f t="shared" si="99"/>
        <v>72</v>
      </c>
      <c r="S201" s="23">
        <v>5.5500000000000001E-2</v>
      </c>
      <c r="T201" s="21">
        <f t="shared" si="100"/>
        <v>0.25800174000000003</v>
      </c>
      <c r="U201" s="22">
        <v>0.27</v>
      </c>
      <c r="V201" s="20">
        <f t="shared" si="101"/>
        <v>1.1998259999999983</v>
      </c>
      <c r="W201" s="15">
        <v>15</v>
      </c>
      <c r="X201" s="15">
        <v>20</v>
      </c>
      <c r="Y201" s="15">
        <v>25</v>
      </c>
      <c r="Z201" s="18">
        <f t="shared" si="102"/>
        <v>25.800174000000002</v>
      </c>
      <c r="AA201" s="18">
        <f t="shared" si="105"/>
        <v>27</v>
      </c>
      <c r="AB201" s="18">
        <f t="shared" si="106"/>
        <v>1.1998259999999983</v>
      </c>
      <c r="AE201" s="44" cm="1">
        <f t="array" ref="AE201">_xll.BDH("COMXGOLD Comdty","PX_Last", N201)</f>
        <v>20878273.02</v>
      </c>
      <c r="AF201" s="15" t="str" cm="1">
        <f t="array" ref="AF201">_xll.BDS("GCA Comdty","FUT_CHAIN", "CHAIN_DATE",A201,"endrow=1")</f>
        <v>GCU23 Comdty</v>
      </c>
      <c r="AG201" s="44" cm="1">
        <f t="array" ref="AG201">_xll.BDH(AF201,"FUT_AGGTE_OPEN_INT",A201)</f>
        <v>440545</v>
      </c>
      <c r="AH201" s="44">
        <f t="shared" si="91"/>
        <v>44054500</v>
      </c>
      <c r="AI201" s="48">
        <f t="shared" si="92"/>
        <v>0.47391919145603739</v>
      </c>
      <c r="AJ201" s="45"/>
      <c r="AK201" s="44" cm="1">
        <f t="array" ref="AK201">_xll.BDH("COMXSILV Comdty","PX_Last", N201)</f>
        <v>272385.15999999997</v>
      </c>
      <c r="AL201" s="15" t="str" cm="1">
        <f t="array" ref="AL201">_xll.BDS("SIA Comdty","FUT_CHAIN", "CHAIN_DATE",A201,"endrow=1")</f>
        <v>SIU23 Comdty</v>
      </c>
      <c r="AM201" s="47" cm="1">
        <f t="array" ref="AM201">_xll.BDH(AL201,"FUT_AGGTE_OPEN_INT",A201)</f>
        <v>125340</v>
      </c>
      <c r="AN201" s="45">
        <f t="shared" si="93"/>
        <v>434.63405138024564</v>
      </c>
      <c r="AO201" s="46">
        <f t="shared" si="94"/>
        <v>27238515999.999996</v>
      </c>
      <c r="AP201" s="46">
        <f t="shared" si="95"/>
        <v>626700</v>
      </c>
      <c r="AQ201" s="46"/>
    </row>
    <row r="202" spans="1:43" s="15" customFormat="1" x14ac:dyDescent="0.2">
      <c r="A202" s="24">
        <v>45188</v>
      </c>
      <c r="B202" s="25" cm="1">
        <f t="array" ref="B202">_xll.BADDPERIODS(A202, "PER=WD", "NUMBEROFPERIODS=2", "BUSDAYADJ=-2", "CDR=GQ", "CDR=P9")</f>
        <v>45190</v>
      </c>
      <c r="C202" s="26" cm="1">
        <f t="array" ref="C202">_xll.BDH("XAU Curncy","PX_LAST",A202,A202)</f>
        <v>1931.36</v>
      </c>
      <c r="D202" s="26" t="str" cm="1">
        <f t="array" ref="D202">_xll.BDP("GCZ23 Comdty",$M$32)</f>
        <v>01/12/2023</v>
      </c>
      <c r="E202" s="26">
        <f t="shared" si="116"/>
        <v>71</v>
      </c>
      <c r="F202" s="27">
        <v>5.5E-2</v>
      </c>
      <c r="G202" s="28">
        <f t="shared" si="117"/>
        <v>20.949891111111111</v>
      </c>
      <c r="H202" s="29">
        <v>21.1</v>
      </c>
      <c r="I202" s="19">
        <f t="shared" si="118"/>
        <v>0.15010888888889085</v>
      </c>
      <c r="J202" s="26">
        <v>4</v>
      </c>
      <c r="K202" s="26">
        <v>6</v>
      </c>
      <c r="L202" s="26">
        <v>8</v>
      </c>
      <c r="N202" s="24">
        <v>45188</v>
      </c>
      <c r="O202" s="16" cm="1">
        <f t="array" ref="O202">_xll.BADDPERIODS(N202, "PER=WD", "NUMBEROFPERIODS=2", "BUSDAYADJ=-2", "CDR=GQ", "CDR=P9")</f>
        <v>45190</v>
      </c>
      <c r="P202" s="15" cm="1">
        <f t="array" ref="P202">_xll.BDH("XAG Curncy","PX_LAST",N202,N202)</f>
        <v>23.200500000000002</v>
      </c>
      <c r="Q202" s="15" t="str" cm="1">
        <f t="array" ref="Q202">_xll.BDP("SIZ23 Comdty",$M$32)</f>
        <v>01/12/2023</v>
      </c>
      <c r="R202" s="15">
        <f t="shared" si="99"/>
        <v>71</v>
      </c>
      <c r="S202" s="23">
        <v>5.5500000000000001E-2</v>
      </c>
      <c r="T202" s="21">
        <f t="shared" si="100"/>
        <v>0.25394880625000005</v>
      </c>
      <c r="U202" s="22">
        <v>0.27250000000000002</v>
      </c>
      <c r="V202" s="20">
        <f t="shared" si="101"/>
        <v>1.8551193749999972</v>
      </c>
      <c r="W202" s="15">
        <v>15</v>
      </c>
      <c r="X202" s="15">
        <v>20</v>
      </c>
      <c r="Y202" s="15">
        <v>25</v>
      </c>
      <c r="Z202" s="18">
        <f t="shared" si="102"/>
        <v>25.394880625000006</v>
      </c>
      <c r="AA202" s="18">
        <f t="shared" si="105"/>
        <v>27.250000000000004</v>
      </c>
      <c r="AB202" s="18">
        <f t="shared" si="106"/>
        <v>1.8551193749999972</v>
      </c>
      <c r="AE202" s="44" cm="1">
        <f t="array" ref="AE202">_xll.BDH("COMXGOLD Comdty","PX_Last", N202)</f>
        <v>20942231.081999999</v>
      </c>
      <c r="AF202" s="15" t="str" cm="1">
        <f t="array" ref="AF202">_xll.BDS("GCA Comdty","FUT_CHAIN", "CHAIN_DATE",A202,"endrow=1")</f>
        <v>GCU23 Comdty</v>
      </c>
      <c r="AG202" s="44" cm="1">
        <f t="array" ref="AG202">_xll.BDH(AF202,"FUT_AGGTE_OPEN_INT",A202)</f>
        <v>438078</v>
      </c>
      <c r="AH202" s="44">
        <f t="shared" si="91"/>
        <v>43807800</v>
      </c>
      <c r="AI202" s="48">
        <f t="shared" si="92"/>
        <v>0.47804799789078656</v>
      </c>
      <c r="AJ202" s="45"/>
      <c r="AK202" s="44" cm="1">
        <f t="array" ref="AK202">_xll.BDH("COMXSILV Comdty","PX_Last", N202)</f>
        <v>274048.44</v>
      </c>
      <c r="AL202" s="15" t="str" cm="1">
        <f t="array" ref="AL202">_xll.BDS("SIA Comdty","FUT_CHAIN", "CHAIN_DATE",A202,"endrow=1")</f>
        <v>SIU23 Comdty</v>
      </c>
      <c r="AM202" s="47" cm="1">
        <f t="array" ref="AM202">_xll.BDH(AL202,"FUT_AGGTE_OPEN_INT",A202)</f>
        <v>125749</v>
      </c>
      <c r="AN202" s="45">
        <f t="shared" si="93"/>
        <v>435.86579614947237</v>
      </c>
      <c r="AO202" s="46">
        <f t="shared" si="94"/>
        <v>27404844000</v>
      </c>
      <c r="AP202" s="46">
        <f t="shared" si="95"/>
        <v>628745</v>
      </c>
      <c r="AQ202" s="46"/>
    </row>
    <row r="203" spans="1:43" s="15" customFormat="1" x14ac:dyDescent="0.2">
      <c r="A203" s="24">
        <v>45189</v>
      </c>
      <c r="B203" s="25" cm="1">
        <f t="array" ref="B203">_xll.BADDPERIODS(A203, "PER=WD", "NUMBEROFPERIODS=2", "BUSDAYADJ=-2", "CDR=GQ", "CDR=P9")</f>
        <v>45191</v>
      </c>
      <c r="C203" s="26" cm="1">
        <f t="array" ref="C203">_xll.BDH("XAU Curncy","PX_LAST",A203,A203)</f>
        <v>1930.3</v>
      </c>
      <c r="D203" s="26" t="str" cm="1">
        <f t="array" ref="D203">_xll.BDP("GCZ23 Comdty",$M$32)</f>
        <v>01/12/2023</v>
      </c>
      <c r="E203" s="26">
        <f t="shared" si="116"/>
        <v>70</v>
      </c>
      <c r="F203" s="27">
        <v>5.5E-2</v>
      </c>
      <c r="G203" s="28">
        <f t="shared" si="117"/>
        <v>20.643486111111113</v>
      </c>
      <c r="H203" s="29">
        <v>21.2</v>
      </c>
      <c r="I203" s="19">
        <f t="shared" si="118"/>
        <v>0.55651388888888675</v>
      </c>
      <c r="J203" s="26">
        <v>4</v>
      </c>
      <c r="K203" s="26">
        <v>6</v>
      </c>
      <c r="L203" s="26">
        <v>8</v>
      </c>
      <c r="N203" s="24">
        <v>45189</v>
      </c>
      <c r="O203" s="16" cm="1">
        <f t="array" ref="O203">_xll.BADDPERIODS(N203, "PER=WD", "NUMBEROFPERIODS=2", "BUSDAYADJ=-2", "CDR=GQ", "CDR=P9")</f>
        <v>45191</v>
      </c>
      <c r="P203" s="15" cm="1">
        <f t="array" ref="P203">_xll.BDH("XAG Curncy","PX_LAST",N203,N203)</f>
        <v>23.238700000000001</v>
      </c>
      <c r="Q203" s="15" t="str" cm="1">
        <f t="array" ref="Q203">_xll.BDP("SIZ23 Comdty",$M$32)</f>
        <v>01/12/2023</v>
      </c>
      <c r="R203" s="15">
        <f t="shared" si="99"/>
        <v>70</v>
      </c>
      <c r="S203" s="23">
        <v>5.5500000000000001E-2</v>
      </c>
      <c r="T203" s="21">
        <f t="shared" si="100"/>
        <v>0.25078430416666669</v>
      </c>
      <c r="U203" s="22">
        <v>0.27250000000000002</v>
      </c>
      <c r="V203" s="20">
        <f t="shared" si="101"/>
        <v>2.1715695833333326</v>
      </c>
      <c r="W203" s="15">
        <v>15</v>
      </c>
      <c r="X203" s="15">
        <v>20</v>
      </c>
      <c r="Y203" s="15">
        <v>25</v>
      </c>
      <c r="Z203" s="18">
        <f t="shared" si="102"/>
        <v>25.07843041666667</v>
      </c>
      <c r="AA203" s="18">
        <f t="shared" si="105"/>
        <v>27.250000000000004</v>
      </c>
      <c r="AB203" s="18">
        <f t="shared" si="106"/>
        <v>2.1715695833333326</v>
      </c>
      <c r="AE203" s="44" cm="1">
        <f t="array" ref="AE203">_xll.BDH("COMXGOLD Comdty","PX_Last", N203)</f>
        <v>20931908.140000001</v>
      </c>
      <c r="AF203" s="15" t="str" cm="1">
        <f t="array" ref="AF203">_xll.BDS("GCA Comdty","FUT_CHAIN", "CHAIN_DATE",A203,"endrow=1")</f>
        <v>GCU23 Comdty</v>
      </c>
      <c r="AG203" s="44" cm="1">
        <f t="array" ref="AG203">_xll.BDH(AF203,"FUT_AGGTE_OPEN_INT",A203)</f>
        <v>445861</v>
      </c>
      <c r="AH203" s="44">
        <f t="shared" si="91"/>
        <v>44586100</v>
      </c>
      <c r="AI203" s="48">
        <f t="shared" si="92"/>
        <v>0.46947160976178676</v>
      </c>
      <c r="AJ203" s="45"/>
      <c r="AK203" s="44" cm="1">
        <f t="array" ref="AK203">_xll.BDH("COMXSILV Comdty","PX_Last", N203)</f>
        <v>274079.40999999997</v>
      </c>
      <c r="AL203" s="15" t="str" cm="1">
        <f t="array" ref="AL203">_xll.BDS("SIA Comdty","FUT_CHAIN", "CHAIN_DATE",A203,"endrow=1")</f>
        <v>SIU23 Comdty</v>
      </c>
      <c r="AM203" s="47" cm="1">
        <f t="array" ref="AM203">_xll.BDH(AL203,"FUT_AGGTE_OPEN_INT",A203)</f>
        <v>125263</v>
      </c>
      <c r="AN203" s="45">
        <f t="shared" si="93"/>
        <v>437.60633227688936</v>
      </c>
      <c r="AO203" s="46">
        <f t="shared" si="94"/>
        <v>27407940999.999996</v>
      </c>
      <c r="AP203" s="46">
        <f t="shared" si="95"/>
        <v>626315</v>
      </c>
      <c r="AQ203" s="46"/>
    </row>
    <row r="204" spans="1:43" s="15" customFormat="1" x14ac:dyDescent="0.2">
      <c r="A204" s="24">
        <v>45190</v>
      </c>
      <c r="B204" s="25" cm="1">
        <f t="array" ref="B204">_xll.BADDPERIODS(A204, "PER=WD", "NUMBEROFPERIODS=2", "BUSDAYADJ=-2", "CDR=GQ", "CDR=P9")</f>
        <v>45194</v>
      </c>
      <c r="C204" s="26" cm="1">
        <f t="array" ref="C204">_xll.BDH("XAU Curncy","PX_LAST",A204,A204)</f>
        <v>1920.02</v>
      </c>
      <c r="D204" s="26" t="str" cm="1">
        <f t="array" ref="D204">_xll.BDP("GCZ23 Comdty",$M$32)</f>
        <v>01/12/2023</v>
      </c>
      <c r="E204" s="26">
        <f t="shared" si="116"/>
        <v>67</v>
      </c>
      <c r="F204" s="27">
        <v>5.5E-2</v>
      </c>
      <c r="G204" s="28">
        <f t="shared" si="117"/>
        <v>19.653538055555554</v>
      </c>
      <c r="H204" s="29">
        <v>19.899999999999999</v>
      </c>
      <c r="I204" s="19">
        <f t="shared" si="118"/>
        <v>0.24646194444444447</v>
      </c>
      <c r="J204" s="26">
        <v>4</v>
      </c>
      <c r="K204" s="26">
        <v>6</v>
      </c>
      <c r="L204" s="26">
        <v>8</v>
      </c>
      <c r="N204" s="24">
        <v>45190</v>
      </c>
      <c r="O204" s="16" cm="1">
        <f t="array" ref="O204">_xll.BADDPERIODS(N204, "PER=WD", "NUMBEROFPERIODS=2", "BUSDAYADJ=-2", "CDR=GQ", "CDR=P9")</f>
        <v>45194</v>
      </c>
      <c r="P204" s="15" cm="1">
        <f t="array" ref="P204">_xll.BDH("XAG Curncy","PX_LAST",N204,N204)</f>
        <v>23.401</v>
      </c>
      <c r="Q204" s="15" t="str" cm="1">
        <f t="array" ref="Q204">_xll.BDP("SIZ23 Comdty",$M$32)</f>
        <v>01/12/2023</v>
      </c>
      <c r="R204" s="15">
        <f t="shared" si="99"/>
        <v>67</v>
      </c>
      <c r="S204" s="23">
        <v>5.5500000000000001E-2</v>
      </c>
      <c r="T204" s="21">
        <f t="shared" si="100"/>
        <v>0.24171282916666667</v>
      </c>
      <c r="U204" s="22">
        <v>0.26</v>
      </c>
      <c r="V204" s="20">
        <f t="shared" si="101"/>
        <v>1.8287170833333337</v>
      </c>
      <c r="W204" s="15">
        <v>15</v>
      </c>
      <c r="X204" s="15">
        <v>20</v>
      </c>
      <c r="Y204" s="15">
        <v>25</v>
      </c>
      <c r="Z204" s="18">
        <f t="shared" si="102"/>
        <v>24.171282916666666</v>
      </c>
      <c r="AA204" s="18">
        <f t="shared" si="105"/>
        <v>26</v>
      </c>
      <c r="AB204" s="18">
        <f t="shared" si="106"/>
        <v>1.8287170833333337</v>
      </c>
      <c r="AE204" s="44" cm="1">
        <f t="array" ref="AE204">_xll.BDH("COMXGOLD Comdty","PX_Last", N204)</f>
        <v>20931908.140000001</v>
      </c>
      <c r="AF204" s="15" t="str" cm="1">
        <f t="array" ref="AF204">_xll.BDS("GCA Comdty","FUT_CHAIN", "CHAIN_DATE",A204,"endrow=1")</f>
        <v>GCU23 Comdty</v>
      </c>
      <c r="AG204" s="44" cm="1">
        <f t="array" ref="AG204">_xll.BDH(AF204,"FUT_AGGTE_OPEN_INT",A204)</f>
        <v>441464</v>
      </c>
      <c r="AH204" s="44">
        <f t="shared" si="91"/>
        <v>44146400</v>
      </c>
      <c r="AI204" s="48">
        <f t="shared" si="92"/>
        <v>0.47414756673250824</v>
      </c>
      <c r="AJ204" s="45"/>
      <c r="AK204" s="44" cm="1">
        <f t="array" ref="AK204">_xll.BDH("COMXSILV Comdty","PX_Last", N204)</f>
        <v>272537.03000000003</v>
      </c>
      <c r="AL204" s="15" t="str" cm="1">
        <f t="array" ref="AL204">_xll.BDS("SIA Comdty","FUT_CHAIN", "CHAIN_DATE",A204,"endrow=1")</f>
        <v>SIU23 Comdty</v>
      </c>
      <c r="AM204" s="47" cm="1">
        <f t="array" ref="AM204">_xll.BDH(AL204,"FUT_AGGTE_OPEN_INT",A204)</f>
        <v>126552</v>
      </c>
      <c r="AN204" s="45">
        <f t="shared" si="93"/>
        <v>430.71153359883692</v>
      </c>
      <c r="AO204" s="46">
        <f t="shared" si="94"/>
        <v>27253703000.000004</v>
      </c>
      <c r="AP204" s="46">
        <f t="shared" si="95"/>
        <v>632760</v>
      </c>
      <c r="AQ204" s="46"/>
    </row>
    <row r="205" spans="1:43" s="15" customFormat="1" x14ac:dyDescent="0.2">
      <c r="A205" s="24">
        <v>45191</v>
      </c>
      <c r="B205" s="25" cm="1">
        <f t="array" ref="B205">_xll.BADDPERIODS(A205, "PER=WD", "NUMBEROFPERIODS=2", "BUSDAYADJ=-2", "CDR=GQ", "CDR=P9")</f>
        <v>45195</v>
      </c>
      <c r="C205" s="26" cm="1">
        <f t="array" ref="C205">_xll.BDH("XAU Curncy","PX_LAST",A205,A205)</f>
        <v>1925.23</v>
      </c>
      <c r="D205" s="26" t="str" cm="1">
        <f t="array" ref="D205">_xll.BDP("GCZ23 Comdty",$M$32)</f>
        <v>01/12/2023</v>
      </c>
      <c r="E205" s="26">
        <f t="shared" si="116"/>
        <v>66</v>
      </c>
      <c r="F205" s="27">
        <v>5.5E-2</v>
      </c>
      <c r="G205" s="28">
        <f t="shared" si="117"/>
        <v>19.412735833333333</v>
      </c>
      <c r="H205" s="29">
        <v>19.8</v>
      </c>
      <c r="I205" s="19">
        <f t="shared" si="118"/>
        <v>0.38726416666666807</v>
      </c>
      <c r="J205" s="26">
        <v>4</v>
      </c>
      <c r="K205" s="26">
        <v>6</v>
      </c>
      <c r="L205" s="26">
        <v>8</v>
      </c>
      <c r="N205" s="24">
        <v>45191</v>
      </c>
      <c r="O205" s="16" cm="1">
        <f t="array" ref="O205">_xll.BADDPERIODS(N205, "PER=WD", "NUMBEROFPERIODS=2", "BUSDAYADJ=-2", "CDR=GQ", "CDR=P9")</f>
        <v>45195</v>
      </c>
      <c r="P205" s="15" cm="1">
        <f t="array" ref="P205">_xll.BDH("XAG Curncy","PX_LAST",N205,N205)</f>
        <v>23.561599999999999</v>
      </c>
      <c r="Q205" s="15" t="str" cm="1">
        <f t="array" ref="Q205">_xll.BDP("SIZ23 Comdty",$M$32)</f>
        <v>01/12/2023</v>
      </c>
      <c r="R205" s="15">
        <f t="shared" si="99"/>
        <v>66</v>
      </c>
      <c r="S205" s="23">
        <v>5.5500000000000001E-2</v>
      </c>
      <c r="T205" s="21">
        <f t="shared" si="100"/>
        <v>0.23973927999999997</v>
      </c>
      <c r="U205" s="22">
        <v>0.26500000000000001</v>
      </c>
      <c r="V205" s="20">
        <f t="shared" si="101"/>
        <v>2.5260720000000041</v>
      </c>
      <c r="W205" s="15">
        <v>15</v>
      </c>
      <c r="X205" s="15">
        <v>20</v>
      </c>
      <c r="Y205" s="15">
        <v>25</v>
      </c>
      <c r="Z205" s="18">
        <f t="shared" si="102"/>
        <v>23.973927999999997</v>
      </c>
      <c r="AA205" s="18">
        <f t="shared" si="105"/>
        <v>26.5</v>
      </c>
      <c r="AB205" s="18">
        <f t="shared" si="106"/>
        <v>2.5260720000000041</v>
      </c>
      <c r="AE205" s="44" cm="1">
        <f t="array" ref="AE205">_xll.BDH("COMXGOLD Comdty","PX_Last", N205)</f>
        <v>20930325.289000001</v>
      </c>
      <c r="AF205" s="15" t="str" cm="1">
        <f t="array" ref="AF205">_xll.BDS("GCA Comdty","FUT_CHAIN", "CHAIN_DATE",A205,"endrow=1")</f>
        <v>GCU23 Comdty</v>
      </c>
      <c r="AG205" s="44" cm="1">
        <f t="array" ref="AG205">_xll.BDH(AF205,"FUT_AGGTE_OPEN_INT",A205)</f>
        <v>439982</v>
      </c>
      <c r="AH205" s="44">
        <f t="shared" si="91"/>
        <v>43998200</v>
      </c>
      <c r="AI205" s="48">
        <f t="shared" si="92"/>
        <v>0.47570867192294231</v>
      </c>
      <c r="AJ205" s="45"/>
      <c r="AK205" s="44" cm="1">
        <f t="array" ref="AK205">_xll.BDH("COMXSILV Comdty","PX_Last", N205)</f>
        <v>273628.78000000003</v>
      </c>
      <c r="AL205" s="15" t="str" cm="1">
        <f t="array" ref="AL205">_xll.BDS("SIA Comdty","FUT_CHAIN", "CHAIN_DATE",A205,"endrow=1")</f>
        <v>SIU23 Comdty</v>
      </c>
      <c r="AM205" s="47" cm="1">
        <f t="array" ref="AM205">_xll.BDH(AL205,"FUT_AGGTE_OPEN_INT",A205)</f>
        <v>126349</v>
      </c>
      <c r="AN205" s="45">
        <f t="shared" si="93"/>
        <v>433.13169079296239</v>
      </c>
      <c r="AO205" s="46">
        <f t="shared" si="94"/>
        <v>27362878000.000004</v>
      </c>
      <c r="AP205" s="46">
        <f t="shared" si="95"/>
        <v>631745</v>
      </c>
      <c r="AQ205" s="46"/>
    </row>
    <row r="206" spans="1:43" s="15" customFormat="1" x14ac:dyDescent="0.2">
      <c r="A206" s="24">
        <v>45194</v>
      </c>
      <c r="B206" s="25" cm="1">
        <f t="array" ref="B206">_xll.BADDPERIODS(A206, "PER=WD", "NUMBEROFPERIODS=2", "BUSDAYADJ=-2", "CDR=GQ", "CDR=P9")</f>
        <v>45196</v>
      </c>
      <c r="C206" s="26" cm="1">
        <f t="array" ref="C206">_xll.BDH("XAU Curncy","PX_LAST",A206,A206)</f>
        <v>1915.92</v>
      </c>
      <c r="D206" s="26" t="str" cm="1">
        <f t="array" ref="D206">_xll.BDP("GCZ23 Comdty",$M$32)</f>
        <v>01/12/2023</v>
      </c>
      <c r="E206" s="26">
        <f t="shared" si="116"/>
        <v>65</v>
      </c>
      <c r="F206" s="27">
        <v>5.5E-2</v>
      </c>
      <c r="G206" s="28">
        <f t="shared" si="117"/>
        <v>19.026150000000001</v>
      </c>
      <c r="H206" s="29">
        <v>19.3</v>
      </c>
      <c r="I206" s="19">
        <f t="shared" si="118"/>
        <v>0.27384999999999948</v>
      </c>
      <c r="J206" s="26">
        <v>4</v>
      </c>
      <c r="K206" s="26">
        <v>6</v>
      </c>
      <c r="L206" s="26">
        <v>8</v>
      </c>
      <c r="N206" s="24">
        <v>45194</v>
      </c>
      <c r="O206" s="16" cm="1">
        <f t="array" ref="O206">_xll.BADDPERIODS(N206, "PER=WD", "NUMBEROFPERIODS=2", "BUSDAYADJ=-2", "CDR=GQ", "CDR=P9")</f>
        <v>45196</v>
      </c>
      <c r="P206" s="15" cm="1">
        <f t="array" ref="P206">_xll.BDH("XAG Curncy","PX_LAST",N206,N206)</f>
        <v>23.1388</v>
      </c>
      <c r="Q206" s="15" t="str" cm="1">
        <f t="array" ref="Q206">_xll.BDP("SIZ23 Comdty",$M$32)</f>
        <v>01/12/2023</v>
      </c>
      <c r="R206" s="15">
        <f t="shared" si="99"/>
        <v>65</v>
      </c>
      <c r="S206" s="23">
        <v>5.5500000000000001E-2</v>
      </c>
      <c r="T206" s="21">
        <f t="shared" si="100"/>
        <v>0.23187005833333335</v>
      </c>
      <c r="U206" s="22">
        <v>0.2525</v>
      </c>
      <c r="V206" s="20">
        <f t="shared" si="101"/>
        <v>2.0629941666666651</v>
      </c>
      <c r="W206" s="15">
        <v>15</v>
      </c>
      <c r="X206" s="15">
        <v>20</v>
      </c>
      <c r="Y206" s="15">
        <v>25</v>
      </c>
      <c r="Z206" s="18">
        <f t="shared" si="102"/>
        <v>23.187005833333334</v>
      </c>
      <c r="AA206" s="18">
        <f t="shared" si="105"/>
        <v>25.25</v>
      </c>
      <c r="AB206" s="18">
        <f t="shared" si="106"/>
        <v>2.0629941666666651</v>
      </c>
      <c r="AE206" s="44" cm="1">
        <f t="array" ref="AE206">_xll.BDH("COMXGOLD Comdty","PX_Last", N206)</f>
        <v>20892194.203000002</v>
      </c>
      <c r="AF206" s="15" t="str" cm="1">
        <f t="array" ref="AF206">_xll.BDS("GCA Comdty","FUT_CHAIN", "CHAIN_DATE",A206,"endrow=1")</f>
        <v>GCU23 Comdty</v>
      </c>
      <c r="AG206" s="44" cm="1">
        <f t="array" ref="AG206">_xll.BDH(AF206,"FUT_AGGTE_OPEN_INT",A206)</f>
        <v>437127</v>
      </c>
      <c r="AH206" s="44">
        <f t="shared" si="91"/>
        <v>43712700</v>
      </c>
      <c r="AI206" s="48">
        <f t="shared" si="92"/>
        <v>0.47794334834041369</v>
      </c>
      <c r="AJ206" s="45"/>
      <c r="AK206" s="44" cm="1">
        <f t="array" ref="AK206">_xll.BDH("COMXSILV Comdty","PX_Last", N206)</f>
        <v>271191.09000000003</v>
      </c>
      <c r="AL206" s="15" t="str" cm="1">
        <f t="array" ref="AL206">_xll.BDS("SIA Comdty","FUT_CHAIN", "CHAIN_DATE",A206,"endrow=1")</f>
        <v>SIU23 Comdty</v>
      </c>
      <c r="AM206" s="47" cm="1">
        <f t="array" ref="AM206">_xll.BDH(AL206,"FUT_AGGTE_OPEN_INT",A206)</f>
        <v>125699</v>
      </c>
      <c r="AN206" s="45">
        <f t="shared" si="93"/>
        <v>431.4928360607484</v>
      </c>
      <c r="AO206" s="46">
        <f t="shared" si="94"/>
        <v>27119109000.000004</v>
      </c>
      <c r="AP206" s="46">
        <f t="shared" si="95"/>
        <v>628495</v>
      </c>
      <c r="AQ206" s="46"/>
    </row>
    <row r="207" spans="1:43" s="15" customFormat="1" x14ac:dyDescent="0.2">
      <c r="A207" s="24">
        <v>45195</v>
      </c>
      <c r="B207" s="25" cm="1">
        <f t="array" ref="B207">_xll.BADDPERIODS(A207, "PER=WD", "NUMBEROFPERIODS=2", "BUSDAYADJ=-2", "CDR=GQ", "CDR=P9")</f>
        <v>45197</v>
      </c>
      <c r="C207" s="26" cm="1">
        <f t="array" ref="C207">_xll.BDH("XAU Curncy","PX_LAST",A207,A207)</f>
        <v>1900.65</v>
      </c>
      <c r="D207" s="26" t="str" cm="1">
        <f t="array" ref="D207">_xll.BDP("GCZ23 Comdty",$M$32)</f>
        <v>01/12/2023</v>
      </c>
      <c r="E207" s="26">
        <f t="shared" si="116"/>
        <v>64</v>
      </c>
      <c r="F207" s="27">
        <v>5.5E-2</v>
      </c>
      <c r="G207" s="28">
        <f t="shared" si="117"/>
        <v>18.584133333333337</v>
      </c>
      <c r="H207" s="29">
        <v>18.5</v>
      </c>
      <c r="I207" s="19">
        <f t="shared" si="118"/>
        <v>-8.413333333333739E-2</v>
      </c>
      <c r="J207" s="26">
        <v>4</v>
      </c>
      <c r="K207" s="26">
        <v>6</v>
      </c>
      <c r="L207" s="26">
        <v>8</v>
      </c>
      <c r="N207" s="24">
        <v>45195</v>
      </c>
      <c r="O207" s="16" cm="1">
        <f t="array" ref="O207">_xll.BADDPERIODS(N207, "PER=WD", "NUMBEROFPERIODS=2", "BUSDAYADJ=-2", "CDR=GQ", "CDR=P9")</f>
        <v>45197</v>
      </c>
      <c r="P207" s="15" cm="1">
        <f t="array" ref="P207">_xll.BDH("XAG Curncy","PX_LAST",N207,N207)</f>
        <v>22.8491</v>
      </c>
      <c r="Q207" s="15" t="str" cm="1">
        <f t="array" ref="Q207">_xll.BDP("SIZ23 Comdty",$M$32)</f>
        <v>01/12/2023</v>
      </c>
      <c r="R207" s="15">
        <f t="shared" si="99"/>
        <v>64</v>
      </c>
      <c r="S207" s="23">
        <v>5.5500000000000001E-2</v>
      </c>
      <c r="T207" s="21">
        <f t="shared" si="100"/>
        <v>0.22544445333333332</v>
      </c>
      <c r="U207" s="22">
        <v>0.2525</v>
      </c>
      <c r="V207" s="20">
        <f t="shared" si="101"/>
        <v>2.7055546666666679</v>
      </c>
      <c r="W207" s="15">
        <v>15</v>
      </c>
      <c r="X207" s="15">
        <v>20</v>
      </c>
      <c r="Y207" s="15">
        <v>25</v>
      </c>
      <c r="Z207" s="18">
        <f t="shared" si="102"/>
        <v>22.544445333333332</v>
      </c>
      <c r="AA207" s="18">
        <f t="shared" si="105"/>
        <v>25.25</v>
      </c>
      <c r="AB207" s="18">
        <f t="shared" si="106"/>
        <v>2.7055546666666679</v>
      </c>
      <c r="AE207" s="44" cm="1">
        <f t="array" ref="AE207">_xll.BDH("COMXGOLD Comdty","PX_Last", N207)</f>
        <v>20956655.412</v>
      </c>
      <c r="AF207" s="15" t="str" cm="1">
        <f t="array" ref="AF207">_xll.BDS("GCA Comdty","FUT_CHAIN", "CHAIN_DATE",A207,"endrow=1")</f>
        <v>GCU23 Comdty</v>
      </c>
      <c r="AG207" s="44" cm="1">
        <f t="array" ref="AG207">_xll.BDH(AF207,"FUT_AGGTE_OPEN_INT",A207)</f>
        <v>435620</v>
      </c>
      <c r="AH207" s="44">
        <f t="shared" si="91"/>
        <v>43562000</v>
      </c>
      <c r="AI207" s="48">
        <f t="shared" si="92"/>
        <v>0.48107652109636839</v>
      </c>
      <c r="AJ207" s="45"/>
      <c r="AK207" s="44" cm="1">
        <f t="array" ref="AK207">_xll.BDH("COMXSILV Comdty","PX_Last", N207)</f>
        <v>270652.84000000003</v>
      </c>
      <c r="AL207" s="15" t="str" cm="1">
        <f t="array" ref="AL207">_xll.BDS("SIA Comdty","FUT_CHAIN", "CHAIN_DATE",A207,"endrow=1")</f>
        <v>SIU23 Comdty</v>
      </c>
      <c r="AM207" s="47" cm="1">
        <f t="array" ref="AM207">_xll.BDH(AL207,"FUT_AGGTE_OPEN_INT",A207)</f>
        <v>126206</v>
      </c>
      <c r="AN207" s="45">
        <f t="shared" si="93"/>
        <v>428.90645452672624</v>
      </c>
      <c r="AO207" s="46">
        <f t="shared" si="94"/>
        <v>27065284000.000004</v>
      </c>
      <c r="AP207" s="46">
        <f t="shared" si="95"/>
        <v>631030</v>
      </c>
      <c r="AQ207" s="46"/>
    </row>
    <row r="208" spans="1:43" s="15" customFormat="1" x14ac:dyDescent="0.2">
      <c r="A208" s="24">
        <v>45196</v>
      </c>
      <c r="B208" s="25" cm="1">
        <f t="array" ref="B208">_xll.BADDPERIODS(A208, "PER=WD", "NUMBEROFPERIODS=2", "BUSDAYADJ=-2", "CDR=GQ", "CDR=P9")</f>
        <v>45198</v>
      </c>
      <c r="C208" s="26" cm="1">
        <f t="array" ref="C208">_xll.BDH("XAU Curncy","PX_LAST",A208,A208)</f>
        <v>1875.12</v>
      </c>
      <c r="D208" s="26" t="str" cm="1">
        <f t="array" ref="D208">_xll.BDP("GCZ23 Comdty",$M$32)</f>
        <v>01/12/2023</v>
      </c>
      <c r="E208" s="26">
        <f t="shared" si="116"/>
        <v>63</v>
      </c>
      <c r="F208" s="27">
        <v>5.4800000000000001E-2</v>
      </c>
      <c r="G208" s="28">
        <f t="shared" si="117"/>
        <v>17.982400799999997</v>
      </c>
      <c r="H208" s="29">
        <v>18</v>
      </c>
      <c r="I208" s="19">
        <f t="shared" si="118"/>
        <v>1.7599200000002924E-2</v>
      </c>
      <c r="J208" s="26">
        <v>4</v>
      </c>
      <c r="K208" s="26">
        <v>6</v>
      </c>
      <c r="L208" s="26">
        <v>8</v>
      </c>
      <c r="N208" s="24">
        <v>45196</v>
      </c>
      <c r="O208" s="16" cm="1">
        <f t="array" ref="O208">_xll.BADDPERIODS(N208, "PER=WD", "NUMBEROFPERIODS=2", "BUSDAYADJ=-2", "CDR=GQ", "CDR=P9")</f>
        <v>45198</v>
      </c>
      <c r="P208" s="15" cm="1">
        <f t="array" ref="P208">_xll.BDH("XAG Curncy","PX_LAST",N208,N208)</f>
        <v>22.5456</v>
      </c>
      <c r="Q208" s="15" t="str" cm="1">
        <f t="array" ref="Q208">_xll.BDP("SIZ23 Comdty",$M$32)</f>
        <v>01/12/2023</v>
      </c>
      <c r="R208" s="15">
        <f t="shared" si="99"/>
        <v>63</v>
      </c>
      <c r="S208" s="23">
        <v>5.5500000000000001E-2</v>
      </c>
      <c r="T208" s="21">
        <f t="shared" si="100"/>
        <v>0.21897413999999998</v>
      </c>
      <c r="U208" s="22">
        <v>0.245</v>
      </c>
      <c r="V208" s="20">
        <f t="shared" si="101"/>
        <v>2.6025860000000014</v>
      </c>
      <c r="W208" s="15">
        <v>15</v>
      </c>
      <c r="X208" s="15">
        <v>20</v>
      </c>
      <c r="Y208" s="15">
        <v>25</v>
      </c>
      <c r="Z208" s="18">
        <f t="shared" si="102"/>
        <v>21.897413999999998</v>
      </c>
      <c r="AA208" s="18">
        <f t="shared" si="105"/>
        <v>24.5</v>
      </c>
      <c r="AB208" s="18">
        <f t="shared" si="106"/>
        <v>2.6025860000000014</v>
      </c>
      <c r="AE208" s="44" cm="1">
        <f t="array" ref="AE208">_xll.BDH("COMXGOLD Comdty","PX_Last", N208)</f>
        <v>20956655.412</v>
      </c>
      <c r="AF208" s="15" t="str" cm="1">
        <f t="array" ref="AF208">_xll.BDS("GCA Comdty","FUT_CHAIN", "CHAIN_DATE",A208,"endrow=1")</f>
        <v>GCU23 Comdty</v>
      </c>
      <c r="AG208" s="44" cm="1">
        <f t="array" ref="AG208">_xll.BDH(AF208,"FUT_AGGTE_OPEN_INT",A208)</f>
        <v>430314</v>
      </c>
      <c r="AH208" s="44">
        <f t="shared" si="91"/>
        <v>43031400</v>
      </c>
      <c r="AI208" s="48">
        <f t="shared" si="92"/>
        <v>0.48700844992261466</v>
      </c>
      <c r="AJ208" s="45"/>
      <c r="AK208" s="44" cm="1">
        <f t="array" ref="AK208">_xll.BDH("COMXSILV Comdty","PX_Last", N208)</f>
        <v>271258.25</v>
      </c>
      <c r="AL208" s="15" t="str" cm="1">
        <f t="array" ref="AL208">_xll.BDS("SIA Comdty","FUT_CHAIN", "CHAIN_DATE",A208,"endrow=1")</f>
        <v>SIU23 Comdty</v>
      </c>
      <c r="AM208" s="47" cm="1">
        <f t="array" ref="AM208">_xll.BDH(AL208,"FUT_AGGTE_OPEN_INT",A208)</f>
        <v>126975</v>
      </c>
      <c r="AN208" s="45">
        <f t="shared" si="93"/>
        <v>427.26245323882654</v>
      </c>
      <c r="AO208" s="46">
        <f t="shared" si="94"/>
        <v>27125825000</v>
      </c>
      <c r="AP208" s="46">
        <f t="shared" si="95"/>
        <v>634875</v>
      </c>
      <c r="AQ208" s="46"/>
    </row>
    <row r="209" spans="1:43" s="15" customFormat="1" x14ac:dyDescent="0.2">
      <c r="A209" s="24">
        <v>45197</v>
      </c>
      <c r="B209" s="25" cm="1">
        <f t="array" ref="B209">_xll.BADDPERIODS(A209, "PER=WD", "NUMBEROFPERIODS=2", "BUSDAYADJ=-2", "CDR=GQ", "CDR=P9")</f>
        <v>45201</v>
      </c>
      <c r="C209" s="26" cm="1">
        <f t="array" ref="C209">_xll.BDH("XAU Curncy","PX_LAST",A209,A209)</f>
        <v>1864.87</v>
      </c>
      <c r="D209" s="26" t="str" cm="1">
        <f t="array" ref="D209">_xll.BDP("GCZ23 Comdty",$M$32)</f>
        <v>01/12/2023</v>
      </c>
      <c r="E209" s="26">
        <f t="shared" si="116"/>
        <v>60</v>
      </c>
      <c r="F209" s="27">
        <v>5.4800000000000001E-2</v>
      </c>
      <c r="G209" s="28">
        <f t="shared" si="117"/>
        <v>17.032479333333331</v>
      </c>
      <c r="H209" s="29">
        <v>17.05</v>
      </c>
      <c r="I209" s="19">
        <f t="shared" si="118"/>
        <v>1.7520666666669626E-2</v>
      </c>
      <c r="J209" s="26">
        <v>4</v>
      </c>
      <c r="K209" s="26">
        <v>6</v>
      </c>
      <c r="L209" s="26">
        <v>8</v>
      </c>
      <c r="N209" s="24">
        <v>45197</v>
      </c>
      <c r="O209" s="16" cm="1">
        <f t="array" ref="O209">_xll.BADDPERIODS(N209, "PER=WD", "NUMBEROFPERIODS=2", "BUSDAYADJ=-2", "CDR=GQ", "CDR=P9")</f>
        <v>45201</v>
      </c>
      <c r="P209" s="15" cm="1">
        <f t="array" ref="P209">_xll.BDH("XAG Curncy","PX_LAST",N209,N209)</f>
        <v>22.623799999999999</v>
      </c>
      <c r="Q209" s="15" t="str" cm="1">
        <f t="array" ref="Q209">_xll.BDP("SIZ23 Comdty",$M$32)</f>
        <v>01/12/2023</v>
      </c>
      <c r="R209" s="15">
        <f t="shared" si="99"/>
        <v>60</v>
      </c>
      <c r="S209" s="23">
        <v>5.5500000000000001E-2</v>
      </c>
      <c r="T209" s="21">
        <f t="shared" si="100"/>
        <v>0.20927014999999999</v>
      </c>
      <c r="U209" s="22">
        <v>0.22500000000000001</v>
      </c>
      <c r="V209" s="20">
        <f t="shared" si="101"/>
        <v>1.5729850000000019</v>
      </c>
      <c r="W209" s="15">
        <v>15</v>
      </c>
      <c r="X209" s="15">
        <v>20</v>
      </c>
      <c r="Y209" s="15">
        <v>25</v>
      </c>
      <c r="Z209" s="18">
        <f t="shared" si="102"/>
        <v>20.927014999999997</v>
      </c>
      <c r="AA209" s="18">
        <f t="shared" si="105"/>
        <v>22.5</v>
      </c>
      <c r="AB209" s="18">
        <f t="shared" si="106"/>
        <v>1.5729850000000019</v>
      </c>
      <c r="AE209" s="44" cm="1">
        <f t="array" ref="AE209">_xll.BDH("COMXGOLD Comdty","PX_Last", N209)</f>
        <v>20956430.355</v>
      </c>
      <c r="AF209" s="15" t="str" cm="1">
        <f t="array" ref="AF209">_xll.BDS("GCA Comdty","FUT_CHAIN", "CHAIN_DATE",A209,"endrow=1")</f>
        <v>GCV23 Comdty</v>
      </c>
      <c r="AG209" s="44" cm="1">
        <f t="array" ref="AG209">_xll.BDH(AF209,"FUT_AGGTE_OPEN_INT",A209)</f>
        <v>426941</v>
      </c>
      <c r="AH209" s="44">
        <f t="shared" si="91"/>
        <v>42694100</v>
      </c>
      <c r="AI209" s="48">
        <f t="shared" si="92"/>
        <v>0.49085073476194602</v>
      </c>
      <c r="AJ209" s="45"/>
      <c r="AK209" s="44" cm="1">
        <f t="array" ref="AK209">_xll.BDH("COMXSILV Comdty","PX_Last", N209)</f>
        <v>270646.38</v>
      </c>
      <c r="AL209" s="15" t="str" cm="1">
        <f t="array" ref="AL209">_xll.BDS("SIA Comdty","FUT_CHAIN", "CHAIN_DATE",A209,"endrow=1")</f>
        <v>SIV23 Comdty</v>
      </c>
      <c r="AM209" s="47" cm="1">
        <f t="array" ref="AM209">_xll.BDH(AL209,"FUT_AGGTE_OPEN_INT",A209)</f>
        <v>127232</v>
      </c>
      <c r="AN209" s="45">
        <f t="shared" si="93"/>
        <v>425.43759431589541</v>
      </c>
      <c r="AO209" s="46">
        <f t="shared" si="94"/>
        <v>27064638000</v>
      </c>
      <c r="AP209" s="46">
        <f t="shared" si="95"/>
        <v>636160</v>
      </c>
      <c r="AQ209" s="46"/>
    </row>
    <row r="210" spans="1:43" s="15" customFormat="1" x14ac:dyDescent="0.2">
      <c r="A210" s="24">
        <v>45198</v>
      </c>
      <c r="B210" s="25" cm="1">
        <f t="array" ref="B210">_xll.BADDPERIODS(A210, "PER=WD", "NUMBEROFPERIODS=2", "BUSDAYADJ=-2", "CDR=GQ", "CDR=P9")</f>
        <v>45202</v>
      </c>
      <c r="C210" s="26" cm="1">
        <f t="array" ref="C210">_xll.BDH("XAU Curncy","PX_LAST",A210,A210)</f>
        <v>1848.63</v>
      </c>
      <c r="D210" s="26" t="str" cm="1">
        <f t="array" ref="D210">_xll.BDP("GCZ23 Comdty",$M$32)</f>
        <v>01/12/2023</v>
      </c>
      <c r="E210" s="26">
        <f t="shared" si="116"/>
        <v>59</v>
      </c>
      <c r="F210" s="27">
        <v>5.45E-2</v>
      </c>
      <c r="G210" s="28">
        <f t="shared" si="117"/>
        <v>16.511860458333334</v>
      </c>
      <c r="H210" s="29">
        <v>16.399999999999999</v>
      </c>
      <c r="I210" s="19">
        <f t="shared" si="118"/>
        <v>-0.1118604583333358</v>
      </c>
      <c r="J210" s="26">
        <v>4</v>
      </c>
      <c r="K210" s="26">
        <v>6</v>
      </c>
      <c r="L210" s="26">
        <v>8</v>
      </c>
      <c r="N210" s="24">
        <v>45198</v>
      </c>
      <c r="O210" s="16" cm="1">
        <f t="array" ref="O210">_xll.BADDPERIODS(N210, "PER=WD", "NUMBEROFPERIODS=2", "BUSDAYADJ=-2", "CDR=GQ", "CDR=P9")</f>
        <v>45202</v>
      </c>
      <c r="P210" s="15" cm="1">
        <f t="array" ref="P210">_xll.BDH("XAG Curncy","PX_LAST",N210,N210)</f>
        <v>22.179500000000001</v>
      </c>
      <c r="Q210" s="15" t="str" cm="1">
        <f t="array" ref="Q210">_xll.BDP("SIZ23 Comdty",$M$32)</f>
        <v>01/12/2023</v>
      </c>
      <c r="R210" s="15">
        <f t="shared" si="99"/>
        <v>59</v>
      </c>
      <c r="S210" s="23">
        <v>5.5500000000000001E-2</v>
      </c>
      <c r="T210" s="21">
        <f t="shared" si="100"/>
        <v>0.20174103541666666</v>
      </c>
      <c r="U210" s="22">
        <v>0.23</v>
      </c>
      <c r="V210" s="20">
        <f t="shared" si="101"/>
        <v>2.825896458333335</v>
      </c>
      <c r="W210" s="15">
        <v>15</v>
      </c>
      <c r="X210" s="15">
        <v>20</v>
      </c>
      <c r="Y210" s="15">
        <v>25</v>
      </c>
      <c r="Z210" s="18">
        <f t="shared" si="102"/>
        <v>20.174103541666668</v>
      </c>
      <c r="AA210" s="18">
        <f t="shared" si="105"/>
        <v>23</v>
      </c>
      <c r="AB210" s="18">
        <f t="shared" si="106"/>
        <v>2.825896458333335</v>
      </c>
      <c r="AE210" s="44" cm="1">
        <f t="array" ref="AE210">_xll.BDH("COMXGOLD Comdty","PX_Last", N210)</f>
        <v>20912469.453000002</v>
      </c>
      <c r="AF210" s="15" t="str" cm="1">
        <f t="array" ref="AF210">_xll.BDS("GCA Comdty","FUT_CHAIN", "CHAIN_DATE",A210,"endrow=1")</f>
        <v>GCV23 Comdty</v>
      </c>
      <c r="AG210" s="44" cm="1">
        <f t="array" ref="AG210">_xll.BDH(AF210,"FUT_AGGTE_OPEN_INT",A210)</f>
        <v>432570</v>
      </c>
      <c r="AH210" s="44">
        <f t="shared" si="91"/>
        <v>43257000</v>
      </c>
      <c r="AI210" s="48">
        <f t="shared" si="92"/>
        <v>0.48344705950482009</v>
      </c>
      <c r="AJ210" s="45"/>
      <c r="AK210" s="44" cm="1">
        <f t="array" ref="AK210">_xll.BDH("COMXSILV Comdty","PX_Last", N210)</f>
        <v>270342.94</v>
      </c>
      <c r="AL210" s="15" t="str" cm="1">
        <f t="array" ref="AL210">_xll.BDS("SIA Comdty","FUT_CHAIN", "CHAIN_DATE",A210,"endrow=1")</f>
        <v>SIV23 Comdty</v>
      </c>
      <c r="AM210" s="47" cm="1">
        <f t="array" ref="AM210">_xll.BDH(AL210,"FUT_AGGTE_OPEN_INT",A210)</f>
        <v>127882</v>
      </c>
      <c r="AN210" s="45">
        <f t="shared" si="93"/>
        <v>422.80061306516944</v>
      </c>
      <c r="AO210" s="46">
        <f t="shared" si="94"/>
        <v>27034294000</v>
      </c>
      <c r="AP210" s="46">
        <f t="shared" si="95"/>
        <v>639410</v>
      </c>
      <c r="AQ210" s="46"/>
    </row>
    <row r="211" spans="1:43" s="15" customFormat="1" x14ac:dyDescent="0.2">
      <c r="A211" s="24">
        <v>45201</v>
      </c>
      <c r="B211" s="25" cm="1">
        <f t="array" ref="B211">_xll.BADDPERIODS(A211, "PER=WD", "NUMBEROFPERIODS=2", "BUSDAYADJ=-2", "CDR=GQ", "CDR=P9")</f>
        <v>45203</v>
      </c>
      <c r="C211" s="26" cm="1">
        <f t="array" ref="C211">_xll.BDH("XAU Curncy","PX_LAST",A211,A211)</f>
        <v>1828.03</v>
      </c>
      <c r="D211" s="26" t="str" cm="1">
        <f t="array" ref="D211">_xll.BDP("GCZ23 Comdty",$M$32)</f>
        <v>01/12/2023</v>
      </c>
      <c r="E211" s="26">
        <f t="shared" si="116"/>
        <v>58</v>
      </c>
      <c r="F211" s="27">
        <v>5.45E-2</v>
      </c>
      <c r="G211" s="28">
        <f t="shared" si="117"/>
        <v>16.051118972222223</v>
      </c>
      <c r="H211" s="29">
        <v>15.8</v>
      </c>
      <c r="I211" s="19">
        <f t="shared" si="118"/>
        <v>-0.25111897222222268</v>
      </c>
      <c r="J211" s="26">
        <v>4</v>
      </c>
      <c r="K211" s="26">
        <v>6</v>
      </c>
      <c r="L211" s="26">
        <v>8</v>
      </c>
      <c r="N211" s="24">
        <v>45201</v>
      </c>
      <c r="O211" s="16" cm="1">
        <f t="array" ref="O211">_xll.BADDPERIODS(N211, "PER=WD", "NUMBEROFPERIODS=2", "BUSDAYADJ=-2", "CDR=GQ", "CDR=P9")</f>
        <v>45203</v>
      </c>
      <c r="P211" s="15" cm="1">
        <f t="array" ref="P211">_xll.BDH("XAG Curncy","PX_LAST",N211,N211)</f>
        <v>21.045000000000002</v>
      </c>
      <c r="Q211" s="15" t="str" cm="1">
        <f t="array" ref="Q211">_xll.BDP("SIZ23 Comdty",$M$32)</f>
        <v>01/12/2023</v>
      </c>
      <c r="R211" s="15">
        <f t="shared" si="99"/>
        <v>58</v>
      </c>
      <c r="S211" s="23">
        <v>5.5500000000000001E-2</v>
      </c>
      <c r="T211" s="21">
        <f t="shared" si="100"/>
        <v>0.18817737500000004</v>
      </c>
      <c r="U211" s="22">
        <v>0.20499999999999999</v>
      </c>
      <c r="V211" s="20">
        <f t="shared" si="101"/>
        <v>1.6822624999999953</v>
      </c>
      <c r="W211" s="15">
        <v>15</v>
      </c>
      <c r="X211" s="15">
        <v>20</v>
      </c>
      <c r="Y211" s="15">
        <v>25</v>
      </c>
      <c r="Z211" s="18">
        <f t="shared" si="102"/>
        <v>18.817737500000003</v>
      </c>
      <c r="AA211" s="18">
        <f t="shared" si="105"/>
        <v>20.5</v>
      </c>
      <c r="AB211" s="18">
        <f t="shared" si="106"/>
        <v>1.6822624999999953</v>
      </c>
      <c r="AE211" s="44" cm="1">
        <f t="array" ref="AE211">_xll.BDH("COMXGOLD Comdty","PX_Last", N211)</f>
        <v>20912083.640999999</v>
      </c>
      <c r="AF211" s="15" t="str" cm="1">
        <f t="array" ref="AF211">_xll.BDS("GCA Comdty","FUT_CHAIN", "CHAIN_DATE",A211,"endrow=1")</f>
        <v>GCV23 Comdty</v>
      </c>
      <c r="AG211" s="44" cm="1">
        <f t="array" ref="AG211">_xll.BDH(AF211,"FUT_AGGTE_OPEN_INT",A211)</f>
        <v>433083</v>
      </c>
      <c r="AH211" s="44">
        <f t="shared" si="91"/>
        <v>43308300</v>
      </c>
      <c r="AI211" s="48">
        <f t="shared" si="92"/>
        <v>0.48286549324263478</v>
      </c>
      <c r="AJ211" s="45"/>
      <c r="AK211" s="44" cm="1">
        <f t="array" ref="AK211">_xll.BDH("COMXSILV Comdty","PX_Last", N211)</f>
        <v>270331.88</v>
      </c>
      <c r="AL211" s="15" t="str" cm="1">
        <f t="array" ref="AL211">_xll.BDS("SIA Comdty","FUT_CHAIN", "CHAIN_DATE",A211,"endrow=1")</f>
        <v>SIV23 Comdty</v>
      </c>
      <c r="AM211" s="47" cm="1">
        <f t="array" ref="AM211">_xll.BDH(AL211,"FUT_AGGTE_OPEN_INT",A211)</f>
        <v>128732</v>
      </c>
      <c r="AN211" s="45">
        <f t="shared" si="93"/>
        <v>419.99173476680232</v>
      </c>
      <c r="AO211" s="46">
        <f t="shared" si="94"/>
        <v>27033188000</v>
      </c>
      <c r="AP211" s="46">
        <f t="shared" si="95"/>
        <v>643660</v>
      </c>
      <c r="AQ211" s="46"/>
    </row>
    <row r="212" spans="1:43" s="15" customFormat="1" x14ac:dyDescent="0.2">
      <c r="A212" s="24">
        <v>45202</v>
      </c>
      <c r="B212" s="25" cm="1">
        <f t="array" ref="B212">_xll.BADDPERIODS(A212, "PER=WD", "NUMBEROFPERIODS=2", "BUSDAYADJ=-2", "CDR=GQ", "CDR=P9")</f>
        <v>45204</v>
      </c>
      <c r="C212" s="26" cm="1">
        <f t="array" ref="C212">_xll.BDH("XAU Curncy","PX_LAST",A212,A212)</f>
        <v>1823.02</v>
      </c>
      <c r="D212" s="26" t="str" cm="1">
        <f t="array" ref="D212">_xll.BDP("GCZ23 Comdty",$M$32)</f>
        <v>01/12/2023</v>
      </c>
      <c r="E212" s="26">
        <f t="shared" si="116"/>
        <v>57</v>
      </c>
      <c r="F212" s="27">
        <v>5.3999999999999999E-2</v>
      </c>
      <c r="G212" s="28">
        <f t="shared" si="117"/>
        <v>15.586821</v>
      </c>
      <c r="H212" s="29">
        <v>15.5</v>
      </c>
      <c r="I212" s="19">
        <f t="shared" si="118"/>
        <v>-8.6821000000000481E-2</v>
      </c>
      <c r="J212" s="26">
        <v>4</v>
      </c>
      <c r="K212" s="26">
        <v>6</v>
      </c>
      <c r="L212" s="26">
        <v>8</v>
      </c>
      <c r="N212" s="24">
        <v>45202</v>
      </c>
      <c r="O212" s="16" cm="1">
        <f t="array" ref="O212">_xll.BADDPERIODS(N212, "PER=WD", "NUMBEROFPERIODS=2", "BUSDAYADJ=-2", "CDR=GQ", "CDR=P9")</f>
        <v>45204</v>
      </c>
      <c r="P212" s="15" cm="1">
        <f t="array" ref="P212">_xll.BDH("XAG Curncy","PX_LAST",N212,N212)</f>
        <v>21.173100000000002</v>
      </c>
      <c r="Q212" s="15" t="str" cm="1">
        <f t="array" ref="Q212">_xll.BDP("SIZ23 Comdty",$M$32)</f>
        <v>01/12/2023</v>
      </c>
      <c r="R212" s="15">
        <f t="shared" si="99"/>
        <v>57</v>
      </c>
      <c r="S212" s="23">
        <v>5.5500000000000001E-2</v>
      </c>
      <c r="T212" s="21">
        <f t="shared" si="100"/>
        <v>0.18605861625</v>
      </c>
      <c r="U212" s="22">
        <v>0.19750000000000001</v>
      </c>
      <c r="V212" s="20">
        <f t="shared" si="101"/>
        <v>1.1441383750000007</v>
      </c>
      <c r="W212" s="15">
        <v>15</v>
      </c>
      <c r="X212" s="15">
        <v>20</v>
      </c>
      <c r="Y212" s="15">
        <v>25</v>
      </c>
      <c r="Z212" s="18">
        <f t="shared" si="102"/>
        <v>18.605861624999999</v>
      </c>
      <c r="AA212" s="18">
        <f t="shared" si="105"/>
        <v>19.75</v>
      </c>
      <c r="AB212" s="18">
        <f t="shared" si="106"/>
        <v>1.1441383750000007</v>
      </c>
      <c r="AE212" s="44" cm="1">
        <f t="array" ref="AE212">_xll.BDH("COMXGOLD Comdty","PX_Last", N212)</f>
        <v>20911922.886</v>
      </c>
      <c r="AF212" s="15" t="str" cm="1">
        <f t="array" ref="AF212">_xll.BDS("GCA Comdty","FUT_CHAIN", "CHAIN_DATE",A212,"endrow=1")</f>
        <v>GCV23 Comdty</v>
      </c>
      <c r="AG212" s="44" cm="1">
        <f t="array" ref="AG212">_xll.BDH(AF212,"FUT_AGGTE_OPEN_INT",A212)</f>
        <v>431226</v>
      </c>
      <c r="AH212" s="44">
        <f t="shared" si="91"/>
        <v>43122600</v>
      </c>
      <c r="AI212" s="48">
        <f t="shared" si="92"/>
        <v>0.48494114190702786</v>
      </c>
      <c r="AJ212" s="45"/>
      <c r="AK212" s="44" cm="1">
        <f t="array" ref="AK212">_xll.BDH("COMXSILV Comdty","PX_Last", N212)</f>
        <v>272139.96999999997</v>
      </c>
      <c r="AL212" s="15" t="str" cm="1">
        <f t="array" ref="AL212">_xll.BDS("SIA Comdty","FUT_CHAIN", "CHAIN_DATE",A212,"endrow=1")</f>
        <v>SIV23 Comdty</v>
      </c>
      <c r="AM212" s="47" cm="1">
        <f t="array" ref="AM212">_xll.BDH(AL212,"FUT_AGGTE_OPEN_INT",A212)</f>
        <v>125847</v>
      </c>
      <c r="AN212" s="45">
        <f t="shared" si="93"/>
        <v>432.49337687827278</v>
      </c>
      <c r="AO212" s="46">
        <f t="shared" si="94"/>
        <v>27213996999.999996</v>
      </c>
      <c r="AP212" s="46">
        <f t="shared" si="95"/>
        <v>629235</v>
      </c>
      <c r="AQ212" s="46"/>
    </row>
    <row r="213" spans="1:43" s="15" customFormat="1" x14ac:dyDescent="0.2">
      <c r="A213" s="24">
        <v>45203</v>
      </c>
      <c r="B213" s="25" cm="1">
        <f t="array" ref="B213">_xll.BADDPERIODS(A213, "PER=WD", "NUMBEROFPERIODS=2", "BUSDAYADJ=-2", "CDR=GQ", "CDR=P9")</f>
        <v>45205</v>
      </c>
      <c r="C213" s="26" cm="1">
        <f t="array" ref="C213">_xll.BDH("XAU Curncy","PX_LAST",A213,A213)</f>
        <v>1821.36</v>
      </c>
      <c r="D213" s="26" t="str" cm="1">
        <f t="array" ref="D213">_xll.BDP("GCZ23 Comdty",$M$32)</f>
        <v>01/12/2023</v>
      </c>
      <c r="E213" s="26">
        <f t="shared" si="116"/>
        <v>56</v>
      </c>
      <c r="F213" s="27">
        <v>5.3999999999999999E-2</v>
      </c>
      <c r="G213" s="28">
        <f t="shared" si="117"/>
        <v>15.299423999999998</v>
      </c>
      <c r="H213" s="29">
        <v>15.1</v>
      </c>
      <c r="I213" s="19">
        <f t="shared" si="118"/>
        <v>-0.19942399999999871</v>
      </c>
      <c r="J213" s="26">
        <v>4</v>
      </c>
      <c r="K213" s="26">
        <v>6</v>
      </c>
      <c r="L213" s="26">
        <v>8</v>
      </c>
      <c r="N213" s="24">
        <v>45203</v>
      </c>
      <c r="O213" s="16" cm="1">
        <f t="array" ref="O213">_xll.BADDPERIODS(N213, "PER=WD", "NUMBEROFPERIODS=2", "BUSDAYADJ=-2", "CDR=GQ", "CDR=P9")</f>
        <v>45205</v>
      </c>
      <c r="P213" s="15" cm="1">
        <f t="array" ref="P213">_xll.BDH("XAG Curncy","PX_LAST",N213,N213)</f>
        <v>21.01</v>
      </c>
      <c r="Q213" s="15" t="str" cm="1">
        <f t="array" ref="Q213">_xll.BDP("SIZ23 Comdty",$M$32)</f>
        <v>01/12/2023</v>
      </c>
      <c r="R213" s="15">
        <f t="shared" si="99"/>
        <v>56</v>
      </c>
      <c r="S213" s="23">
        <v>5.3499999999999999E-2</v>
      </c>
      <c r="T213" s="21">
        <f t="shared" si="100"/>
        <v>0.17484988888888892</v>
      </c>
      <c r="U213" s="22">
        <v>0.17499999999999999</v>
      </c>
      <c r="V213" s="20">
        <f t="shared" si="101"/>
        <v>1.5011111111107311E-2</v>
      </c>
      <c r="W213" s="15">
        <v>15</v>
      </c>
      <c r="X213" s="15">
        <v>20</v>
      </c>
      <c r="Y213" s="15">
        <v>25</v>
      </c>
      <c r="Z213" s="18">
        <f t="shared" si="102"/>
        <v>17.484988888888893</v>
      </c>
      <c r="AA213" s="18">
        <f t="shared" si="105"/>
        <v>17.5</v>
      </c>
      <c r="AB213" s="18">
        <f t="shared" si="106"/>
        <v>1.5011111111107311E-2</v>
      </c>
      <c r="AE213" s="44" cm="1">
        <f t="array" ref="AE213">_xll.BDH("COMXGOLD Comdty","PX_Last", N213)</f>
        <v>20817366.795000002</v>
      </c>
      <c r="AF213" s="15" t="str" cm="1">
        <f t="array" ref="AF213">_xll.BDS("GCA Comdty","FUT_CHAIN", "CHAIN_DATE",A213,"endrow=1")</f>
        <v>GCV23 Comdty</v>
      </c>
      <c r="AG213" s="44" cm="1">
        <f t="array" ref="AG213">_xll.BDH(AF213,"FUT_AGGTE_OPEN_INT",A213)</f>
        <v>431374</v>
      </c>
      <c r="AH213" s="44">
        <f t="shared" si="91"/>
        <v>43137400</v>
      </c>
      <c r="AI213" s="48">
        <f t="shared" si="92"/>
        <v>0.48258278883289213</v>
      </c>
      <c r="AJ213" s="45"/>
      <c r="AK213" s="44" cm="1">
        <f t="array" ref="AK213">_xll.BDH("COMXSILV Comdty","PX_Last", N213)</f>
        <v>272755.09000000003</v>
      </c>
      <c r="AL213" s="15" t="str" cm="1">
        <f t="array" ref="AL213">_xll.BDS("SIA Comdty","FUT_CHAIN", "CHAIN_DATE",A213,"endrow=1")</f>
        <v>SIV23 Comdty</v>
      </c>
      <c r="AM213" s="47" cm="1">
        <f t="array" ref="AM213">_xll.BDH(AL213,"FUT_AGGTE_OPEN_INT",A213)</f>
        <v>125278</v>
      </c>
      <c r="AN213" s="45">
        <f t="shared" si="93"/>
        <v>435.43972604926648</v>
      </c>
      <c r="AO213" s="46">
        <f t="shared" si="94"/>
        <v>27275509000.000004</v>
      </c>
      <c r="AP213" s="46">
        <f t="shared" si="95"/>
        <v>626390</v>
      </c>
      <c r="AQ213" s="46"/>
    </row>
    <row r="214" spans="1:43" s="15" customFormat="1" x14ac:dyDescent="0.2">
      <c r="A214" s="24">
        <v>45204</v>
      </c>
      <c r="B214" s="25" cm="1">
        <f t="array" ref="B214">_xll.BADDPERIODS(A214, "PER=WD", "NUMBEROFPERIODS=2", "BUSDAYADJ=-2", "CDR=GQ", "CDR=P9")</f>
        <v>45209</v>
      </c>
      <c r="C214" s="26" cm="1">
        <f t="array" ref="C214">_xll.BDH("XAU Curncy","PX_LAST",A214,A214)</f>
        <v>1820.3</v>
      </c>
      <c r="D214" s="26" t="str" cm="1">
        <f t="array" ref="D214">_xll.BDP("GCZ23 Comdty",$M$32)</f>
        <v>01/12/2023</v>
      </c>
      <c r="E214" s="26">
        <f>_xlfn.DAYS(D214,B214)</f>
        <v>52</v>
      </c>
      <c r="F214" s="27">
        <v>5.3999999999999999E-2</v>
      </c>
      <c r="G214" s="28">
        <f t="shared" si="117"/>
        <v>14.19834</v>
      </c>
      <c r="H214" s="29">
        <v>13.7</v>
      </c>
      <c r="I214" s="19">
        <f t="shared" si="118"/>
        <v>-0.49834000000000067</v>
      </c>
      <c r="J214" s="26">
        <v>4</v>
      </c>
      <c r="K214" s="26">
        <v>6</v>
      </c>
      <c r="L214" s="26">
        <v>8</v>
      </c>
      <c r="N214" s="24">
        <v>45204</v>
      </c>
      <c r="O214" s="16" cm="1">
        <f t="array" ref="O214">_xll.BADDPERIODS(N214, "PER=WD", "NUMBEROFPERIODS=2", "BUSDAYADJ=-2", "CDR=GQ", "CDR=P9")</f>
        <v>45209</v>
      </c>
      <c r="P214" s="15" cm="1">
        <f t="array" ref="P214">_xll.BDH("XAG Curncy","PX_LAST",N214,N214)</f>
        <v>20.973400000000002</v>
      </c>
      <c r="Q214" s="15" t="str" cm="1">
        <f t="array" ref="Q214">_xll.BDP("SIZ23 Comdty",$M$32)</f>
        <v>01/12/2023</v>
      </c>
      <c r="R214" s="15">
        <f t="shared" si="99"/>
        <v>52</v>
      </c>
      <c r="S214" s="23">
        <v>5.3499999999999999E-2</v>
      </c>
      <c r="T214" s="21">
        <f t="shared" si="100"/>
        <v>0.16207777444444443</v>
      </c>
      <c r="U214" s="22">
        <v>0.155</v>
      </c>
      <c r="V214" s="20">
        <f t="shared" si="101"/>
        <v>-0.70777744444444346</v>
      </c>
      <c r="W214" s="15">
        <v>15</v>
      </c>
      <c r="X214" s="15">
        <v>20</v>
      </c>
      <c r="Y214" s="15">
        <v>25</v>
      </c>
      <c r="Z214" s="18">
        <f t="shared" si="102"/>
        <v>16.207777444444442</v>
      </c>
      <c r="AA214" s="18">
        <f t="shared" si="105"/>
        <v>15.5</v>
      </c>
      <c r="AB214" s="18">
        <f t="shared" si="106"/>
        <v>-0.70777744444444346</v>
      </c>
      <c r="AE214" s="44" cm="1">
        <f t="array" ref="AE214">_xll.BDH("COMXGOLD Comdty","PX_Last", N214)</f>
        <v>20786829.07</v>
      </c>
      <c r="AF214" s="15" t="str" cm="1">
        <f t="array" ref="AF214">_xll.BDS("GCA Comdty","FUT_CHAIN", "CHAIN_DATE",A214,"endrow=1")</f>
        <v>GCV23 Comdty</v>
      </c>
      <c r="AG214" s="44" cm="1">
        <f t="array" ref="AG214">_xll.BDH(AF214,"FUT_AGGTE_OPEN_INT",A214)</f>
        <v>432849</v>
      </c>
      <c r="AH214" s="44">
        <f t="shared" si="91"/>
        <v>43284900</v>
      </c>
      <c r="AI214" s="48">
        <f t="shared" si="92"/>
        <v>0.48023280797691575</v>
      </c>
      <c r="AJ214" s="45"/>
      <c r="AK214" s="44" cm="1">
        <f t="array" ref="AK214">_xll.BDH("COMXSILV Comdty","PX_Last", N214)</f>
        <v>273225.71999999997</v>
      </c>
      <c r="AL214" s="15" t="str" cm="1">
        <f t="array" ref="AL214">_xll.BDS("SIA Comdty","FUT_CHAIN", "CHAIN_DATE",A214,"endrow=1")</f>
        <v>SIV23 Comdty</v>
      </c>
      <c r="AM214" s="47" cm="1">
        <f t="array" ref="AM214">_xll.BDH(AL214,"FUT_AGGTE_OPEN_INT",A214)</f>
        <v>128007</v>
      </c>
      <c r="AN214" s="45">
        <f t="shared" si="93"/>
        <v>426.89184185239867</v>
      </c>
      <c r="AO214" s="46">
        <f t="shared" si="94"/>
        <v>27322571999.999996</v>
      </c>
      <c r="AP214" s="46">
        <f t="shared" si="95"/>
        <v>640035</v>
      </c>
      <c r="AQ214" s="46"/>
    </row>
    <row r="215" spans="1:43" s="15" customFormat="1" x14ac:dyDescent="0.2">
      <c r="A215" s="24">
        <v>45205</v>
      </c>
      <c r="B215" s="25" cm="1">
        <f t="array" ref="B215">_xll.BADDPERIODS(A215, "PER=WD", "NUMBEROFPERIODS=2", "BUSDAYADJ=-2", "CDR=GQ", "CDR=P9")</f>
        <v>45210</v>
      </c>
      <c r="C215" s="26" cm="1">
        <f t="array" ref="C215">_xll.BDH("XAU Curncy","PX_LAST",A215,A215)</f>
        <v>1833.01</v>
      </c>
      <c r="D215" s="26" t="str" cm="1">
        <f t="array" ref="D215">_xll.BDP("GCZ23 Comdty",$M$32)</f>
        <v>01/12/2023</v>
      </c>
      <c r="E215" s="26">
        <f t="shared" si="116"/>
        <v>51</v>
      </c>
      <c r="F215" s="27">
        <v>5.3999999999999999E-2</v>
      </c>
      <c r="G215" s="28">
        <f t="shared" si="117"/>
        <v>14.022526500000001</v>
      </c>
      <c r="H215" s="29">
        <v>13.5</v>
      </c>
      <c r="I215" s="19">
        <f t="shared" si="118"/>
        <v>-0.52252650000000145</v>
      </c>
      <c r="J215" s="26">
        <v>4</v>
      </c>
      <c r="K215" s="26">
        <v>6</v>
      </c>
      <c r="L215" s="26">
        <v>8</v>
      </c>
      <c r="N215" s="24">
        <v>45205</v>
      </c>
      <c r="O215" s="16" cm="1">
        <f t="array" ref="O215">_xll.BADDPERIODS(N215, "PER=WD", "NUMBEROFPERIODS=2", "BUSDAYADJ=-2", "CDR=GQ", "CDR=P9")</f>
        <v>45210</v>
      </c>
      <c r="P215" s="15" cm="1">
        <f t="array" ref="P215">_xll.BDH("XAG Curncy","PX_LAST",N215,N215)</f>
        <v>21.603200000000001</v>
      </c>
      <c r="Q215" s="15" t="str" cm="1">
        <f t="array" ref="Q215">_xll.BDP("SIZ23 Comdty",$M$32)</f>
        <v>01/12/2023</v>
      </c>
      <c r="R215" s="15">
        <f t="shared" si="99"/>
        <v>51</v>
      </c>
      <c r="S215" s="23">
        <v>5.3499999999999999E-2</v>
      </c>
      <c r="T215" s="21">
        <f t="shared" si="100"/>
        <v>0.16373425333333333</v>
      </c>
      <c r="U215" s="22">
        <v>0.14499999999999999</v>
      </c>
      <c r="V215" s="20">
        <f t="shared" si="101"/>
        <v>-1.8734253333333339</v>
      </c>
      <c r="W215" s="15">
        <v>15</v>
      </c>
      <c r="X215" s="15">
        <v>20</v>
      </c>
      <c r="Y215" s="15">
        <v>25</v>
      </c>
      <c r="Z215" s="18">
        <f t="shared" si="102"/>
        <v>16.373425333333333</v>
      </c>
      <c r="AA215" s="18">
        <f t="shared" si="105"/>
        <v>14.499999999999998</v>
      </c>
      <c r="AB215" s="18">
        <f t="shared" si="106"/>
        <v>-1.8734253333333339</v>
      </c>
      <c r="AE215" s="44" cm="1">
        <f t="array" ref="AE215">_xll.BDH("COMXGOLD Comdty","PX_Last", N215)</f>
        <v>20749855.420000002</v>
      </c>
      <c r="AF215" s="15" t="str" cm="1">
        <f t="array" ref="AF215">_xll.BDS("GCA Comdty","FUT_CHAIN", "CHAIN_DATE",A215,"endrow=1")</f>
        <v>GCV23 Comdty</v>
      </c>
      <c r="AG215" s="44" cm="1">
        <f t="array" ref="AG215">_xll.BDH(AF215,"FUT_AGGTE_OPEN_INT",A215)</f>
        <v>434085</v>
      </c>
      <c r="AH215" s="44">
        <f t="shared" si="91"/>
        <v>43408500</v>
      </c>
      <c r="AI215" s="48">
        <f t="shared" si="92"/>
        <v>0.47801364755750608</v>
      </c>
      <c r="AJ215" s="45"/>
      <c r="AK215" s="44" cm="1">
        <f t="array" ref="AK215">_xll.BDH("COMXSILV Comdty","PX_Last", N215)</f>
        <v>273555.13</v>
      </c>
      <c r="AL215" s="15" t="str" cm="1">
        <f t="array" ref="AL215">_xll.BDS("SIA Comdty","FUT_CHAIN", "CHAIN_DATE",A215,"endrow=1")</f>
        <v>SIV23 Comdty</v>
      </c>
      <c r="AM215" s="47" cm="1">
        <f t="array" ref="AM215">_xll.BDH(AL215,"FUT_AGGTE_OPEN_INT",A215)</f>
        <v>126851</v>
      </c>
      <c r="AN215" s="45">
        <f t="shared" si="93"/>
        <v>431.30149545529792</v>
      </c>
      <c r="AO215" s="46">
        <f t="shared" si="94"/>
        <v>27355513000</v>
      </c>
      <c r="AP215" s="46">
        <f t="shared" si="95"/>
        <v>634255</v>
      </c>
      <c r="AQ215" s="46"/>
    </row>
    <row r="216" spans="1:43" s="15" customFormat="1" x14ac:dyDescent="0.2">
      <c r="A216" s="24">
        <v>45208</v>
      </c>
      <c r="B216" s="25" cm="1">
        <f t="array" ref="B216">_xll.BADDPERIODS(A216, "PER=WD", "NUMBEROFPERIODS=2", "BUSDAYADJ=-2", "CDR=GQ", "CDR=P9")</f>
        <v>45210</v>
      </c>
      <c r="C216" s="26" cm="1">
        <f t="array" ref="C216">_xll.BDH("XAU Curncy","PX_LAST",A216,A216)</f>
        <v>1861.41</v>
      </c>
      <c r="D216" s="26" t="str" cm="1">
        <f t="array" ref="D216">_xll.BDP("GCZ23 Comdty",$M$32)</f>
        <v>01/12/2023</v>
      </c>
      <c r="E216" s="26">
        <f t="shared" ref="E216:E220" si="119">_xlfn.DAYS(D216,B216)</f>
        <v>51</v>
      </c>
      <c r="F216" s="27">
        <v>5.45E-2</v>
      </c>
      <c r="G216" s="28">
        <f t="shared" ref="G216:G220" si="120">C216*(E216/360)*F216</f>
        <v>14.371636375</v>
      </c>
      <c r="H216" s="29">
        <v>13.2</v>
      </c>
      <c r="I216" s="19">
        <f t="shared" ref="I216:I220" si="121">H216-G216</f>
        <v>-1.1716363750000003</v>
      </c>
      <c r="J216" s="26">
        <v>4</v>
      </c>
      <c r="K216" s="26">
        <v>6</v>
      </c>
      <c r="L216" s="26">
        <v>8</v>
      </c>
      <c r="N216" s="24">
        <v>45208</v>
      </c>
      <c r="O216" s="16" cm="1">
        <f t="array" ref="O216">_xll.BADDPERIODS(N216, "PER=WD", "NUMBEROFPERIODS=2", "BUSDAYADJ=-2", "CDR=GQ", "CDR=P9")</f>
        <v>45210</v>
      </c>
      <c r="P216" s="15" cm="1">
        <f t="array" ref="P216">_xll.BDH("XAG Curncy","PX_LAST",N216,N216)</f>
        <v>21.88</v>
      </c>
      <c r="Q216" s="15" t="str" cm="1">
        <f t="array" ref="Q216">_xll.BDP("SIZ23 Comdty",$M$32)</f>
        <v>01/12/2023</v>
      </c>
      <c r="R216" s="15">
        <f t="shared" ref="R216:R225" si="122">_xlfn.DAYS(Q216,O216)</f>
        <v>51</v>
      </c>
      <c r="S216" s="23">
        <v>5.3499999999999999E-2</v>
      </c>
      <c r="T216" s="21">
        <f t="shared" si="100"/>
        <v>0.16583216666666664</v>
      </c>
      <c r="U216" s="22">
        <v>0.14249999999999999</v>
      </c>
      <c r="V216" s="20">
        <f t="shared" si="101"/>
        <v>-2.3332166666666652</v>
      </c>
      <c r="W216" s="15">
        <v>15</v>
      </c>
      <c r="X216" s="15">
        <v>20</v>
      </c>
      <c r="Y216" s="15">
        <v>25</v>
      </c>
      <c r="Z216" s="18">
        <f t="shared" si="102"/>
        <v>16.583216666666665</v>
      </c>
      <c r="AA216" s="18">
        <f t="shared" si="105"/>
        <v>14.249999999999998</v>
      </c>
      <c r="AB216" s="18">
        <f t="shared" si="106"/>
        <v>-2.3332166666666652</v>
      </c>
      <c r="AE216" s="44" cm="1">
        <f t="array" ref="AE216">_xll.BDH("COMXGOLD Comdty","PX_Last", N216)</f>
        <v>20717674.68</v>
      </c>
      <c r="AF216" s="15" t="str" cm="1">
        <f t="array" ref="AF216">_xll.BDS("GCA Comdty","FUT_CHAIN", "CHAIN_DATE",A216,"endrow=1")</f>
        <v>GCV23 Comdty</v>
      </c>
      <c r="AG216" s="44" cm="1">
        <f t="array" ref="AG216">_xll.BDH(AF216,"FUT_AGGTE_OPEN_INT",A216)</f>
        <v>433176</v>
      </c>
      <c r="AH216" s="44">
        <f t="shared" si="91"/>
        <v>43317600</v>
      </c>
      <c r="AI216" s="48">
        <f t="shared" si="92"/>
        <v>0.47827383511551885</v>
      </c>
      <c r="AJ216" s="45"/>
      <c r="AK216" s="44" cm="1">
        <f t="array" ref="AK216">_xll.BDH("COMXSILV Comdty","PX_Last", N216)</f>
        <v>272760.63</v>
      </c>
      <c r="AL216" s="15" t="str" cm="1">
        <f t="array" ref="AL216">_xll.BDS("SIA Comdty","FUT_CHAIN", "CHAIN_DATE",A216,"endrow=1")</f>
        <v>SIV23 Comdty</v>
      </c>
      <c r="AM216" s="47" cm="1">
        <f t="array" ref="AM216">_xll.BDH(AL216,"FUT_AGGTE_OPEN_INT",A216)</f>
        <v>126111</v>
      </c>
      <c r="AN216" s="45">
        <f t="shared" si="93"/>
        <v>432.57230535004879</v>
      </c>
      <c r="AO216" s="46">
        <f t="shared" si="94"/>
        <v>27276063000</v>
      </c>
      <c r="AP216" s="46">
        <f t="shared" si="95"/>
        <v>630555</v>
      </c>
      <c r="AQ216" s="46"/>
    </row>
    <row r="217" spans="1:43" s="15" customFormat="1" x14ac:dyDescent="0.2">
      <c r="A217" s="24">
        <v>45209</v>
      </c>
      <c r="B217" s="25" cm="1">
        <f t="array" ref="B217">_xll.BADDPERIODS(A217, "PER=WD", "NUMBEROFPERIODS=2", "BUSDAYADJ=-2", "CDR=GQ", "CDR=P9")</f>
        <v>45211</v>
      </c>
      <c r="C217" s="26" cm="1">
        <f t="array" ref="C217">_xll.BDH("XAU Curncy","PX_LAST",A217,A217)</f>
        <v>1860.4</v>
      </c>
      <c r="D217" s="26" t="str" cm="1">
        <f t="array" ref="D217">_xll.BDP("GCZ23 Comdty",$M$32)</f>
        <v>01/12/2023</v>
      </c>
      <c r="E217" s="26">
        <f t="shared" si="119"/>
        <v>50</v>
      </c>
      <c r="F217" s="27">
        <v>5.45E-2</v>
      </c>
      <c r="G217" s="28">
        <f t="shared" si="120"/>
        <v>14.082194444444445</v>
      </c>
      <c r="H217" s="29">
        <v>13.5</v>
      </c>
      <c r="I217" s="19">
        <f t="shared" si="121"/>
        <v>-0.58219444444444512</v>
      </c>
      <c r="J217" s="26">
        <v>4</v>
      </c>
      <c r="K217" s="26">
        <v>6</v>
      </c>
      <c r="L217" s="26">
        <v>8</v>
      </c>
      <c r="N217" s="24">
        <v>45209</v>
      </c>
      <c r="O217" s="16" cm="1">
        <f t="array" ref="O217">_xll.BADDPERIODS(N217, "PER=WD", "NUMBEROFPERIODS=2", "BUSDAYADJ=-2", "CDR=GQ", "CDR=P9")</f>
        <v>45211</v>
      </c>
      <c r="P217" s="15" cm="1">
        <f t="array" ref="P217">_xll.BDH("XAG Curncy","PX_LAST",N217,N217)</f>
        <v>21.842099999999999</v>
      </c>
      <c r="Q217" s="15" t="str" cm="1">
        <f t="array" ref="Q217">_xll.BDP("SIZ23 Comdty",$M$32)</f>
        <v>01/12/2023</v>
      </c>
      <c r="R217" s="15">
        <f t="shared" si="122"/>
        <v>50</v>
      </c>
      <c r="S217" s="23">
        <v>5.3499999999999999E-2</v>
      </c>
      <c r="T217" s="21">
        <f t="shared" si="100"/>
        <v>0.16229893749999999</v>
      </c>
      <c r="U217" s="22">
        <v>0.14000000000000001</v>
      </c>
      <c r="V217" s="20">
        <f t="shared" si="101"/>
        <v>-2.2298937499999978</v>
      </c>
      <c r="W217" s="15">
        <v>15</v>
      </c>
      <c r="X217" s="15">
        <v>20</v>
      </c>
      <c r="Y217" s="15">
        <v>25</v>
      </c>
      <c r="Z217" s="18">
        <f t="shared" si="102"/>
        <v>16.229893749999999</v>
      </c>
      <c r="AA217" s="18">
        <f t="shared" si="105"/>
        <v>14.000000000000002</v>
      </c>
      <c r="AB217" s="18">
        <f t="shared" si="106"/>
        <v>-2.2298937499999978</v>
      </c>
      <c r="AE217" s="44" cm="1">
        <f t="array" ref="AE217">_xll.BDH("COMXGOLD Comdty","PX_Last", N217)</f>
        <v>20460466.68</v>
      </c>
      <c r="AF217" s="15" t="str" cm="1">
        <f t="array" ref="AF217">_xll.BDS("GCA Comdty","FUT_CHAIN", "CHAIN_DATE",A217,"endrow=1")</f>
        <v>GCV23 Comdty</v>
      </c>
      <c r="AG217" s="44" cm="1">
        <f t="array" ref="AG217">_xll.BDH(AF217,"FUT_AGGTE_OPEN_INT",A217)</f>
        <v>436499</v>
      </c>
      <c r="AH217" s="44">
        <f t="shared" ref="AH217:AH280" si="123">AG217*$AG$17</f>
        <v>43649900</v>
      </c>
      <c r="AI217" s="48">
        <f t="shared" ref="AI217:AI280" si="124">AE217/AH217</f>
        <v>0.46874028760661535</v>
      </c>
      <c r="AJ217" s="45"/>
      <c r="AK217" s="44" cm="1">
        <f t="array" ref="AK217">_xll.BDH("COMXSILV Comdty","PX_Last", N217)</f>
        <v>273080.31</v>
      </c>
      <c r="AL217" s="15" t="str" cm="1">
        <f t="array" ref="AL217">_xll.BDS("SIA Comdty","FUT_CHAIN", "CHAIN_DATE",A217,"endrow=1")</f>
        <v>SIV23 Comdty</v>
      </c>
      <c r="AM217" s="47" cm="1">
        <f t="array" ref="AM217">_xll.BDH(AL217,"FUT_AGGTE_OPEN_INT",A217)</f>
        <v>126971</v>
      </c>
      <c r="AN217" s="45">
        <f t="shared" ref="AN217:AN280" si="125">(AO217/AP217)/100</f>
        <v>430.14595458805553</v>
      </c>
      <c r="AO217" s="46">
        <f t="shared" ref="AO217:AO280" si="126">AK217*100000</f>
        <v>27308031000</v>
      </c>
      <c r="AP217" s="46">
        <f t="shared" ref="AP217:AP280" si="127">(AM217*5000)/1000</f>
        <v>634855</v>
      </c>
      <c r="AQ217" s="46"/>
    </row>
    <row r="218" spans="1:43" s="15" customFormat="1" x14ac:dyDescent="0.2">
      <c r="A218" s="24">
        <v>45210</v>
      </c>
      <c r="B218" s="25" cm="1">
        <f t="array" ref="B218">_xll.BADDPERIODS(A218, "PER=WD", "NUMBEROFPERIODS=2", "BUSDAYADJ=-2", "CDR=GQ", "CDR=P9")</f>
        <v>45212</v>
      </c>
      <c r="C218" s="26" cm="1">
        <f t="array" ref="C218">_xll.BDH("XAU Curncy","PX_LAST",A218,A218)</f>
        <v>1874.36</v>
      </c>
      <c r="D218" s="26" t="str" cm="1">
        <f t="array" ref="D218">_xll.BDP("GCZ23 Comdty",$M$32)</f>
        <v>01/12/2023</v>
      </c>
      <c r="E218" s="26">
        <f t="shared" si="119"/>
        <v>49</v>
      </c>
      <c r="F218" s="27">
        <v>5.45E-2</v>
      </c>
      <c r="G218" s="28">
        <f t="shared" si="120"/>
        <v>13.904106611111109</v>
      </c>
      <c r="H218" s="29">
        <v>13.4</v>
      </c>
      <c r="I218" s="19">
        <f t="shared" si="121"/>
        <v>-0.50410661111110855</v>
      </c>
      <c r="J218" s="26">
        <v>4</v>
      </c>
      <c r="K218" s="26">
        <v>6</v>
      </c>
      <c r="L218" s="26">
        <v>8</v>
      </c>
      <c r="N218" s="24">
        <v>45210</v>
      </c>
      <c r="O218" s="16" cm="1">
        <f t="array" ref="O218">_xll.BADDPERIODS(N218, "PER=WD", "NUMBEROFPERIODS=2", "BUSDAYADJ=-2", "CDR=GQ", "CDR=P9")</f>
        <v>45212</v>
      </c>
      <c r="P218" s="15" cm="1">
        <f t="array" ref="P218">_xll.BDH("XAG Curncy","PX_LAST",N218,N218)</f>
        <v>22.037500000000001</v>
      </c>
      <c r="Q218" s="15" t="str" cm="1">
        <f t="array" ref="Q218">_xll.BDP("SIZ23 Comdty",$M$32)</f>
        <v>01/12/2023</v>
      </c>
      <c r="R218" s="15">
        <f t="shared" si="122"/>
        <v>49</v>
      </c>
      <c r="S218" s="23">
        <v>5.3499999999999999E-2</v>
      </c>
      <c r="T218" s="21">
        <f t="shared" si="100"/>
        <v>0.16047585069444442</v>
      </c>
      <c r="U218" s="22">
        <v>0.14499999999999999</v>
      </c>
      <c r="V218" s="20">
        <f t="shared" si="101"/>
        <v>-1.5475850694444433</v>
      </c>
      <c r="W218" s="15">
        <v>15</v>
      </c>
      <c r="X218" s="15">
        <v>20</v>
      </c>
      <c r="Y218" s="15">
        <v>25</v>
      </c>
      <c r="Z218" s="18">
        <f t="shared" si="102"/>
        <v>16.047585069444441</v>
      </c>
      <c r="AA218" s="18">
        <f t="shared" si="105"/>
        <v>14.499999999999998</v>
      </c>
      <c r="AB218" s="18">
        <f t="shared" si="106"/>
        <v>-1.5475850694444433</v>
      </c>
      <c r="AE218" s="44" cm="1">
        <f t="array" ref="AE218">_xll.BDH("COMXGOLD Comdty","PX_Last", N218)</f>
        <v>20399197.261</v>
      </c>
      <c r="AF218" s="15" t="str" cm="1">
        <f t="array" ref="AF218">_xll.BDS("GCA Comdty","FUT_CHAIN", "CHAIN_DATE",A218,"endrow=1")</f>
        <v>GCV23 Comdty</v>
      </c>
      <c r="AG218" s="44" cm="1">
        <f t="array" ref="AG218">_xll.BDH(AF218,"FUT_AGGTE_OPEN_INT",A218)</f>
        <v>438438</v>
      </c>
      <c r="AH218" s="44">
        <f t="shared" si="123"/>
        <v>43843800</v>
      </c>
      <c r="AI218" s="48">
        <f t="shared" si="124"/>
        <v>0.46526982745564938</v>
      </c>
      <c r="AJ218" s="45"/>
      <c r="AK218" s="44" cm="1">
        <f t="array" ref="AK218">_xll.BDH("COMXSILV Comdty","PX_Last", N218)</f>
        <v>272952.78000000003</v>
      </c>
      <c r="AL218" s="15" t="str" cm="1">
        <f t="array" ref="AL218">_xll.BDS("SIA Comdty","FUT_CHAIN", "CHAIN_DATE",A218,"endrow=1")</f>
        <v>SIV23 Comdty</v>
      </c>
      <c r="AM218" s="47" cm="1">
        <f t="array" ref="AM218">_xll.BDH(AL218,"FUT_AGGTE_OPEN_INT",A218)</f>
        <v>127233</v>
      </c>
      <c r="AN218" s="45">
        <f t="shared" si="125"/>
        <v>429.05972507132589</v>
      </c>
      <c r="AO218" s="46">
        <f t="shared" si="126"/>
        <v>27295278000.000004</v>
      </c>
      <c r="AP218" s="46">
        <f t="shared" si="127"/>
        <v>636165</v>
      </c>
      <c r="AQ218" s="46"/>
    </row>
    <row r="219" spans="1:43" s="15" customFormat="1" x14ac:dyDescent="0.2">
      <c r="A219" s="24">
        <v>45211</v>
      </c>
      <c r="B219" s="25" cm="1">
        <f t="array" ref="B219">_xll.BADDPERIODS(A219, "PER=WD", "NUMBEROFPERIODS=2", "BUSDAYADJ=-2", "CDR=GQ", "CDR=P9")</f>
        <v>45215</v>
      </c>
      <c r="C219" s="26" cm="1">
        <f t="array" ref="C219">_xll.BDH("XAU Curncy","PX_LAST",A219,A219)</f>
        <v>1868.9</v>
      </c>
      <c r="D219" s="26" t="str" cm="1">
        <f t="array" ref="D219">_xll.BDP("GCZ23 Comdty",$M$32)</f>
        <v>01/12/2023</v>
      </c>
      <c r="E219" s="26">
        <f t="shared" si="119"/>
        <v>46</v>
      </c>
      <c r="F219" s="27">
        <v>5.45E-2</v>
      </c>
      <c r="G219" s="28">
        <f t="shared" si="120"/>
        <v>13.014811944444444</v>
      </c>
      <c r="H219" s="29">
        <v>12.6</v>
      </c>
      <c r="I219" s="19">
        <f t="shared" si="121"/>
        <v>-0.41481194444444469</v>
      </c>
      <c r="J219" s="26">
        <v>4</v>
      </c>
      <c r="K219" s="26">
        <v>6</v>
      </c>
      <c r="L219" s="26">
        <v>8</v>
      </c>
      <c r="N219" s="24">
        <v>45211</v>
      </c>
      <c r="O219" s="16" cm="1">
        <f t="array" ref="O219">_xll.BADDPERIODS(N219, "PER=WD", "NUMBEROFPERIODS=2", "BUSDAYADJ=-2", "CDR=GQ", "CDR=P9")</f>
        <v>45215</v>
      </c>
      <c r="P219" s="15" cm="1">
        <f t="array" ref="P219">_xll.BDH("XAG Curncy","PX_LAST",N219,N219)</f>
        <v>21.8294</v>
      </c>
      <c r="Q219" s="15" t="str" cm="1">
        <f t="array" ref="Q219">_xll.BDP("SIZ23 Comdty",$M$32)</f>
        <v>01/12/2023</v>
      </c>
      <c r="R219" s="15">
        <f t="shared" si="122"/>
        <v>46</v>
      </c>
      <c r="S219" s="23">
        <v>5.3499999999999999E-2</v>
      </c>
      <c r="T219" s="21">
        <f t="shared" si="100"/>
        <v>0.14922820388888886</v>
      </c>
      <c r="U219" s="22">
        <v>0.155</v>
      </c>
      <c r="V219" s="20">
        <f t="shared" si="101"/>
        <v>0.57717961111111438</v>
      </c>
      <c r="W219" s="15">
        <v>15</v>
      </c>
      <c r="X219" s="15">
        <v>20</v>
      </c>
      <c r="Y219" s="15">
        <v>25</v>
      </c>
      <c r="Z219" s="18">
        <f t="shared" si="102"/>
        <v>14.922820388888885</v>
      </c>
      <c r="AA219" s="18">
        <f t="shared" si="105"/>
        <v>15.5</v>
      </c>
      <c r="AB219" s="18">
        <f t="shared" si="106"/>
        <v>0.57717961111111438</v>
      </c>
      <c r="AE219" s="44" cm="1">
        <f t="array" ref="AE219">_xll.BDH("COMXGOLD Comdty","PX_Last", N219)</f>
        <v>20327532.682</v>
      </c>
      <c r="AF219" s="15" t="str" cm="1">
        <f t="array" ref="AF219">_xll.BDS("GCA Comdty","FUT_CHAIN", "CHAIN_DATE",A219,"endrow=1")</f>
        <v>GCV23 Comdty</v>
      </c>
      <c r="AG219" s="44" cm="1">
        <f t="array" ref="AG219">_xll.BDH(AF219,"FUT_AGGTE_OPEN_INT",A219)</f>
        <v>436862</v>
      </c>
      <c r="AH219" s="44">
        <f t="shared" si="123"/>
        <v>43686200</v>
      </c>
      <c r="AI219" s="48">
        <f t="shared" si="124"/>
        <v>0.46530787026566744</v>
      </c>
      <c r="AJ219" s="45"/>
      <c r="AK219" s="44" cm="1">
        <f t="array" ref="AK219">_xll.BDH("COMXSILV Comdty","PX_Last", N219)</f>
        <v>272905.94</v>
      </c>
      <c r="AL219" s="15" t="str" cm="1">
        <f t="array" ref="AL219">_xll.BDS("SIA Comdty","FUT_CHAIN", "CHAIN_DATE",A219,"endrow=1")</f>
        <v>SIV23 Comdty</v>
      </c>
      <c r="AM219" s="47" cm="1">
        <f t="array" ref="AM219">_xll.BDH(AL219,"FUT_AGGTE_OPEN_INT",A219)</f>
        <v>127816</v>
      </c>
      <c r="AN219" s="45">
        <f t="shared" si="125"/>
        <v>427.02938599236404</v>
      </c>
      <c r="AO219" s="46">
        <f t="shared" si="126"/>
        <v>27290594000</v>
      </c>
      <c r="AP219" s="46">
        <f t="shared" si="127"/>
        <v>639080</v>
      </c>
      <c r="AQ219" s="46"/>
    </row>
    <row r="220" spans="1:43" s="15" customFormat="1" x14ac:dyDescent="0.2">
      <c r="A220" s="24">
        <v>45212</v>
      </c>
      <c r="B220" s="25" cm="1">
        <f t="array" ref="B220">_xll.BADDPERIODS(A220, "PER=WD", "NUMBEROFPERIODS=2", "BUSDAYADJ=-2", "CDR=GQ", "CDR=P9")</f>
        <v>45216</v>
      </c>
      <c r="C220" s="26" cm="1">
        <f t="array" ref="C220">_xll.BDH("XAU Curncy","PX_LAST",A220,A220)</f>
        <v>1932.82</v>
      </c>
      <c r="D220" s="26" t="str" cm="1">
        <f t="array" ref="D220">_xll.BDP("GCZ23 Comdty",$M$32)</f>
        <v>01/12/2023</v>
      </c>
      <c r="E220" s="26">
        <f t="shared" si="119"/>
        <v>45</v>
      </c>
      <c r="F220" s="27">
        <v>5.45E-2</v>
      </c>
      <c r="G220" s="28">
        <f t="shared" si="120"/>
        <v>13.16733625</v>
      </c>
      <c r="H220" s="29">
        <v>13</v>
      </c>
      <c r="I220" s="19">
        <f t="shared" si="121"/>
        <v>-0.16733624999999996</v>
      </c>
      <c r="J220" s="26">
        <v>4</v>
      </c>
      <c r="K220" s="26">
        <v>6</v>
      </c>
      <c r="L220" s="26">
        <v>8</v>
      </c>
      <c r="N220" s="24">
        <v>45212</v>
      </c>
      <c r="O220" s="16" cm="1">
        <f t="array" ref="O220">_xll.BADDPERIODS(N220, "PER=WD", "NUMBEROFPERIODS=2", "BUSDAYADJ=-2", "CDR=GQ", "CDR=P9")</f>
        <v>45216</v>
      </c>
      <c r="P220" s="15" cm="1">
        <f t="array" ref="P220">_xll.BDH("XAG Curncy","PX_LAST",N220,N220)</f>
        <v>22.720199999999998</v>
      </c>
      <c r="Q220" s="15" t="str" cm="1">
        <f t="array" ref="Q220">_xll.BDP("SIZ23 Comdty",$M$32)</f>
        <v>01/12/2023</v>
      </c>
      <c r="R220" s="15">
        <f t="shared" si="122"/>
        <v>45</v>
      </c>
      <c r="S220" s="23">
        <v>5.5500000000000001E-2</v>
      </c>
      <c r="T220" s="21">
        <f t="shared" si="100"/>
        <v>0.15762138749999999</v>
      </c>
      <c r="U220" s="22">
        <v>0.15</v>
      </c>
      <c r="V220" s="20">
        <f t="shared" si="101"/>
        <v>-0.76213874999999931</v>
      </c>
      <c r="W220" s="15">
        <v>15</v>
      </c>
      <c r="X220" s="15">
        <v>20</v>
      </c>
      <c r="Y220" s="15">
        <v>25</v>
      </c>
      <c r="Z220" s="18">
        <f t="shared" si="102"/>
        <v>15.762138749999998</v>
      </c>
      <c r="AA220" s="18">
        <f t="shared" si="105"/>
        <v>15</v>
      </c>
      <c r="AB220" s="18">
        <f t="shared" si="106"/>
        <v>-0.76213874999999931</v>
      </c>
      <c r="AE220" s="44" cm="1">
        <f t="array" ref="AE220">_xll.BDH("COMXGOLD Comdty","PX_Last", N220)</f>
        <v>20316344.134</v>
      </c>
      <c r="AF220" s="15" t="str" cm="1">
        <f t="array" ref="AF220">_xll.BDS("GCA Comdty","FUT_CHAIN", "CHAIN_DATE",A220,"endrow=1")</f>
        <v>GCV23 Comdty</v>
      </c>
      <c r="AG220" s="44" cm="1">
        <f t="array" ref="AG220">_xll.BDH(AF220,"FUT_AGGTE_OPEN_INT",A220)</f>
        <v>442054</v>
      </c>
      <c r="AH220" s="44">
        <f t="shared" si="123"/>
        <v>44205400</v>
      </c>
      <c r="AI220" s="48">
        <f t="shared" si="124"/>
        <v>0.45958964592561091</v>
      </c>
      <c r="AJ220" s="45"/>
      <c r="AK220" s="44" cm="1">
        <f t="array" ref="AK220">_xll.BDH("COMXSILV Comdty","PX_Last", N220)</f>
        <v>272905.94</v>
      </c>
      <c r="AL220" s="15" t="str" cm="1">
        <f t="array" ref="AL220">_xll.BDS("SIA Comdty","FUT_CHAIN", "CHAIN_DATE",A220,"endrow=1")</f>
        <v>SIV23 Comdty</v>
      </c>
      <c r="AM220" s="47" cm="1">
        <f t="array" ref="AM220">_xll.BDH(AL220,"FUT_AGGTE_OPEN_INT",A220)</f>
        <v>126032</v>
      </c>
      <c r="AN220" s="45">
        <f t="shared" si="125"/>
        <v>433.07404468706358</v>
      </c>
      <c r="AO220" s="46">
        <f t="shared" si="126"/>
        <v>27290594000</v>
      </c>
      <c r="AP220" s="46">
        <f t="shared" si="127"/>
        <v>630160</v>
      </c>
      <c r="AQ220" s="46"/>
    </row>
    <row r="221" spans="1:43" s="15" customFormat="1" x14ac:dyDescent="0.2">
      <c r="A221" s="24">
        <v>45215</v>
      </c>
      <c r="B221" s="25" cm="1">
        <f t="array" ref="B221">_xll.BADDPERIODS(A221, "PER=WD", "NUMBEROFPERIODS=2", "BUSDAYADJ=-2", "CDR=GQ", "CDR=P9")</f>
        <v>45217</v>
      </c>
      <c r="C221" s="26" cm="1">
        <f t="array" ref="C221">_xll.BDH("XAU Curncy","PX_LAST",A221,A221)</f>
        <v>1920.2</v>
      </c>
      <c r="D221" s="26" t="str" cm="1">
        <f t="array" ref="D221">_xll.BDP("GCZ23 Comdty",$M$32)</f>
        <v>01/12/2023</v>
      </c>
      <c r="E221" s="26">
        <f t="shared" ref="E221:E225" si="128">_xlfn.DAYS(D221,B221)</f>
        <v>44</v>
      </c>
      <c r="F221" s="27">
        <v>5.45E-2</v>
      </c>
      <c r="G221" s="28">
        <f t="shared" ref="G221:G225" si="129">C221*(E221/360)*F221</f>
        <v>12.790665555555554</v>
      </c>
      <c r="H221" s="29">
        <v>12.6</v>
      </c>
      <c r="I221" s="19">
        <f t="shared" ref="I221:I225" si="130">H221-G221</f>
        <v>-0.19066555555555453</v>
      </c>
      <c r="J221" s="26">
        <v>4</v>
      </c>
      <c r="K221" s="26">
        <v>6</v>
      </c>
      <c r="L221" s="26">
        <v>8</v>
      </c>
      <c r="N221" s="24">
        <v>45215</v>
      </c>
      <c r="O221" s="16" cm="1">
        <f t="array" ref="O221">_xll.BADDPERIODS(N221, "PER=WD", "NUMBEROFPERIODS=2", "BUSDAYADJ=-2", "CDR=GQ", "CDR=P9")</f>
        <v>45217</v>
      </c>
      <c r="P221" s="15" cm="1">
        <f t="array" ref="P221">_xll.BDH("XAG Curncy","PX_LAST",N221,N221)</f>
        <v>22.6145</v>
      </c>
      <c r="Q221" s="15" t="str" cm="1">
        <f t="array" ref="Q221">_xll.BDP("SIZ23 Comdty",$M$32)</f>
        <v>01/12/2023</v>
      </c>
      <c r="R221" s="15">
        <f t="shared" si="122"/>
        <v>44</v>
      </c>
      <c r="S221" s="23">
        <v>5.5500000000000001E-2</v>
      </c>
      <c r="T221" s="21">
        <f t="shared" ref="T221:T225" si="131">P221*(R221/360)*S221</f>
        <v>0.15340169166666665</v>
      </c>
      <c r="U221" s="22">
        <v>0.155</v>
      </c>
      <c r="V221" s="20">
        <f t="shared" ref="V221:V225" si="132">100*(U221-T221)</f>
        <v>0.15983083333333536</v>
      </c>
      <c r="W221" s="15">
        <v>15</v>
      </c>
      <c r="X221" s="15">
        <v>20</v>
      </c>
      <c r="Y221" s="15">
        <v>25</v>
      </c>
      <c r="Z221" s="18">
        <f t="shared" ref="Z221:Z225" si="133">100*T221</f>
        <v>15.340169166666664</v>
      </c>
      <c r="AA221" s="18">
        <f t="shared" si="105"/>
        <v>15.5</v>
      </c>
      <c r="AB221" s="18">
        <f t="shared" si="106"/>
        <v>0.15983083333333536</v>
      </c>
      <c r="AE221" s="44" cm="1">
        <f t="array" ref="AE221">_xll.BDH("COMXGOLD Comdty","PX_Last", N221)</f>
        <v>19919086.373</v>
      </c>
      <c r="AF221" s="15" t="str" cm="1">
        <f t="array" ref="AF221">_xll.BDS("GCA Comdty","FUT_CHAIN", "CHAIN_DATE",A221,"endrow=1")</f>
        <v>GCV23 Comdty</v>
      </c>
      <c r="AG221" s="44" cm="1">
        <f t="array" ref="AG221">_xll.BDH(AF221,"FUT_AGGTE_OPEN_INT",A221)</f>
        <v>437056</v>
      </c>
      <c r="AH221" s="44">
        <f t="shared" si="123"/>
        <v>43705600</v>
      </c>
      <c r="AI221" s="48">
        <f t="shared" si="124"/>
        <v>0.45575592997236053</v>
      </c>
      <c r="AJ221" s="45"/>
      <c r="AK221" s="44" cm="1">
        <f t="array" ref="AK221">_xll.BDH("COMXSILV Comdty","PX_Last", N221)</f>
        <v>271927.65999999997</v>
      </c>
      <c r="AL221" s="15" t="str" cm="1">
        <f t="array" ref="AL221">_xll.BDS("SIA Comdty","FUT_CHAIN", "CHAIN_DATE",A221,"endrow=1")</f>
        <v>SIV23 Comdty</v>
      </c>
      <c r="AM221" s="47" cm="1">
        <f t="array" ref="AM221">_xll.BDH(AL221,"FUT_AGGTE_OPEN_INT",A221)</f>
        <v>124157</v>
      </c>
      <c r="AN221" s="45">
        <f t="shared" si="125"/>
        <v>438.03838688112626</v>
      </c>
      <c r="AO221" s="46">
        <f t="shared" si="126"/>
        <v>27192765999.999996</v>
      </c>
      <c r="AP221" s="46">
        <f t="shared" si="127"/>
        <v>620785</v>
      </c>
      <c r="AQ221" s="46"/>
    </row>
    <row r="222" spans="1:43" s="15" customFormat="1" x14ac:dyDescent="0.2">
      <c r="A222" s="24">
        <v>45216</v>
      </c>
      <c r="B222" s="25" cm="1">
        <f t="array" ref="B222">_xll.BADDPERIODS(A222, "PER=WD", "NUMBEROFPERIODS=2", "BUSDAYADJ=-2", "CDR=GQ", "CDR=P9")</f>
        <v>45218</v>
      </c>
      <c r="C222" s="26" cm="1">
        <f t="array" ref="C222">_xll.BDH("XAU Curncy","PX_LAST",A222,A222)</f>
        <v>1923.18</v>
      </c>
      <c r="D222" s="26" t="str" cm="1">
        <f t="array" ref="D222">_xll.BDP("GCZ23 Comdty",$M$32)</f>
        <v>01/12/2023</v>
      </c>
      <c r="E222" s="26">
        <f t="shared" si="128"/>
        <v>43</v>
      </c>
      <c r="F222" s="27">
        <v>5.45E-2</v>
      </c>
      <c r="G222" s="28">
        <f t="shared" si="129"/>
        <v>12.519367583333334</v>
      </c>
      <c r="H222" s="29">
        <v>12.6</v>
      </c>
      <c r="I222" s="19">
        <f t="shared" si="130"/>
        <v>8.0632416666665208E-2</v>
      </c>
      <c r="J222" s="26">
        <v>4</v>
      </c>
      <c r="K222" s="26">
        <v>6</v>
      </c>
      <c r="L222" s="26">
        <v>8</v>
      </c>
      <c r="N222" s="24">
        <v>45216</v>
      </c>
      <c r="O222" s="16" cm="1">
        <f t="array" ref="O222">_xll.BADDPERIODS(N222, "PER=WD", "NUMBEROFPERIODS=2", "BUSDAYADJ=-2", "CDR=GQ", "CDR=P9")</f>
        <v>45218</v>
      </c>
      <c r="P222" s="15" cm="1">
        <f t="array" ref="P222">_xll.BDH("XAG Curncy","PX_LAST",N222,N222)</f>
        <v>22.809200000000001</v>
      </c>
      <c r="Q222" s="15" t="str" cm="1">
        <f t="array" ref="Q222">_xll.BDP("SIZ23 Comdty",$M$32)</f>
        <v>01/12/2023</v>
      </c>
      <c r="R222" s="15">
        <f t="shared" si="122"/>
        <v>43</v>
      </c>
      <c r="S222" s="23">
        <v>5.5500000000000001E-2</v>
      </c>
      <c r="T222" s="21">
        <f t="shared" si="131"/>
        <v>0.15120598833333335</v>
      </c>
      <c r="U222" s="22">
        <v>0.155</v>
      </c>
      <c r="V222" s="20">
        <f t="shared" si="132"/>
        <v>0.37940116666666523</v>
      </c>
      <c r="W222" s="15">
        <v>15</v>
      </c>
      <c r="X222" s="15">
        <v>20</v>
      </c>
      <c r="Y222" s="15">
        <v>25</v>
      </c>
      <c r="Z222" s="18">
        <f t="shared" si="133"/>
        <v>15.120598833333334</v>
      </c>
      <c r="AA222" s="18">
        <f t="shared" si="105"/>
        <v>15.5</v>
      </c>
      <c r="AB222" s="18">
        <f t="shared" si="106"/>
        <v>0.37940116666666523</v>
      </c>
      <c r="AE222" s="44" cm="1">
        <f t="array" ref="AE222">_xll.BDH("COMXGOLD Comdty","PX_Last", N222)</f>
        <v>19912115.967</v>
      </c>
      <c r="AF222" s="15" t="str" cm="1">
        <f t="array" ref="AF222">_xll.BDS("GCA Comdty","FUT_CHAIN", "CHAIN_DATE",A222,"endrow=1")</f>
        <v>GCV23 Comdty</v>
      </c>
      <c r="AG222" s="44" cm="1">
        <f t="array" ref="AG222">_xll.BDH(AF222,"FUT_AGGTE_OPEN_INT",A222)</f>
        <v>439581</v>
      </c>
      <c r="AH222" s="44">
        <f t="shared" si="123"/>
        <v>43958100</v>
      </c>
      <c r="AI222" s="48">
        <f t="shared" si="124"/>
        <v>0.45297945013546992</v>
      </c>
      <c r="AJ222" s="45"/>
      <c r="AK222" s="44" cm="1">
        <f t="array" ref="AK222">_xll.BDH("COMXSILV Comdty","PX_Last", N222)</f>
        <v>271951.09000000003</v>
      </c>
      <c r="AL222" s="15" t="str" cm="1">
        <f t="array" ref="AL222">_xll.BDS("SIA Comdty","FUT_CHAIN", "CHAIN_DATE",A222,"endrow=1")</f>
        <v>SIV23 Comdty</v>
      </c>
      <c r="AM222" s="47" cm="1">
        <f t="array" ref="AM222">_xll.BDH(AL222,"FUT_AGGTE_OPEN_INT",A222)</f>
        <v>123640</v>
      </c>
      <c r="AN222" s="45">
        <f t="shared" si="125"/>
        <v>439.9079424134585</v>
      </c>
      <c r="AO222" s="46">
        <f t="shared" si="126"/>
        <v>27195109000.000004</v>
      </c>
      <c r="AP222" s="46">
        <f t="shared" si="127"/>
        <v>618200</v>
      </c>
      <c r="AQ222" s="46"/>
    </row>
    <row r="223" spans="1:43" s="15" customFormat="1" x14ac:dyDescent="0.2">
      <c r="A223" s="24">
        <v>45217</v>
      </c>
      <c r="B223" s="25" cm="1">
        <f t="array" ref="B223">_xll.BADDPERIODS(A223, "PER=WD", "NUMBEROFPERIODS=2", "BUSDAYADJ=-2", "CDR=GQ", "CDR=P9")</f>
        <v>45219</v>
      </c>
      <c r="C223" s="26" cm="1">
        <f t="array" ref="C223">_xll.BDH("XAU Curncy","PX_LAST",A223,A223)</f>
        <v>1947.55</v>
      </c>
      <c r="D223" s="26" t="str" cm="1">
        <f t="array" ref="D223">_xll.BDP("GCZ23 Comdty",$M$32)</f>
        <v>01/12/2023</v>
      </c>
      <c r="E223" s="26">
        <f t="shared" si="128"/>
        <v>42</v>
      </c>
      <c r="F223" s="27">
        <v>5.45E-2</v>
      </c>
      <c r="G223" s="28">
        <f t="shared" si="129"/>
        <v>12.383172083333333</v>
      </c>
      <c r="H223" s="29">
        <v>12.55</v>
      </c>
      <c r="I223" s="19">
        <f t="shared" si="130"/>
        <v>0.16682791666666752</v>
      </c>
      <c r="J223" s="26">
        <v>4</v>
      </c>
      <c r="K223" s="26">
        <v>6</v>
      </c>
      <c r="L223" s="26">
        <v>8</v>
      </c>
      <c r="N223" s="24">
        <v>45217</v>
      </c>
      <c r="O223" s="16" cm="1">
        <f t="array" ref="O223">_xll.BADDPERIODS(N223, "PER=WD", "NUMBEROFPERIODS=2", "BUSDAYADJ=-2", "CDR=GQ", "CDR=P9")</f>
        <v>45219</v>
      </c>
      <c r="P223" s="15" cm="1">
        <f t="array" ref="P223">_xll.BDH("XAG Curncy","PX_LAST",N223,N223)</f>
        <v>22.8415</v>
      </c>
      <c r="Q223" s="15" t="str" cm="1">
        <f t="array" ref="Q223">_xll.BDP("SIZ23 Comdty",$M$32)</f>
        <v>01/12/2023</v>
      </c>
      <c r="R223" s="15">
        <f t="shared" si="122"/>
        <v>42</v>
      </c>
      <c r="S223" s="23">
        <v>5.5500000000000001E-2</v>
      </c>
      <c r="T223" s="21">
        <f t="shared" si="131"/>
        <v>0.1478987125</v>
      </c>
      <c r="U223" s="22">
        <v>0.16</v>
      </c>
      <c r="V223" s="20">
        <f t="shared" si="132"/>
        <v>1.2101287500000002</v>
      </c>
      <c r="W223" s="15">
        <v>15</v>
      </c>
      <c r="X223" s="15">
        <v>20</v>
      </c>
      <c r="Y223" s="15">
        <v>25</v>
      </c>
      <c r="Z223" s="18">
        <f t="shared" si="133"/>
        <v>14.789871250000001</v>
      </c>
      <c r="AA223" s="18">
        <f t="shared" si="105"/>
        <v>16</v>
      </c>
      <c r="AB223" s="18">
        <f t="shared" si="106"/>
        <v>1.2101287500000002</v>
      </c>
      <c r="AE223" s="44" cm="1">
        <f t="array" ref="AE223">_xll.BDH("COMXGOLD Comdty","PX_Last", N223)</f>
        <v>19863162.254000001</v>
      </c>
      <c r="AF223" s="15" t="str" cm="1">
        <f t="array" ref="AF223">_xll.BDS("GCA Comdty","FUT_CHAIN", "CHAIN_DATE",A223,"endrow=1")</f>
        <v>GCV23 Comdty</v>
      </c>
      <c r="AG223" s="44" cm="1">
        <f t="array" ref="AG223">_xll.BDH(AF223,"FUT_AGGTE_OPEN_INT",A223)</f>
        <v>446526</v>
      </c>
      <c r="AH223" s="44">
        <f t="shared" si="123"/>
        <v>44652600</v>
      </c>
      <c r="AI223" s="48">
        <f t="shared" si="124"/>
        <v>0.44483775309836382</v>
      </c>
      <c r="AJ223" s="45"/>
      <c r="AK223" s="44" cm="1">
        <f t="array" ref="AK223">_xll.BDH("COMXSILV Comdty","PX_Last", N223)</f>
        <v>271094.53000000003</v>
      </c>
      <c r="AL223" s="15" t="str" cm="1">
        <f t="array" ref="AL223">_xll.BDS("SIA Comdty","FUT_CHAIN", "CHAIN_DATE",A223,"endrow=1")</f>
        <v>SIV23 Comdty</v>
      </c>
      <c r="AM223" s="47" cm="1">
        <f t="array" ref="AM223">_xll.BDH(AL223,"FUT_AGGTE_OPEN_INT",A223)</f>
        <v>123463</v>
      </c>
      <c r="AN223" s="45">
        <f t="shared" si="125"/>
        <v>439.15104930222014</v>
      </c>
      <c r="AO223" s="46">
        <f t="shared" si="126"/>
        <v>27109453000.000004</v>
      </c>
      <c r="AP223" s="46">
        <f t="shared" si="127"/>
        <v>617315</v>
      </c>
      <c r="AQ223" s="46"/>
    </row>
    <row r="224" spans="1:43" s="15" customFormat="1" x14ac:dyDescent="0.2">
      <c r="A224" s="24">
        <v>45218</v>
      </c>
      <c r="B224" s="25" cm="1">
        <f t="array" ref="B224">_xll.BADDPERIODS(A224, "PER=WD", "NUMBEROFPERIODS=2", "BUSDAYADJ=-2", "CDR=GQ", "CDR=P9")</f>
        <v>45222</v>
      </c>
      <c r="C224" s="26" cm="1">
        <f t="array" ref="C224">_xll.BDH("XAU Curncy","PX_LAST",A224,A224)</f>
        <v>1974.46</v>
      </c>
      <c r="D224" s="26" t="str" cm="1">
        <f t="array" ref="D224">_xll.BDP("GCZ23 Comdty",$M$32)</f>
        <v>01/12/2023</v>
      </c>
      <c r="E224" s="26">
        <f t="shared" si="128"/>
        <v>39</v>
      </c>
      <c r="F224" s="27">
        <v>5.45E-2</v>
      </c>
      <c r="G224" s="28">
        <f t="shared" si="129"/>
        <v>11.657540916666667</v>
      </c>
      <c r="H224" s="29">
        <v>11.6</v>
      </c>
      <c r="I224" s="19">
        <f t="shared" si="130"/>
        <v>-5.7540916666667385E-2</v>
      </c>
      <c r="J224" s="26">
        <v>4</v>
      </c>
      <c r="K224" s="26">
        <v>6</v>
      </c>
      <c r="L224" s="26">
        <v>8</v>
      </c>
      <c r="N224" s="24">
        <v>45218</v>
      </c>
      <c r="O224" s="16" cm="1">
        <f t="array" ref="O224">_xll.BADDPERIODS(N224, "PER=WD", "NUMBEROFPERIODS=2", "BUSDAYADJ=-2", "CDR=GQ", "CDR=P9")</f>
        <v>45222</v>
      </c>
      <c r="P224" s="15" cm="1">
        <f t="array" ref="P224">_xll.BDH("XAG Curncy","PX_LAST",N224,N224)</f>
        <v>23.045200000000001</v>
      </c>
      <c r="Q224" s="15" t="str" cm="1">
        <f t="array" ref="Q224">_xll.BDP("SIZ23 Comdty",$M$32)</f>
        <v>01/12/2023</v>
      </c>
      <c r="R224" s="15">
        <f t="shared" si="122"/>
        <v>39</v>
      </c>
      <c r="S224" s="23">
        <v>5.5500000000000001E-2</v>
      </c>
      <c r="T224" s="21">
        <f t="shared" si="131"/>
        <v>0.13855926500000001</v>
      </c>
      <c r="U224" s="22">
        <v>0.14499999999999999</v>
      </c>
      <c r="V224" s="20">
        <f t="shared" si="132"/>
        <v>0.64407349999999752</v>
      </c>
      <c r="W224" s="15">
        <v>15</v>
      </c>
      <c r="X224" s="15">
        <v>20</v>
      </c>
      <c r="Y224" s="15">
        <v>25</v>
      </c>
      <c r="Z224" s="18">
        <f t="shared" si="133"/>
        <v>13.855926500000001</v>
      </c>
      <c r="AA224" s="18">
        <f t="shared" si="105"/>
        <v>14.499999999999998</v>
      </c>
      <c r="AB224" s="18">
        <f t="shared" si="106"/>
        <v>0.64407349999999752</v>
      </c>
      <c r="AE224" s="44" cm="1">
        <f t="array" ref="AE224">_xll.BDH("COMXGOLD Comdty","PX_Last", N224)</f>
        <v>19851099.307999998</v>
      </c>
      <c r="AF224" s="15" t="str" cm="1">
        <f t="array" ref="AF224">_xll.BDS("GCA Comdty","FUT_CHAIN", "CHAIN_DATE",A224,"endrow=1")</f>
        <v>GCV23 Comdty</v>
      </c>
      <c r="AG224" s="44" cm="1">
        <f t="array" ref="AG224">_xll.BDH(AF224,"FUT_AGGTE_OPEN_INT",A224)</f>
        <v>454864</v>
      </c>
      <c r="AH224" s="44">
        <f t="shared" si="123"/>
        <v>45486400</v>
      </c>
      <c r="AI224" s="48">
        <f t="shared" si="124"/>
        <v>0.43641834280136477</v>
      </c>
      <c r="AJ224" s="45"/>
      <c r="AK224" s="44" cm="1">
        <f t="array" ref="AK224">_xll.BDH("COMXSILV Comdty","PX_Last", N224)</f>
        <v>271665.5</v>
      </c>
      <c r="AL224" s="15" t="str" cm="1">
        <f t="array" ref="AL224">_xll.BDS("SIA Comdty","FUT_CHAIN", "CHAIN_DATE",A224,"endrow=1")</f>
        <v>SIV23 Comdty</v>
      </c>
      <c r="AM224" s="47" cm="1">
        <f t="array" ref="AM224">_xll.BDH(AL224,"FUT_AGGTE_OPEN_INT",A224)</f>
        <v>125360</v>
      </c>
      <c r="AN224" s="45">
        <f t="shared" si="125"/>
        <v>433.41656030631776</v>
      </c>
      <c r="AO224" s="46">
        <f t="shared" si="126"/>
        <v>27166550000</v>
      </c>
      <c r="AP224" s="46">
        <f t="shared" si="127"/>
        <v>626800</v>
      </c>
      <c r="AQ224" s="46"/>
    </row>
    <row r="225" spans="1:43" s="15" customFormat="1" x14ac:dyDescent="0.2">
      <c r="A225" s="24">
        <v>45219</v>
      </c>
      <c r="B225" s="25" cm="1">
        <f t="array" ref="B225">_xll.BADDPERIODS(A225, "PER=WD", "NUMBEROFPERIODS=2", "BUSDAYADJ=-2", "CDR=GQ", "CDR=P9")</f>
        <v>45223</v>
      </c>
      <c r="C225" s="26" cm="1">
        <f t="array" ref="C225">_xll.BDH("XAU Curncy","PX_LAST",A225,A225)</f>
        <v>1981.4</v>
      </c>
      <c r="D225" s="26" t="str" cm="1">
        <f t="array" ref="D225">_xll.BDP("GCZ23 Comdty",$M$32)</f>
        <v>01/12/2023</v>
      </c>
      <c r="E225" s="26">
        <f t="shared" si="128"/>
        <v>38</v>
      </c>
      <c r="F225" s="27">
        <v>5.45E-2</v>
      </c>
      <c r="G225" s="28">
        <f t="shared" si="129"/>
        <v>11.398553888888889</v>
      </c>
      <c r="H225" s="29">
        <v>11.8</v>
      </c>
      <c r="I225" s="19">
        <f t="shared" si="130"/>
        <v>0.40144611111111139</v>
      </c>
      <c r="J225" s="26">
        <v>4</v>
      </c>
      <c r="K225" s="26">
        <v>6</v>
      </c>
      <c r="L225" s="26">
        <v>8</v>
      </c>
      <c r="N225" s="24">
        <v>45219</v>
      </c>
      <c r="O225" s="16" cm="1">
        <f t="array" ref="O225">_xll.BADDPERIODS(N225, "PER=WD", "NUMBEROFPERIODS=2", "BUSDAYADJ=-2", "CDR=GQ", "CDR=P9")</f>
        <v>45223</v>
      </c>
      <c r="P225" s="15" cm="1">
        <f t="array" ref="P225">_xll.BDH("XAG Curncy","PX_LAST",N225,N225)</f>
        <v>23.374700000000001</v>
      </c>
      <c r="Q225" s="15" t="str" cm="1">
        <f t="array" ref="Q225">_xll.BDP("SIZ23 Comdty",$M$32)</f>
        <v>01/12/2023</v>
      </c>
      <c r="R225" s="15">
        <f t="shared" si="122"/>
        <v>38</v>
      </c>
      <c r="S225" s="23">
        <v>5.5500000000000001E-2</v>
      </c>
      <c r="T225" s="21">
        <f t="shared" si="131"/>
        <v>0.13693678416666669</v>
      </c>
      <c r="U225" s="22">
        <v>0.15</v>
      </c>
      <c r="V225" s="20">
        <f t="shared" si="132"/>
        <v>1.3063215833333308</v>
      </c>
      <c r="W225" s="15">
        <v>15</v>
      </c>
      <c r="X225" s="15">
        <v>20</v>
      </c>
      <c r="Y225" s="15">
        <v>25</v>
      </c>
      <c r="Z225" s="18">
        <f t="shared" si="133"/>
        <v>13.693678416666669</v>
      </c>
      <c r="AA225" s="18">
        <f t="shared" si="105"/>
        <v>15</v>
      </c>
      <c r="AB225" s="18">
        <f t="shared" si="106"/>
        <v>1.3063215833333308</v>
      </c>
      <c r="AE225" s="44" cm="1">
        <f t="array" ref="AE225">_xll.BDH("COMXGOLD Comdty","PX_Last", N225)</f>
        <v>19830925.136999998</v>
      </c>
      <c r="AF225" s="15" t="str" cm="1">
        <f t="array" ref="AF225">_xll.BDS("GCA Comdty","FUT_CHAIN", "CHAIN_DATE",A225,"endrow=1")</f>
        <v>GCV23 Comdty</v>
      </c>
      <c r="AG225" s="44" cm="1">
        <f t="array" ref="AG225">_xll.BDH(AF225,"FUT_AGGTE_OPEN_INT",A225)</f>
        <v>458870</v>
      </c>
      <c r="AH225" s="44">
        <f t="shared" si="123"/>
        <v>45887000</v>
      </c>
      <c r="AI225" s="48">
        <f t="shared" si="124"/>
        <v>0.43216870000217922</v>
      </c>
      <c r="AJ225" s="45"/>
      <c r="AK225" s="44" cm="1">
        <f t="array" ref="AK225">_xll.BDH("COMXSILV Comdty","PX_Last", N225)</f>
        <v>271677.38</v>
      </c>
      <c r="AL225" s="15" t="str" cm="1">
        <f t="array" ref="AL225">_xll.BDS("SIA Comdty","FUT_CHAIN", "CHAIN_DATE",A225,"endrow=1")</f>
        <v>SIV23 Comdty</v>
      </c>
      <c r="AM225" s="47" cm="1">
        <f t="array" ref="AM225">_xll.BDH(AL225,"FUT_AGGTE_OPEN_INT",A225)</f>
        <v>125199</v>
      </c>
      <c r="AN225" s="45">
        <f t="shared" si="125"/>
        <v>433.99289131702329</v>
      </c>
      <c r="AO225" s="46">
        <f t="shared" si="126"/>
        <v>27167738000</v>
      </c>
      <c r="AP225" s="46">
        <f t="shared" si="127"/>
        <v>625995</v>
      </c>
      <c r="AQ225" s="46"/>
    </row>
    <row r="226" spans="1:43" s="15" customFormat="1" x14ac:dyDescent="0.2">
      <c r="A226" s="24">
        <v>45222</v>
      </c>
      <c r="B226" s="25" cm="1">
        <f t="array" ref="B226">_xll.BADDPERIODS(A226, "PER=WD", "NUMBEROFPERIODS=2", "BUSDAYADJ=-2", "CDR=GQ", "CDR=P9")</f>
        <v>45224</v>
      </c>
      <c r="C226" s="26" cm="1">
        <f t="array" ref="C226">_xll.BDH("XAU Curncy","PX_LAST",A226,A226)</f>
        <v>1972.85</v>
      </c>
      <c r="D226" s="26" t="str" cm="1">
        <f t="array" ref="D226">_xll.BDP("GCZ23 Comdty",$M$32)</f>
        <v>01/12/2023</v>
      </c>
      <c r="E226" s="26">
        <f t="shared" ref="E226:E230" si="134">_xlfn.DAYS(D226,B226)</f>
        <v>37</v>
      </c>
      <c r="F226" s="27">
        <v>5.5E-2</v>
      </c>
      <c r="G226" s="28">
        <f t="shared" ref="G226:G230" si="135">C226*(E226/360)*F226</f>
        <v>11.152082638888889</v>
      </c>
      <c r="H226" s="29">
        <v>11.2</v>
      </c>
      <c r="I226" s="19">
        <f t="shared" ref="I226:I230" si="136">H226-G226</f>
        <v>4.7917361111110779E-2</v>
      </c>
      <c r="J226" s="26">
        <v>4</v>
      </c>
      <c r="K226" s="26">
        <v>6</v>
      </c>
      <c r="L226" s="26">
        <v>8</v>
      </c>
      <c r="N226" s="24">
        <v>45222</v>
      </c>
      <c r="O226" s="16" cm="1">
        <f t="array" ref="O226">_xll.BADDPERIODS(N226, "PER=WD", "NUMBEROFPERIODS=2", "BUSDAYADJ=-2", "CDR=GQ", "CDR=P9")</f>
        <v>45224</v>
      </c>
      <c r="P226" s="15" cm="1">
        <f t="array" ref="P226">_xll.BDH("XAG Curncy","PX_LAST",N226,N226)</f>
        <v>22.977499999999999</v>
      </c>
      <c r="Q226" s="15" t="str" cm="1">
        <f t="array" ref="Q226">_xll.BDP("SIZ23 Comdty",$M$32)</f>
        <v>01/12/2023</v>
      </c>
      <c r="R226" s="15">
        <f t="shared" ref="R226:R235" si="137">_xlfn.DAYS(Q226,O226)</f>
        <v>37</v>
      </c>
      <c r="S226" s="23">
        <v>5.5500000000000001E-2</v>
      </c>
      <c r="T226" s="21">
        <f t="shared" ref="T226:T235" si="138">P226*(R226/360)*S226</f>
        <v>0.13106748958333331</v>
      </c>
      <c r="U226" s="22">
        <v>0.14000000000000001</v>
      </c>
      <c r="V226" s="20">
        <f t="shared" ref="V226:V235" si="139">100*(U226-T226)</f>
        <v>0.89325104166667058</v>
      </c>
      <c r="W226" s="15">
        <v>15</v>
      </c>
      <c r="X226" s="15">
        <v>20</v>
      </c>
      <c r="Y226" s="15">
        <v>25</v>
      </c>
      <c r="Z226" s="18">
        <f t="shared" ref="Z226:Z235" si="140">100*T226</f>
        <v>13.106748958333331</v>
      </c>
      <c r="AA226" s="18">
        <f t="shared" ref="AA226:AA235" si="141">U226*100</f>
        <v>14.000000000000002</v>
      </c>
      <c r="AB226" s="18">
        <f t="shared" ref="AB226:AB235" si="142">V226</f>
        <v>0.89325104166667058</v>
      </c>
      <c r="AE226" s="44" cm="1">
        <f t="array" ref="AE226">_xll.BDH("COMXGOLD Comdty","PX_Last", N226)</f>
        <v>19829317.587000001</v>
      </c>
      <c r="AF226" s="15" t="str" cm="1">
        <f t="array" ref="AF226">_xll.BDS("GCA Comdty","FUT_CHAIN", "CHAIN_DATE",A226,"endrow=1")</f>
        <v>GCV23 Comdty</v>
      </c>
      <c r="AG226" s="44" cm="1">
        <f t="array" ref="AG226">_xll.BDH(AF226,"FUT_AGGTE_OPEN_INT",A226)</f>
        <v>461986</v>
      </c>
      <c r="AH226" s="44">
        <f t="shared" si="123"/>
        <v>46198600</v>
      </c>
      <c r="AI226" s="48">
        <f t="shared" si="124"/>
        <v>0.42921901501344201</v>
      </c>
      <c r="AJ226" s="45"/>
      <c r="AK226" s="44" cm="1">
        <f t="array" ref="AK226">_xll.BDH("COMXSILV Comdty","PX_Last", N226)</f>
        <v>269932.19</v>
      </c>
      <c r="AL226" s="15" t="str" cm="1">
        <f t="array" ref="AL226">_xll.BDS("SIA Comdty","FUT_CHAIN", "CHAIN_DATE",A226,"endrow=1")</f>
        <v>SIV23 Comdty</v>
      </c>
      <c r="AM226" s="47" cm="1">
        <f t="array" ref="AM226">_xll.BDH(AL226,"FUT_AGGTE_OPEN_INT",A226)</f>
        <v>124506</v>
      </c>
      <c r="AN226" s="45">
        <f t="shared" si="125"/>
        <v>433.6051114002538</v>
      </c>
      <c r="AO226" s="46">
        <f t="shared" si="126"/>
        <v>26993219000</v>
      </c>
      <c r="AP226" s="46">
        <f t="shared" si="127"/>
        <v>622530</v>
      </c>
      <c r="AQ226" s="46"/>
    </row>
    <row r="227" spans="1:43" s="15" customFormat="1" x14ac:dyDescent="0.2">
      <c r="A227" s="24">
        <v>45223</v>
      </c>
      <c r="B227" s="25" cm="1">
        <f t="array" ref="B227">_xll.BADDPERIODS(A227, "PER=WD", "NUMBEROFPERIODS=2", "BUSDAYADJ=-2", "CDR=GQ", "CDR=P9")</f>
        <v>45225</v>
      </c>
      <c r="C227" s="26" cm="1">
        <f t="array" ref="C227">_xll.BDH("XAU Curncy","PX_LAST",A227,A227)</f>
        <v>1970.97</v>
      </c>
      <c r="D227" s="26" t="str" cm="1">
        <f t="array" ref="D227">_xll.BDP("GCZ23 Comdty",$M$32)</f>
        <v>01/12/2023</v>
      </c>
      <c r="E227" s="26">
        <f t="shared" si="134"/>
        <v>36</v>
      </c>
      <c r="F227" s="27">
        <v>5.5E-2</v>
      </c>
      <c r="G227" s="28">
        <f t="shared" si="135"/>
        <v>10.840335000000001</v>
      </c>
      <c r="H227" s="29">
        <v>11.2</v>
      </c>
      <c r="I227" s="19">
        <f t="shared" si="136"/>
        <v>0.3596649999999979</v>
      </c>
      <c r="J227" s="26">
        <v>4</v>
      </c>
      <c r="K227" s="26">
        <v>6</v>
      </c>
      <c r="L227" s="26">
        <v>8</v>
      </c>
      <c r="N227" s="24">
        <v>45223</v>
      </c>
      <c r="O227" s="16" cm="1">
        <f t="array" ref="O227">_xll.BADDPERIODS(N227, "PER=WD", "NUMBEROFPERIODS=2", "BUSDAYADJ=-2", "CDR=GQ", "CDR=P9")</f>
        <v>45225</v>
      </c>
      <c r="P227" s="15" cm="1">
        <f t="array" ref="P227">_xll.BDH("XAG Curncy","PX_LAST",N227,N227)</f>
        <v>22.916699999999999</v>
      </c>
      <c r="Q227" s="15" t="str" cm="1">
        <f t="array" ref="Q227">_xll.BDP("SIZ23 Comdty",$M$32)</f>
        <v>01/12/2023</v>
      </c>
      <c r="R227" s="15">
        <f t="shared" si="137"/>
        <v>36</v>
      </c>
      <c r="S227" s="23">
        <v>5.5500000000000001E-2</v>
      </c>
      <c r="T227" s="21">
        <f t="shared" si="138"/>
        <v>0.12718768499999999</v>
      </c>
      <c r="U227" s="22">
        <v>0.14000000000000001</v>
      </c>
      <c r="V227" s="20">
        <f t="shared" si="139"/>
        <v>1.2812315000000019</v>
      </c>
      <c r="W227" s="15">
        <v>15</v>
      </c>
      <c r="X227" s="15">
        <v>20</v>
      </c>
      <c r="Y227" s="15">
        <v>25</v>
      </c>
      <c r="Z227" s="18">
        <f t="shared" si="140"/>
        <v>12.718768499999999</v>
      </c>
      <c r="AA227" s="18">
        <f t="shared" si="141"/>
        <v>14.000000000000002</v>
      </c>
      <c r="AB227" s="18">
        <f t="shared" si="142"/>
        <v>1.2812315000000019</v>
      </c>
      <c r="AE227" s="44" cm="1">
        <f t="array" ref="AE227">_xll.BDH("COMXGOLD Comdty","PX_Last", N227)</f>
        <v>19850264.173</v>
      </c>
      <c r="AF227" s="15" t="str" cm="1">
        <f t="array" ref="AF227">_xll.BDS("GCA Comdty","FUT_CHAIN", "CHAIN_DATE",A227,"endrow=1")</f>
        <v>GCV23 Comdty</v>
      </c>
      <c r="AG227" s="44" cm="1">
        <f t="array" ref="AG227">_xll.BDH(AF227,"FUT_AGGTE_OPEN_INT",A227)</f>
        <v>463476</v>
      </c>
      <c r="AH227" s="44">
        <f t="shared" si="123"/>
        <v>46347600</v>
      </c>
      <c r="AI227" s="48">
        <f t="shared" si="124"/>
        <v>0.42829109108130736</v>
      </c>
      <c r="AJ227" s="45"/>
      <c r="AK227" s="44" cm="1">
        <f t="array" ref="AK227">_xll.BDH("COMXSILV Comdty","PX_Last", N227)</f>
        <v>270485.69</v>
      </c>
      <c r="AL227" s="15" t="str" cm="1">
        <f t="array" ref="AL227">_xll.BDS("SIA Comdty","FUT_CHAIN", "CHAIN_DATE",A227,"endrow=1")</f>
        <v>SIV23 Comdty</v>
      </c>
      <c r="AM227" s="47" cm="1">
        <f t="array" ref="AM227">_xll.BDH(AL227,"FUT_AGGTE_OPEN_INT",A227)</f>
        <v>123980</v>
      </c>
      <c r="AN227" s="45">
        <f t="shared" si="125"/>
        <v>436.33761897080177</v>
      </c>
      <c r="AO227" s="46">
        <f t="shared" si="126"/>
        <v>27048569000</v>
      </c>
      <c r="AP227" s="46">
        <f t="shared" si="127"/>
        <v>619900</v>
      </c>
      <c r="AQ227" s="46"/>
    </row>
    <row r="228" spans="1:43" s="15" customFormat="1" x14ac:dyDescent="0.2">
      <c r="A228" s="24">
        <v>45224</v>
      </c>
      <c r="B228" s="25" cm="1">
        <f t="array" ref="B228">_xll.BADDPERIODS(A228, "PER=WD", "NUMBEROFPERIODS=2", "BUSDAYADJ=-2", "CDR=GQ", "CDR=P9")</f>
        <v>45226</v>
      </c>
      <c r="C228" s="26" cm="1">
        <f t="array" ref="C228">_xll.BDH("XAU Curncy","PX_LAST",A228,A228)</f>
        <v>1979.72</v>
      </c>
      <c r="D228" s="26" t="str" cm="1">
        <f t="array" ref="D228">_xll.BDP("GCZ23 Comdty",$M$32)</f>
        <v>01/12/2023</v>
      </c>
      <c r="E228" s="26">
        <f t="shared" si="134"/>
        <v>35</v>
      </c>
      <c r="F228" s="27">
        <v>5.5E-2</v>
      </c>
      <c r="G228" s="28">
        <f t="shared" si="135"/>
        <v>10.586002777777779</v>
      </c>
      <c r="H228" s="29">
        <v>10.95</v>
      </c>
      <c r="I228" s="19">
        <f t="shared" si="136"/>
        <v>0.36399722222222053</v>
      </c>
      <c r="J228" s="26">
        <v>4</v>
      </c>
      <c r="K228" s="26">
        <v>6</v>
      </c>
      <c r="L228" s="26">
        <v>8</v>
      </c>
      <c r="N228" s="24">
        <v>45224</v>
      </c>
      <c r="O228" s="16" cm="1">
        <f t="array" ref="O228">_xll.BADDPERIODS(N228, "PER=WD", "NUMBEROFPERIODS=2", "BUSDAYADJ=-2", "CDR=GQ", "CDR=P9")</f>
        <v>45226</v>
      </c>
      <c r="P228" s="15" cm="1">
        <f t="array" ref="P228">_xll.BDH("XAG Curncy","PX_LAST",N228,N228)</f>
        <v>22.864999999999998</v>
      </c>
      <c r="Q228" s="15" t="str" cm="1">
        <f t="array" ref="Q228">_xll.BDP("SIZ23 Comdty",$M$32)</f>
        <v>01/12/2023</v>
      </c>
      <c r="R228" s="15">
        <f t="shared" si="137"/>
        <v>35</v>
      </c>
      <c r="S228" s="23">
        <v>5.5500000000000001E-2</v>
      </c>
      <c r="T228" s="21">
        <f t="shared" si="138"/>
        <v>0.12337572916666667</v>
      </c>
      <c r="U228" s="22">
        <v>0.13</v>
      </c>
      <c r="V228" s="20">
        <f t="shared" si="139"/>
        <v>0.66242708333333344</v>
      </c>
      <c r="W228" s="15">
        <v>15</v>
      </c>
      <c r="X228" s="15">
        <v>20</v>
      </c>
      <c r="Y228" s="15">
        <v>25</v>
      </c>
      <c r="Z228" s="18">
        <f t="shared" si="140"/>
        <v>12.337572916666668</v>
      </c>
      <c r="AA228" s="18">
        <f t="shared" si="141"/>
        <v>13</v>
      </c>
      <c r="AB228" s="18">
        <f t="shared" si="142"/>
        <v>0.66242708333333344</v>
      </c>
      <c r="AE228" s="44" cm="1">
        <f t="array" ref="AE228">_xll.BDH("COMXGOLD Comdty","PX_Last", N228)</f>
        <v>19850264.173</v>
      </c>
      <c r="AF228" s="15" t="str" cm="1">
        <f t="array" ref="AF228">_xll.BDS("GCA Comdty","FUT_CHAIN", "CHAIN_DATE",A228,"endrow=1")</f>
        <v>GCV23 Comdty</v>
      </c>
      <c r="AG228" s="44" cm="1">
        <f t="array" ref="AG228">_xll.BDH(AF228,"FUT_AGGTE_OPEN_INT",A228)</f>
        <v>467547</v>
      </c>
      <c r="AH228" s="44">
        <f t="shared" si="123"/>
        <v>46754700</v>
      </c>
      <c r="AI228" s="48">
        <f t="shared" si="124"/>
        <v>0.42456189801239236</v>
      </c>
      <c r="AJ228" s="45"/>
      <c r="AK228" s="44" cm="1">
        <f t="array" ref="AK228">_xll.BDH("COMXSILV Comdty","PX_Last", N228)</f>
        <v>270485.69</v>
      </c>
      <c r="AL228" s="15" t="str" cm="1">
        <f t="array" ref="AL228">_xll.BDS("SIA Comdty","FUT_CHAIN", "CHAIN_DATE",A228,"endrow=1")</f>
        <v>SIV23 Comdty</v>
      </c>
      <c r="AM228" s="47" cm="1">
        <f t="array" ref="AM228">_xll.BDH(AL228,"FUT_AGGTE_OPEN_INT",A228)</f>
        <v>124350</v>
      </c>
      <c r="AN228" s="45">
        <f t="shared" si="125"/>
        <v>435.03930840369924</v>
      </c>
      <c r="AO228" s="46">
        <f t="shared" si="126"/>
        <v>27048569000</v>
      </c>
      <c r="AP228" s="46">
        <f t="shared" si="127"/>
        <v>621750</v>
      </c>
      <c r="AQ228" s="46"/>
    </row>
    <row r="229" spans="1:43" s="15" customFormat="1" x14ac:dyDescent="0.2">
      <c r="A229" s="24">
        <v>45225</v>
      </c>
      <c r="B229" s="25" cm="1">
        <f t="array" ref="B229">_xll.BADDPERIODS(A229, "PER=WD", "NUMBEROFPERIODS=2", "BUSDAYADJ=-2", "CDR=GQ", "CDR=P9")</f>
        <v>45229</v>
      </c>
      <c r="C229" s="26" cm="1">
        <f t="array" ref="C229">_xll.BDH("XAU Curncy","PX_LAST",A229,A229)</f>
        <v>1984.71</v>
      </c>
      <c r="D229" s="26" t="str" cm="1">
        <f t="array" ref="D229">_xll.BDP("GCZ23 Comdty",$M$32)</f>
        <v>01/12/2023</v>
      </c>
      <c r="E229" s="26">
        <f t="shared" si="134"/>
        <v>32</v>
      </c>
      <c r="F229" s="27">
        <v>5.5E-2</v>
      </c>
      <c r="G229" s="28">
        <f t="shared" si="135"/>
        <v>9.7030266666666662</v>
      </c>
      <c r="H229" s="29">
        <v>10.1</v>
      </c>
      <c r="I229" s="19">
        <f t="shared" si="136"/>
        <v>0.3969733333333334</v>
      </c>
      <c r="J229" s="26">
        <v>4</v>
      </c>
      <c r="K229" s="26">
        <v>6</v>
      </c>
      <c r="L229" s="26">
        <v>8</v>
      </c>
      <c r="N229" s="24">
        <v>45225</v>
      </c>
      <c r="O229" s="16" cm="1">
        <f t="array" ref="O229">_xll.BADDPERIODS(N229, "PER=WD", "NUMBEROFPERIODS=2", "BUSDAYADJ=-2", "CDR=GQ", "CDR=P9")</f>
        <v>45229</v>
      </c>
      <c r="P229" s="15" cm="1">
        <f t="array" ref="P229">_xll.BDH("XAG Curncy","PX_LAST",N229,N229)</f>
        <v>22.795000000000002</v>
      </c>
      <c r="Q229" s="15" t="str" cm="1">
        <f t="array" ref="Q229">_xll.BDP("SIZ23 Comdty",$M$32)</f>
        <v>01/12/2023</v>
      </c>
      <c r="R229" s="15">
        <f t="shared" si="137"/>
        <v>32</v>
      </c>
      <c r="S229" s="23">
        <v>5.5500000000000001E-2</v>
      </c>
      <c r="T229" s="21">
        <f t="shared" si="138"/>
        <v>0.11245533333333335</v>
      </c>
      <c r="U229" s="22">
        <v>0.125</v>
      </c>
      <c r="V229" s="20">
        <f t="shared" si="139"/>
        <v>1.2544666666666648</v>
      </c>
      <c r="W229" s="15">
        <v>15</v>
      </c>
      <c r="X229" s="15">
        <v>20</v>
      </c>
      <c r="Y229" s="15">
        <v>25</v>
      </c>
      <c r="Z229" s="18">
        <f t="shared" si="140"/>
        <v>11.245533333333334</v>
      </c>
      <c r="AA229" s="18">
        <f t="shared" si="141"/>
        <v>12.5</v>
      </c>
      <c r="AB229" s="18">
        <f t="shared" si="142"/>
        <v>1.2544666666666648</v>
      </c>
      <c r="AE229" s="44" cm="1">
        <f t="array" ref="AE229">_xll.BDH("COMXGOLD Comdty","PX_Last", N229)</f>
        <v>19850264.173</v>
      </c>
      <c r="AF229" s="15" t="str" cm="1">
        <f t="array" ref="AF229">_xll.BDS("GCA Comdty","FUT_CHAIN", "CHAIN_DATE",A229,"endrow=1")</f>
        <v>GCV23 Comdty</v>
      </c>
      <c r="AG229" s="44" cm="1">
        <f t="array" ref="AG229">_xll.BDH(AF229,"FUT_AGGTE_OPEN_INT",A229)</f>
        <v>465787</v>
      </c>
      <c r="AH229" s="44">
        <f t="shared" si="123"/>
        <v>46578700</v>
      </c>
      <c r="AI229" s="48">
        <f t="shared" si="124"/>
        <v>0.42616612685626692</v>
      </c>
      <c r="AJ229" s="45"/>
      <c r="AK229" s="44" cm="1">
        <f t="array" ref="AK229">_xll.BDH("COMXSILV Comdty","PX_Last", N229)</f>
        <v>269904.5</v>
      </c>
      <c r="AL229" s="15" t="str" cm="1">
        <f t="array" ref="AL229">_xll.BDS("SIA Comdty","FUT_CHAIN", "CHAIN_DATE",A229,"endrow=1")</f>
        <v>SIV23 Comdty</v>
      </c>
      <c r="AM229" s="47" cm="1">
        <f t="array" ref="AM229">_xll.BDH(AL229,"FUT_AGGTE_OPEN_INT",A229)</f>
        <v>123380</v>
      </c>
      <c r="AN229" s="45">
        <f t="shared" si="125"/>
        <v>437.51742583887176</v>
      </c>
      <c r="AO229" s="46">
        <f t="shared" si="126"/>
        <v>26990450000</v>
      </c>
      <c r="AP229" s="46">
        <f t="shared" si="127"/>
        <v>616900</v>
      </c>
      <c r="AQ229" s="46"/>
    </row>
    <row r="230" spans="1:43" s="15" customFormat="1" x14ac:dyDescent="0.2">
      <c r="A230" s="24">
        <v>45226</v>
      </c>
      <c r="B230" s="25" cm="1">
        <f t="array" ref="B230">_xll.BADDPERIODS(A230, "PER=WD", "NUMBEROFPERIODS=2", "BUSDAYADJ=-2", "CDR=GQ", "CDR=P9")</f>
        <v>45230</v>
      </c>
      <c r="C230" s="26" cm="1">
        <f t="array" ref="C230">_xll.BDH("XAU Curncy","PX_LAST",A230,A230)</f>
        <v>2006.37</v>
      </c>
      <c r="D230" s="26" t="str" cm="1">
        <f t="array" ref="D230">_xll.BDP("GCZ23 Comdty",$M$32)</f>
        <v>01/12/2023</v>
      </c>
      <c r="E230" s="26">
        <f t="shared" si="134"/>
        <v>31</v>
      </c>
      <c r="F230" s="27">
        <v>5.5E-2</v>
      </c>
      <c r="G230" s="28">
        <f t="shared" si="135"/>
        <v>9.5023912500000005</v>
      </c>
      <c r="H230" s="29">
        <v>9.6999999999999993</v>
      </c>
      <c r="I230" s="19">
        <f t="shared" si="136"/>
        <v>0.19760874999999878</v>
      </c>
      <c r="J230" s="26">
        <v>4</v>
      </c>
      <c r="K230" s="26">
        <v>6</v>
      </c>
      <c r="L230" s="26">
        <v>8</v>
      </c>
      <c r="N230" s="24">
        <v>45226</v>
      </c>
      <c r="O230" s="16" cm="1">
        <f t="array" ref="O230">_xll.BADDPERIODS(N230, "PER=WD", "NUMBEROFPERIODS=2", "BUSDAYADJ=-2", "CDR=GQ", "CDR=P9")</f>
        <v>45230</v>
      </c>
      <c r="P230" s="15" cm="1">
        <f t="array" ref="P230">_xll.BDH("XAG Curncy","PX_LAST",N230,N230)</f>
        <v>23.119900000000001</v>
      </c>
      <c r="Q230" s="15" t="str" cm="1">
        <f t="array" ref="Q230">_xll.BDP("SIZ23 Comdty",$M$32)</f>
        <v>01/12/2023</v>
      </c>
      <c r="R230" s="15">
        <f t="shared" si="137"/>
        <v>31</v>
      </c>
      <c r="S230" s="23">
        <v>5.5500000000000001E-2</v>
      </c>
      <c r="T230" s="21">
        <f t="shared" si="138"/>
        <v>0.11049385541666668</v>
      </c>
      <c r="U230" s="22">
        <v>0.125</v>
      </c>
      <c r="V230" s="20">
        <f t="shared" si="139"/>
        <v>1.4506144583333325</v>
      </c>
      <c r="W230" s="15">
        <v>15</v>
      </c>
      <c r="X230" s="15">
        <v>20</v>
      </c>
      <c r="Y230" s="15">
        <v>25</v>
      </c>
      <c r="Z230" s="18">
        <f t="shared" si="140"/>
        <v>11.049385541666668</v>
      </c>
      <c r="AA230" s="18">
        <f t="shared" si="141"/>
        <v>12.5</v>
      </c>
      <c r="AB230" s="18">
        <f t="shared" si="142"/>
        <v>1.4506144583333325</v>
      </c>
      <c r="AE230" s="44" cm="1">
        <f t="array" ref="AE230">_xll.BDH("COMXGOLD Comdty","PX_Last", N230)</f>
        <v>19850264.173</v>
      </c>
      <c r="AF230" s="15" t="str" cm="1">
        <f t="array" ref="AF230">_xll.BDS("GCA Comdty","FUT_CHAIN", "CHAIN_DATE",A230,"endrow=1")</f>
        <v>GCV23 Comdty</v>
      </c>
      <c r="AG230" s="44" cm="1">
        <f t="array" ref="AG230">_xll.BDH(AF230,"FUT_AGGTE_OPEN_INT",A230)</f>
        <v>472990</v>
      </c>
      <c r="AH230" s="44">
        <f t="shared" si="123"/>
        <v>47299000</v>
      </c>
      <c r="AI230" s="48">
        <f t="shared" si="124"/>
        <v>0.41967619131482697</v>
      </c>
      <c r="AJ230" s="45"/>
      <c r="AK230" s="44" cm="1">
        <f t="array" ref="AK230">_xll.BDH("COMXSILV Comdty","PX_Last", N230)</f>
        <v>269997.03000000003</v>
      </c>
      <c r="AL230" s="15" t="str" cm="1">
        <f t="array" ref="AL230">_xll.BDS("SIA Comdty","FUT_CHAIN", "CHAIN_DATE",A230,"endrow=1")</f>
        <v>SIV23 Comdty</v>
      </c>
      <c r="AM230" s="47" cm="1">
        <f t="array" ref="AM230">_xll.BDH(AL230,"FUT_AGGTE_OPEN_INT",A230)</f>
        <v>125339</v>
      </c>
      <c r="AN230" s="45">
        <f t="shared" si="125"/>
        <v>430.82684559474711</v>
      </c>
      <c r="AO230" s="46">
        <f t="shared" si="126"/>
        <v>26999703000.000004</v>
      </c>
      <c r="AP230" s="46">
        <f t="shared" si="127"/>
        <v>626695</v>
      </c>
      <c r="AQ230" s="46"/>
    </row>
    <row r="231" spans="1:43" s="15" customFormat="1" x14ac:dyDescent="0.2">
      <c r="A231" s="24">
        <v>45229</v>
      </c>
      <c r="B231" s="25" cm="1">
        <f t="array" ref="B231">_xll.BADDPERIODS(A231, "PER=WD", "NUMBEROFPERIODS=2", "BUSDAYADJ=-2", "CDR=GQ", "CDR=P9")</f>
        <v>45231</v>
      </c>
      <c r="C231" s="26" cm="1">
        <f t="array" ref="C231">_xll.BDH("XAU Curncy","PX_LAST",A231,A231)</f>
        <v>1996.1</v>
      </c>
      <c r="D231" s="26" t="str" cm="1">
        <f t="array" ref="D231">_xll.BDP("GCZ23 Comdty",$M$32)</f>
        <v>01/12/2023</v>
      </c>
      <c r="E231" s="26">
        <f t="shared" ref="E231:E235" si="143">_xlfn.DAYS(D231,B231)</f>
        <v>30</v>
      </c>
      <c r="F231" s="27">
        <v>5.5E-2</v>
      </c>
      <c r="G231" s="28">
        <f t="shared" ref="G231:G235" si="144">C231*(E231/360)*F231</f>
        <v>9.148791666666666</v>
      </c>
      <c r="H231" s="29">
        <v>9.5</v>
      </c>
      <c r="I231" s="19">
        <f t="shared" ref="I231:I235" si="145">H231-G231</f>
        <v>0.35120833333333401</v>
      </c>
      <c r="J231" s="26">
        <v>4</v>
      </c>
      <c r="K231" s="26">
        <v>6</v>
      </c>
      <c r="L231" s="26">
        <v>8</v>
      </c>
      <c r="N231" s="24">
        <v>45229</v>
      </c>
      <c r="O231" s="16" cm="1">
        <f t="array" ref="O231">_xll.BADDPERIODS(N231, "PER=WD", "NUMBEROFPERIODS=2", "BUSDAYADJ=-2", "CDR=GQ", "CDR=P9")</f>
        <v>45231</v>
      </c>
      <c r="P231" s="15" cm="1">
        <f t="array" ref="P231">_xll.BDH("XAG Curncy","PX_LAST",N231,N231)</f>
        <v>23.335699999999999</v>
      </c>
      <c r="Q231" s="15" t="str" cm="1">
        <f t="array" ref="Q231">_xll.BDP("SIZ23 Comdty",$M$32)</f>
        <v>01/12/2023</v>
      </c>
      <c r="R231" s="15">
        <f t="shared" si="137"/>
        <v>30</v>
      </c>
      <c r="S231" s="23">
        <v>5.5500000000000001E-2</v>
      </c>
      <c r="T231" s="21">
        <f t="shared" si="138"/>
        <v>0.10792761249999999</v>
      </c>
      <c r="U231" s="22">
        <v>0.13</v>
      </c>
      <c r="V231" s="20">
        <f t="shared" si="139"/>
        <v>2.207238750000001</v>
      </c>
      <c r="W231" s="15">
        <v>15</v>
      </c>
      <c r="X231" s="15">
        <v>20</v>
      </c>
      <c r="Y231" s="15">
        <v>25</v>
      </c>
      <c r="Z231" s="18">
        <f t="shared" si="140"/>
        <v>10.79276125</v>
      </c>
      <c r="AA231" s="18">
        <f t="shared" si="141"/>
        <v>13</v>
      </c>
      <c r="AB231" s="18">
        <f t="shared" si="142"/>
        <v>2.207238750000001</v>
      </c>
      <c r="AE231" s="44" cm="1">
        <f t="array" ref="AE231">_xll.BDH("COMXGOLD Comdty","PX_Last", N231)</f>
        <v>19852754.491</v>
      </c>
      <c r="AF231" s="15" t="str" cm="1">
        <f t="array" ref="AF231">_xll.BDS("GCA Comdty","FUT_CHAIN", "CHAIN_DATE",A231,"endrow=1")</f>
        <v>GCX23 Comdty</v>
      </c>
      <c r="AG231" s="44" cm="1">
        <f t="array" ref="AG231">_xll.BDH(AF231,"FUT_AGGTE_OPEN_INT",A231)</f>
        <v>479789</v>
      </c>
      <c r="AH231" s="44">
        <f t="shared" si="123"/>
        <v>47978900</v>
      </c>
      <c r="AI231" s="48">
        <f t="shared" si="124"/>
        <v>0.41378094310207197</v>
      </c>
      <c r="AJ231" s="45"/>
      <c r="AK231" s="44" cm="1">
        <f t="array" ref="AK231">_xll.BDH("COMXSILV Comdty","PX_Last", N231)</f>
        <v>269114.44</v>
      </c>
      <c r="AL231" s="15" t="str" cm="1">
        <f t="array" ref="AL231">_xll.BDS("SIA Comdty","FUT_CHAIN", "CHAIN_DATE",A231,"endrow=1")</f>
        <v>SIX23 Comdty</v>
      </c>
      <c r="AM231" s="47" cm="1">
        <f t="array" ref="AM231">_xll.BDH(AL231,"FUT_AGGTE_OPEN_INT",A231)</f>
        <v>127227</v>
      </c>
      <c r="AN231" s="45">
        <f t="shared" si="125"/>
        <v>423.04611442539709</v>
      </c>
      <c r="AO231" s="46">
        <f t="shared" si="126"/>
        <v>26911444000</v>
      </c>
      <c r="AP231" s="46">
        <f t="shared" si="127"/>
        <v>636135</v>
      </c>
      <c r="AQ231" s="46"/>
    </row>
    <row r="232" spans="1:43" s="15" customFormat="1" x14ac:dyDescent="0.2">
      <c r="A232" s="24">
        <v>45230</v>
      </c>
      <c r="B232" s="25" cm="1">
        <f t="array" ref="B232">_xll.BADDPERIODS(A232, "PER=WD", "NUMBEROFPERIODS=2", "BUSDAYADJ=-2", "CDR=GQ", "CDR=P9")</f>
        <v>45232</v>
      </c>
      <c r="C232" s="26" cm="1">
        <f t="array" ref="C232">_xll.BDH("XAU Curncy","PX_LAST",A232,A232)</f>
        <v>1983.88</v>
      </c>
      <c r="D232" s="26" t="str" cm="1">
        <f t="array" ref="D232">_xll.BDP("GCZ23 Comdty",$M$32)</f>
        <v>01/12/2023</v>
      </c>
      <c r="E232" s="26">
        <f t="shared" si="143"/>
        <v>29</v>
      </c>
      <c r="F232" s="27">
        <v>5.5E-2</v>
      </c>
      <c r="G232" s="28">
        <f t="shared" si="144"/>
        <v>8.7896905555555573</v>
      </c>
      <c r="H232" s="29">
        <v>9.15</v>
      </c>
      <c r="I232" s="19">
        <f t="shared" si="145"/>
        <v>0.36030944444444302</v>
      </c>
      <c r="J232" s="26">
        <v>4</v>
      </c>
      <c r="K232" s="26">
        <v>6</v>
      </c>
      <c r="L232" s="26">
        <v>8</v>
      </c>
      <c r="N232" s="24">
        <v>45230</v>
      </c>
      <c r="O232" s="16" cm="1">
        <f t="array" ref="O232">_xll.BADDPERIODS(N232, "PER=WD", "NUMBEROFPERIODS=2", "BUSDAYADJ=-2", "CDR=GQ", "CDR=P9")</f>
        <v>45232</v>
      </c>
      <c r="P232" s="15" cm="1">
        <f t="array" ref="P232">_xll.BDH("XAG Curncy","PX_LAST",N232,N232)</f>
        <v>22.845099999999999</v>
      </c>
      <c r="Q232" s="15" t="str" cm="1">
        <f t="array" ref="Q232">_xll.BDP("SIZ23 Comdty",$M$32)</f>
        <v>01/12/2023</v>
      </c>
      <c r="R232" s="15">
        <f t="shared" si="137"/>
        <v>29</v>
      </c>
      <c r="S232" s="23">
        <v>5.5500000000000001E-2</v>
      </c>
      <c r="T232" s="21">
        <f t="shared" si="138"/>
        <v>0.10213663458333333</v>
      </c>
      <c r="U232" s="22">
        <v>0.12</v>
      </c>
      <c r="V232" s="20">
        <f t="shared" si="139"/>
        <v>1.7863365416666666</v>
      </c>
      <c r="W232" s="15">
        <v>15</v>
      </c>
      <c r="X232" s="15">
        <v>20</v>
      </c>
      <c r="Y232" s="15">
        <v>25</v>
      </c>
      <c r="Z232" s="18">
        <f t="shared" si="140"/>
        <v>10.213663458333333</v>
      </c>
      <c r="AA232" s="18">
        <f t="shared" si="141"/>
        <v>12</v>
      </c>
      <c r="AB232" s="18">
        <f t="shared" si="142"/>
        <v>1.7863365416666666</v>
      </c>
      <c r="AE232" s="44" cm="1">
        <f t="array" ref="AE232">_xll.BDH("COMXGOLD Comdty","PX_Last", N232)</f>
        <v>19916472.903999999</v>
      </c>
      <c r="AF232" s="15" t="str" cm="1">
        <f t="array" ref="AF232">_xll.BDS("GCA Comdty","FUT_CHAIN", "CHAIN_DATE",A232,"endrow=1")</f>
        <v>GCX23 Comdty</v>
      </c>
      <c r="AG232" s="44" cm="1">
        <f t="array" ref="AG232">_xll.BDH(AF232,"FUT_AGGTE_OPEN_INT",A232)</f>
        <v>475808</v>
      </c>
      <c r="AH232" s="44">
        <f t="shared" si="123"/>
        <v>47580800</v>
      </c>
      <c r="AI232" s="48">
        <f t="shared" si="124"/>
        <v>0.41858213615576029</v>
      </c>
      <c r="AJ232" s="45"/>
      <c r="AK232" s="44" cm="1">
        <f t="array" ref="AK232">_xll.BDH("COMXSILV Comdty","PX_Last", N232)</f>
        <v>267930.21999999997</v>
      </c>
      <c r="AL232" s="15" t="str" cm="1">
        <f t="array" ref="AL232">_xll.BDS("SIA Comdty","FUT_CHAIN", "CHAIN_DATE",A232,"endrow=1")</f>
        <v>SIX23 Comdty</v>
      </c>
      <c r="AM232" s="47" cm="1">
        <f t="array" ref="AM232">_xll.BDH(AL232,"FUT_AGGTE_OPEN_INT",A232)</f>
        <v>126549</v>
      </c>
      <c r="AN232" s="45">
        <f t="shared" si="125"/>
        <v>423.4410702573706</v>
      </c>
      <c r="AO232" s="46">
        <f t="shared" si="126"/>
        <v>26793021999.999996</v>
      </c>
      <c r="AP232" s="46">
        <f t="shared" si="127"/>
        <v>632745</v>
      </c>
      <c r="AQ232" s="46"/>
    </row>
    <row r="233" spans="1:43" s="15" customFormat="1" x14ac:dyDescent="0.2">
      <c r="A233" s="24">
        <v>45231</v>
      </c>
      <c r="B233" s="25" cm="1">
        <f t="array" ref="B233">_xll.BADDPERIODS(A233, "PER=WD", "NUMBEROFPERIODS=2", "BUSDAYADJ=-2", "CDR=GQ", "CDR=P9")</f>
        <v>45233</v>
      </c>
      <c r="C233" s="26" cm="1">
        <f t="array" ref="C233">_xll.BDH("XAU Curncy","PX_LAST",A233,A233)</f>
        <v>1982.53</v>
      </c>
      <c r="D233" s="26" t="str" cm="1">
        <f t="array" ref="D233">_xll.BDP("GCZ23 Comdty",$M$32)</f>
        <v>01/12/2023</v>
      </c>
      <c r="E233" s="26">
        <f>_xlfn.DAYS(D233,B233)</f>
        <v>28</v>
      </c>
      <c r="F233" s="27">
        <v>5.5E-2</v>
      </c>
      <c r="G233" s="28">
        <f t="shared" si="144"/>
        <v>8.480822777777778</v>
      </c>
      <c r="H233" s="29">
        <v>8.6999999999999993</v>
      </c>
      <c r="I233" s="19">
        <f t="shared" si="145"/>
        <v>0.21917722222222125</v>
      </c>
      <c r="J233" s="26">
        <v>4</v>
      </c>
      <c r="K233" s="26">
        <v>6</v>
      </c>
      <c r="L233" s="26">
        <v>8</v>
      </c>
      <c r="N233" s="24">
        <v>45231</v>
      </c>
      <c r="O233" s="16" cm="1">
        <f t="array" ref="O233">_xll.BADDPERIODS(N233, "PER=WD", "NUMBEROFPERIODS=2", "BUSDAYADJ=-2", "CDR=GQ", "CDR=P9")</f>
        <v>45233</v>
      </c>
      <c r="P233" s="15" cm="1">
        <f t="array" ref="P233">_xll.BDH("XAG Curncy","PX_LAST",N233,N233)</f>
        <v>22.948899999999998</v>
      </c>
      <c r="Q233" s="15" t="str" cm="1">
        <f t="array" ref="Q233">_xll.BDP("SIZ23 Comdty",$M$32)</f>
        <v>01/12/2023</v>
      </c>
      <c r="R233" s="15">
        <f t="shared" si="137"/>
        <v>28</v>
      </c>
      <c r="S233" s="23">
        <v>5.5500000000000001E-2</v>
      </c>
      <c r="T233" s="21">
        <f t="shared" si="138"/>
        <v>9.9062751666666657E-2</v>
      </c>
      <c r="U233" s="22">
        <v>0.11</v>
      </c>
      <c r="V233" s="20">
        <f t="shared" si="139"/>
        <v>1.0937248333333343</v>
      </c>
      <c r="W233" s="15">
        <v>15</v>
      </c>
      <c r="X233" s="15">
        <v>20</v>
      </c>
      <c r="Y233" s="15">
        <v>25</v>
      </c>
      <c r="Z233" s="18">
        <f t="shared" si="140"/>
        <v>9.9062751666666653</v>
      </c>
      <c r="AA233" s="18">
        <f t="shared" si="141"/>
        <v>11</v>
      </c>
      <c r="AB233" s="18">
        <f t="shared" si="142"/>
        <v>1.0937248333333343</v>
      </c>
      <c r="AE233" s="44" cm="1">
        <f t="array" ref="AE233">_xll.BDH("COMXGOLD Comdty","PX_Last", N233)</f>
        <v>19916440.752999999</v>
      </c>
      <c r="AF233" s="15" t="str" cm="1">
        <f t="array" ref="AF233">_xll.BDS("GCA Comdty","FUT_CHAIN", "CHAIN_DATE",A233,"endrow=1")</f>
        <v>GCX23 Comdty</v>
      </c>
      <c r="AG233" s="44" cm="1">
        <f t="array" ref="AG233">_xll.BDH(AF233,"FUT_AGGTE_OPEN_INT",A233)</f>
        <v>474617</v>
      </c>
      <c r="AH233" s="44">
        <f t="shared" si="123"/>
        <v>47461700</v>
      </c>
      <c r="AI233" s="48">
        <f t="shared" si="124"/>
        <v>0.41963184531948916</v>
      </c>
      <c r="AJ233" s="45"/>
      <c r="AK233" s="44" cm="1">
        <f t="array" ref="AK233">_xll.BDH("COMXSILV Comdty","PX_Last", N233)</f>
        <v>267869.81</v>
      </c>
      <c r="AL233" s="15" t="str" cm="1">
        <f t="array" ref="AL233">_xll.BDS("SIA Comdty","FUT_CHAIN", "CHAIN_DATE",A233,"endrow=1")</f>
        <v>SIX23 Comdty</v>
      </c>
      <c r="AM233" s="47" cm="1">
        <f t="array" ref="AM233">_xll.BDH(AL233,"FUT_AGGTE_OPEN_INT",A233)</f>
        <v>126830</v>
      </c>
      <c r="AN233" s="45">
        <f t="shared" si="125"/>
        <v>422.40764803279984</v>
      </c>
      <c r="AO233" s="46">
        <f t="shared" si="126"/>
        <v>26786981000</v>
      </c>
      <c r="AP233" s="46">
        <f t="shared" si="127"/>
        <v>634150</v>
      </c>
      <c r="AQ233" s="46"/>
    </row>
    <row r="234" spans="1:43" s="15" customFormat="1" x14ac:dyDescent="0.2">
      <c r="A234" s="24">
        <v>45232</v>
      </c>
      <c r="B234" s="25" cm="1">
        <f t="array" ref="B234">_xll.BADDPERIODS(A234, "PER=WD", "NUMBEROFPERIODS=2", "BUSDAYADJ=-2", "CDR=GQ", "CDR=P9")</f>
        <v>45236</v>
      </c>
      <c r="C234" s="26" cm="1">
        <f t="array" ref="C234">_xll.BDH("XAU Curncy","PX_LAST",A234,A234)</f>
        <v>1985.78</v>
      </c>
      <c r="D234" s="26" t="str" cm="1">
        <f t="array" ref="D234">_xll.BDP("GCZ23 Comdty",$M$32)</f>
        <v>01/12/2023</v>
      </c>
      <c r="E234" s="26">
        <f t="shared" si="143"/>
        <v>25</v>
      </c>
      <c r="F234" s="27">
        <v>5.5E-2</v>
      </c>
      <c r="G234" s="28">
        <f t="shared" si="144"/>
        <v>7.5845763888888893</v>
      </c>
      <c r="H234" s="29">
        <v>7.6</v>
      </c>
      <c r="I234" s="19">
        <f t="shared" si="145"/>
        <v>1.5423611111110347E-2</v>
      </c>
      <c r="J234" s="26">
        <v>4</v>
      </c>
      <c r="K234" s="26">
        <v>6</v>
      </c>
      <c r="L234" s="26">
        <v>8</v>
      </c>
      <c r="N234" s="24">
        <v>45232</v>
      </c>
      <c r="O234" s="16" cm="1">
        <f t="array" ref="O234">_xll.BADDPERIODS(N234, "PER=WD", "NUMBEROFPERIODS=2", "BUSDAYADJ=-2", "CDR=GQ", "CDR=P9")</f>
        <v>45236</v>
      </c>
      <c r="P234" s="15" cm="1">
        <f t="array" ref="P234">_xll.BDH("XAG Curncy","PX_LAST",N234,N234)</f>
        <v>22.7652</v>
      </c>
      <c r="Q234" s="15" t="str" cm="1">
        <f t="array" ref="Q234">_xll.BDP("SIZ23 Comdty",$M$32)</f>
        <v>01/12/2023</v>
      </c>
      <c r="R234" s="15">
        <f t="shared" si="137"/>
        <v>25</v>
      </c>
      <c r="S234" s="23">
        <v>5.5500000000000001E-2</v>
      </c>
      <c r="T234" s="21">
        <f t="shared" si="138"/>
        <v>8.774087500000001E-2</v>
      </c>
      <c r="U234" s="22">
        <v>0.10249999999999999</v>
      </c>
      <c r="V234" s="20">
        <f t="shared" si="139"/>
        <v>1.4759124999999984</v>
      </c>
      <c r="W234" s="15">
        <v>15</v>
      </c>
      <c r="X234" s="15">
        <v>20</v>
      </c>
      <c r="Y234" s="15">
        <v>25</v>
      </c>
      <c r="Z234" s="18">
        <f t="shared" si="140"/>
        <v>8.7740875000000003</v>
      </c>
      <c r="AA234" s="18">
        <f t="shared" si="141"/>
        <v>10.25</v>
      </c>
      <c r="AB234" s="18">
        <f t="shared" si="142"/>
        <v>1.4759124999999984</v>
      </c>
      <c r="AE234" s="44" cm="1">
        <f t="array" ref="AE234">_xll.BDH("COMXGOLD Comdty","PX_Last", N234)</f>
        <v>19916440.752999999</v>
      </c>
      <c r="AF234" s="15" t="str" cm="1">
        <f t="array" ref="AF234">_xll.BDS("GCA Comdty","FUT_CHAIN", "CHAIN_DATE",A234,"endrow=1")</f>
        <v>GCX23 Comdty</v>
      </c>
      <c r="AG234" s="44" cm="1">
        <f t="array" ref="AG234">_xll.BDH(AF234,"FUT_AGGTE_OPEN_INT",A234)</f>
        <v>480981</v>
      </c>
      <c r="AH234" s="44">
        <f t="shared" si="123"/>
        <v>48098100</v>
      </c>
      <c r="AI234" s="48">
        <f t="shared" si="124"/>
        <v>0.41407957389169214</v>
      </c>
      <c r="AJ234" s="45"/>
      <c r="AK234" s="44" cm="1">
        <f t="array" ref="AK234">_xll.BDH("COMXSILV Comdty","PX_Last", N234)</f>
        <v>267503.84000000003</v>
      </c>
      <c r="AL234" s="15" t="str" cm="1">
        <f t="array" ref="AL234">_xll.BDS("SIA Comdty","FUT_CHAIN", "CHAIN_DATE",A234,"endrow=1")</f>
        <v>SIX23 Comdty</v>
      </c>
      <c r="AM234" s="47" cm="1">
        <f t="array" ref="AM234">_xll.BDH(AL234,"FUT_AGGTE_OPEN_INT",A234)</f>
        <v>127592</v>
      </c>
      <c r="AN234" s="45">
        <f t="shared" si="125"/>
        <v>419.31130478399905</v>
      </c>
      <c r="AO234" s="46">
        <f t="shared" si="126"/>
        <v>26750384000.000004</v>
      </c>
      <c r="AP234" s="46">
        <f t="shared" si="127"/>
        <v>637960</v>
      </c>
      <c r="AQ234" s="46"/>
    </row>
    <row r="235" spans="1:43" s="15" customFormat="1" x14ac:dyDescent="0.2">
      <c r="A235" s="24">
        <v>45233</v>
      </c>
      <c r="B235" s="25" cm="1">
        <f t="array" ref="B235">_xll.BADDPERIODS(A235, "PER=WD", "NUMBEROFPERIODS=2", "BUSDAYADJ=-2", "CDR=GQ", "CDR=P9")</f>
        <v>45237</v>
      </c>
      <c r="C235" s="26" cm="1">
        <f t="array" ref="C235">_xll.BDH("XAU Curncy","PX_LAST",A235,A235)</f>
        <v>1992.65</v>
      </c>
      <c r="D235" s="26" t="str" cm="1">
        <f t="array" ref="D235">_xll.BDP("GCZ23 Comdty",$M$32)</f>
        <v>01/12/2023</v>
      </c>
      <c r="E235" s="26">
        <f t="shared" si="143"/>
        <v>24</v>
      </c>
      <c r="F235" s="27">
        <v>5.4800000000000001E-2</v>
      </c>
      <c r="G235" s="28">
        <f t="shared" si="144"/>
        <v>7.2798146666666668</v>
      </c>
      <c r="H235" s="29">
        <v>7.6</v>
      </c>
      <c r="I235" s="19">
        <f t="shared" si="145"/>
        <v>0.32018533333333288</v>
      </c>
      <c r="J235" s="26">
        <v>4</v>
      </c>
      <c r="K235" s="26">
        <v>6</v>
      </c>
      <c r="L235" s="26">
        <v>8</v>
      </c>
      <c r="N235" s="24">
        <v>45233</v>
      </c>
      <c r="O235" s="16" cm="1">
        <f t="array" ref="O235">_xll.BADDPERIODS(N235, "PER=WD", "NUMBEROFPERIODS=2", "BUSDAYADJ=-2", "CDR=GQ", "CDR=P9")</f>
        <v>45237</v>
      </c>
      <c r="P235" s="15" cm="1">
        <f t="array" ref="P235">_xll.BDH("XAG Curncy","PX_LAST",N235,N235)</f>
        <v>23.214500000000001</v>
      </c>
      <c r="Q235" s="15" t="str" cm="1">
        <f t="array" ref="Q235">_xll.BDP("SIZ23 Comdty",$M$32)</f>
        <v>01/12/2023</v>
      </c>
      <c r="R235" s="15">
        <f t="shared" si="137"/>
        <v>24</v>
      </c>
      <c r="S235" s="23">
        <v>5.5500000000000001E-2</v>
      </c>
      <c r="T235" s="21">
        <f t="shared" si="138"/>
        <v>8.5893650000000002E-2</v>
      </c>
      <c r="U235" s="22">
        <v>0.1</v>
      </c>
      <c r="V235" s="20">
        <f t="shared" si="139"/>
        <v>1.4106350000000003</v>
      </c>
      <c r="W235" s="15">
        <v>15</v>
      </c>
      <c r="X235" s="15">
        <v>20</v>
      </c>
      <c r="Y235" s="15">
        <v>25</v>
      </c>
      <c r="Z235" s="18">
        <f t="shared" si="140"/>
        <v>8.5893650000000008</v>
      </c>
      <c r="AA235" s="18">
        <f t="shared" si="141"/>
        <v>10</v>
      </c>
      <c r="AB235" s="18">
        <f t="shared" si="142"/>
        <v>1.4106350000000003</v>
      </c>
      <c r="AE235" s="44" cm="1">
        <f t="array" ref="AE235">_xll.BDH("COMXGOLD Comdty","PX_Last", N235)</f>
        <v>19897548.035999998</v>
      </c>
      <c r="AF235" s="15" t="str" cm="1">
        <f t="array" ref="AF235">_xll.BDS("GCA Comdty","FUT_CHAIN", "CHAIN_DATE",A235,"endrow=1")</f>
        <v>GCX23 Comdty</v>
      </c>
      <c r="AG235" s="44" cm="1">
        <f t="array" ref="AG235">_xll.BDH(AF235,"FUT_AGGTE_OPEN_INT",A235)</f>
        <v>485916</v>
      </c>
      <c r="AH235" s="44">
        <f t="shared" si="123"/>
        <v>48591600</v>
      </c>
      <c r="AI235" s="48">
        <f t="shared" si="124"/>
        <v>0.40948534388659763</v>
      </c>
      <c r="AJ235" s="45"/>
      <c r="AK235" s="44" cm="1">
        <f t="array" ref="AK235">_xll.BDH("COMXSILV Comdty","PX_Last", N235)</f>
        <v>267288.40999999997</v>
      </c>
      <c r="AL235" s="15" t="str" cm="1">
        <f t="array" ref="AL235">_xll.BDS("SIA Comdty","FUT_CHAIN", "CHAIN_DATE",A235,"endrow=1")</f>
        <v>SIX23 Comdty</v>
      </c>
      <c r="AM235" s="47" cm="1">
        <f t="array" ref="AM235">_xll.BDH(AL235,"FUT_AGGTE_OPEN_INT",A235)</f>
        <v>130301</v>
      </c>
      <c r="AN235" s="45">
        <f t="shared" si="125"/>
        <v>410.26302177266479</v>
      </c>
      <c r="AO235" s="46">
        <f t="shared" si="126"/>
        <v>26728840999.999996</v>
      </c>
      <c r="AP235" s="46">
        <f t="shared" si="127"/>
        <v>651505</v>
      </c>
      <c r="AQ235" s="46"/>
    </row>
    <row r="236" spans="1:43" s="15" customFormat="1" x14ac:dyDescent="0.2">
      <c r="A236" s="24">
        <v>45236</v>
      </c>
      <c r="B236" s="25" cm="1">
        <f t="array" ref="B236">_xll.BADDPERIODS(A236, "PER=WD", "NUMBEROFPERIODS=2", "BUSDAYADJ=-2", "CDR=GQ", "CDR=P9")</f>
        <v>45238</v>
      </c>
      <c r="C236" s="26" cm="1">
        <f t="array" ref="C236">_xll.BDH("XAU Curncy","PX_LAST",A236,A236)</f>
        <v>1978.14</v>
      </c>
      <c r="D236" s="26" t="str" cm="1">
        <f t="array" ref="D236">_xll.BDP("GCZ23 Comdty",$M$32)</f>
        <v>01/12/2023</v>
      </c>
      <c r="E236" s="26">
        <f t="shared" ref="E236:E297" si="146">_xlfn.DAYS(D236,B236)</f>
        <v>23</v>
      </c>
      <c r="F236" s="27">
        <v>5.5E-2</v>
      </c>
      <c r="G236" s="28">
        <f t="shared" ref="G236:G316" si="147">C236*(E236/360)*F236</f>
        <v>6.9509641666666662</v>
      </c>
      <c r="H236" s="29">
        <v>6.9</v>
      </c>
      <c r="I236" s="19">
        <f t="shared" ref="I236:I317" si="148">H236-G236</f>
        <v>-5.0964166666665811E-2</v>
      </c>
      <c r="J236" s="26">
        <v>4</v>
      </c>
      <c r="K236" s="26">
        <v>6</v>
      </c>
      <c r="L236" s="26">
        <v>8</v>
      </c>
      <c r="N236" s="24">
        <v>45236</v>
      </c>
      <c r="O236" s="16" cm="1">
        <f t="array" ref="O236">_xll.BADDPERIODS(N236, "PER=WD", "NUMBEROFPERIODS=2", "BUSDAYADJ=-2", "CDR=GQ", "CDR=P9")</f>
        <v>45238</v>
      </c>
      <c r="P236" s="15" cm="1">
        <f t="array" ref="P236">_xll.BDH("XAG Curncy","PX_LAST",N236,N236)</f>
        <v>23.026800000000001</v>
      </c>
      <c r="Q236" s="15" t="str" cm="1">
        <f t="array" ref="Q236">_xll.BDP("SIZ23 Comdty",$M$32)</f>
        <v>01/12/2023</v>
      </c>
      <c r="R236" s="15">
        <f t="shared" ref="R236:R297" si="149">_xlfn.DAYS(Q236,O236)</f>
        <v>23</v>
      </c>
      <c r="S236" s="23">
        <v>5.5500000000000001E-2</v>
      </c>
      <c r="T236" s="21">
        <f t="shared" ref="T236:T333" si="150">P236*(R236/360)*S236</f>
        <v>8.1649195000000008E-2</v>
      </c>
      <c r="U236" s="22">
        <v>9.5000000000000001E-2</v>
      </c>
      <c r="V236" s="20">
        <f t="shared" ref="V236:V313" si="151">100*(U236-T236)</f>
        <v>1.3350804999999992</v>
      </c>
      <c r="W236" s="15">
        <v>15</v>
      </c>
      <c r="X236" s="15">
        <v>20</v>
      </c>
      <c r="Y236" s="15">
        <v>25</v>
      </c>
      <c r="Z236" s="18">
        <f t="shared" ref="Z236:Z333" si="152">100*T236</f>
        <v>8.1649194999999999</v>
      </c>
      <c r="AA236" s="18">
        <f t="shared" ref="AA236:AA304" si="153">U236*100</f>
        <v>9.5</v>
      </c>
      <c r="AB236" s="18">
        <f t="shared" ref="AB236:AB304" si="154">V236</f>
        <v>1.3350804999999992</v>
      </c>
      <c r="AE236" s="44" cm="1">
        <f t="array" ref="AE236">_xll.BDH("COMXGOLD Comdty","PX_Last", N236)</f>
        <v>19887388.318999998</v>
      </c>
      <c r="AF236" s="15" t="str" cm="1">
        <f t="array" ref="AF236">_xll.BDS("GCA Comdty","FUT_CHAIN", "CHAIN_DATE",A236,"endrow=1")</f>
        <v>GCX23 Comdty</v>
      </c>
      <c r="AG236" s="44" cm="1">
        <f t="array" ref="AG236">_xll.BDH(AF236,"FUT_AGGTE_OPEN_INT",A236)</f>
        <v>487483</v>
      </c>
      <c r="AH236" s="44">
        <f t="shared" si="123"/>
        <v>48748300</v>
      </c>
      <c r="AI236" s="48">
        <f t="shared" si="124"/>
        <v>0.40796065337663051</v>
      </c>
      <c r="AJ236" s="45"/>
      <c r="AK236" s="44" cm="1">
        <f t="array" ref="AK236">_xll.BDH("COMXSILV Comdty","PX_Last", N236)</f>
        <v>267012.25</v>
      </c>
      <c r="AL236" s="15" t="str" cm="1">
        <f t="array" ref="AL236">_xll.BDS("SIA Comdty","FUT_CHAIN", "CHAIN_DATE",A236,"endrow=1")</f>
        <v>SIX23 Comdty</v>
      </c>
      <c r="AM236" s="47" cm="1">
        <f t="array" ref="AM236">_xll.BDH(AL236,"FUT_AGGTE_OPEN_INT",A236)</f>
        <v>129499</v>
      </c>
      <c r="AN236" s="45">
        <f t="shared" si="125"/>
        <v>412.37731565494715</v>
      </c>
      <c r="AO236" s="46">
        <f t="shared" si="126"/>
        <v>26701225000</v>
      </c>
      <c r="AP236" s="46">
        <f t="shared" si="127"/>
        <v>647495</v>
      </c>
      <c r="AQ236" s="46"/>
    </row>
    <row r="237" spans="1:43" s="15" customFormat="1" x14ac:dyDescent="0.2">
      <c r="A237" s="24">
        <v>45237</v>
      </c>
      <c r="B237" s="25" cm="1">
        <f t="array" ref="B237">_xll.BADDPERIODS(A237, "PER=WD", "NUMBEROFPERIODS=2", "BUSDAYADJ=-2", "CDR=GQ", "CDR=P9")</f>
        <v>45239</v>
      </c>
      <c r="C237" s="26" cm="1">
        <f t="array" ref="C237">_xll.BDH("XAU Curncy","PX_LAST",A237,A237)</f>
        <v>1969.45</v>
      </c>
      <c r="D237" s="26" t="str" cm="1">
        <f t="array" ref="D237">_xll.BDP("GCZ23 Comdty",$M$32)</f>
        <v>01/12/2023</v>
      </c>
      <c r="E237" s="26">
        <f t="shared" si="146"/>
        <v>22</v>
      </c>
      <c r="F237" s="27">
        <v>5.5E-2</v>
      </c>
      <c r="G237" s="28">
        <f t="shared" si="147"/>
        <v>6.6195402777777774</v>
      </c>
      <c r="H237" s="29">
        <v>6.3</v>
      </c>
      <c r="I237" s="19">
        <f t="shared" si="148"/>
        <v>-0.3195402777777776</v>
      </c>
      <c r="J237" s="26">
        <v>4</v>
      </c>
      <c r="K237" s="26">
        <v>6</v>
      </c>
      <c r="L237" s="26">
        <v>8</v>
      </c>
      <c r="N237" s="24">
        <v>45237</v>
      </c>
      <c r="O237" s="16" cm="1">
        <f t="array" ref="O237">_xll.BADDPERIODS(N237, "PER=WD", "NUMBEROFPERIODS=2", "BUSDAYADJ=-2", "CDR=GQ", "CDR=P9")</f>
        <v>45239</v>
      </c>
      <c r="P237" s="15" cm="1">
        <f t="array" ref="P237">_xll.BDH("XAG Curncy","PX_LAST",N237,N237)</f>
        <v>22.635000000000002</v>
      </c>
      <c r="Q237" s="15" t="str" cm="1">
        <f t="array" ref="Q237">_xll.BDP("SIZ23 Comdty",$M$32)</f>
        <v>01/12/2023</v>
      </c>
      <c r="R237" s="15">
        <f t="shared" si="149"/>
        <v>22</v>
      </c>
      <c r="S237" s="23">
        <v>5.5500000000000001E-2</v>
      </c>
      <c r="T237" s="21">
        <f t="shared" si="150"/>
        <v>7.6770375000000002E-2</v>
      </c>
      <c r="U237" s="22">
        <v>0.09</v>
      </c>
      <c r="V237" s="20">
        <f t="shared" si="151"/>
        <v>1.3229624999999996</v>
      </c>
      <c r="W237" s="15">
        <v>15</v>
      </c>
      <c r="X237" s="15">
        <v>20</v>
      </c>
      <c r="Y237" s="15">
        <v>25</v>
      </c>
      <c r="Z237" s="18">
        <f t="shared" si="152"/>
        <v>7.6770375</v>
      </c>
      <c r="AA237" s="18">
        <f t="shared" si="153"/>
        <v>9</v>
      </c>
      <c r="AB237" s="18">
        <f t="shared" si="154"/>
        <v>1.3229624999999996</v>
      </c>
      <c r="AE237" s="44" cm="1">
        <f t="array" ref="AE237">_xll.BDH("COMXGOLD Comdty","PX_Last", N237)</f>
        <v>19887388.318999998</v>
      </c>
      <c r="AF237" s="15" t="str" cm="1">
        <f t="array" ref="AF237">_xll.BDS("GCA Comdty","FUT_CHAIN", "CHAIN_DATE",A237,"endrow=1")</f>
        <v>GCX23 Comdty</v>
      </c>
      <c r="AG237" s="44" cm="1">
        <f t="array" ref="AG237">_xll.BDH(AF237,"FUT_AGGTE_OPEN_INT",A237)</f>
        <v>484347</v>
      </c>
      <c r="AH237" s="44">
        <f t="shared" si="123"/>
        <v>48434700</v>
      </c>
      <c r="AI237" s="48">
        <f t="shared" si="124"/>
        <v>0.41060207493800926</v>
      </c>
      <c r="AJ237" s="45"/>
      <c r="AK237" s="44" cm="1">
        <f t="array" ref="AK237">_xll.BDH("COMXSILV Comdty","PX_Last", N237)</f>
        <v>267526.06</v>
      </c>
      <c r="AL237" s="15" t="str" cm="1">
        <f t="array" ref="AL237">_xll.BDS("SIA Comdty","FUT_CHAIN", "CHAIN_DATE",A237,"endrow=1")</f>
        <v>SIX23 Comdty</v>
      </c>
      <c r="AM237" s="47" cm="1">
        <f t="array" ref="AM237">_xll.BDH(AL237,"FUT_AGGTE_OPEN_INT",A237)</f>
        <v>131073</v>
      </c>
      <c r="AN237" s="45">
        <f t="shared" si="125"/>
        <v>408.20925743669557</v>
      </c>
      <c r="AO237" s="46">
        <f t="shared" si="126"/>
        <v>26752606000</v>
      </c>
      <c r="AP237" s="46">
        <f t="shared" si="127"/>
        <v>655365</v>
      </c>
      <c r="AQ237" s="46"/>
    </row>
    <row r="238" spans="1:43" s="15" customFormat="1" x14ac:dyDescent="0.2">
      <c r="A238" s="24">
        <v>45238</v>
      </c>
      <c r="B238" s="25" cm="1">
        <f t="array" ref="B238">_xll.BADDPERIODS(A238, "PER=WD", "NUMBEROFPERIODS=2", "BUSDAYADJ=-2", "CDR=GQ", "CDR=P9")</f>
        <v>45240</v>
      </c>
      <c r="C238" s="26" cm="1">
        <f t="array" ref="C238">_xll.BDH("XAU Curncy","PX_LAST",A238,A238)</f>
        <v>1950.2</v>
      </c>
      <c r="D238" s="26" t="str" cm="1">
        <f t="array" ref="D238">_xll.BDP("GCZ23 Comdty",$M$32)</f>
        <v>01/12/2023</v>
      </c>
      <c r="E238" s="26">
        <f t="shared" si="146"/>
        <v>21</v>
      </c>
      <c r="F238" s="27">
        <v>5.5E-2</v>
      </c>
      <c r="G238" s="28">
        <f t="shared" si="147"/>
        <v>6.2568916666666672</v>
      </c>
      <c r="H238" s="29">
        <v>6.1</v>
      </c>
      <c r="I238" s="19">
        <f t="shared" si="148"/>
        <v>-0.15689166666666754</v>
      </c>
      <c r="J238" s="26">
        <v>4</v>
      </c>
      <c r="K238" s="26">
        <v>6</v>
      </c>
      <c r="L238" s="26">
        <v>8</v>
      </c>
      <c r="N238" s="24">
        <v>45238</v>
      </c>
      <c r="O238" s="16" cm="1">
        <f t="array" ref="O238">_xll.BADDPERIODS(N238, "PER=WD", "NUMBEROFPERIODS=2", "BUSDAYADJ=-2", "CDR=GQ", "CDR=P9")</f>
        <v>45240</v>
      </c>
      <c r="P238" s="15" cm="1">
        <f t="array" ref="P238">_xll.BDH("XAG Curncy","PX_LAST",N238,N238)</f>
        <v>22.5593</v>
      </c>
      <c r="Q238" s="15" t="str" cm="1">
        <f t="array" ref="Q238">_xll.BDP("SIZ23 Comdty",$M$32)</f>
        <v>01/12/2023</v>
      </c>
      <c r="R238" s="15">
        <f t="shared" si="149"/>
        <v>21</v>
      </c>
      <c r="S238" s="23">
        <v>5.5500000000000001E-2</v>
      </c>
      <c r="T238" s="21">
        <f t="shared" si="150"/>
        <v>7.3035733750000012E-2</v>
      </c>
      <c r="U238" s="22">
        <v>0.08</v>
      </c>
      <c r="V238" s="20">
        <f t="shared" si="151"/>
        <v>0.69642662499999897</v>
      </c>
      <c r="W238" s="15">
        <v>15</v>
      </c>
      <c r="X238" s="15">
        <v>20</v>
      </c>
      <c r="Y238" s="15">
        <v>25</v>
      </c>
      <c r="Z238" s="18">
        <f t="shared" si="152"/>
        <v>7.3035733750000009</v>
      </c>
      <c r="AA238" s="18">
        <f t="shared" si="153"/>
        <v>8</v>
      </c>
      <c r="AB238" s="18">
        <f t="shared" si="154"/>
        <v>0.69642662499999897</v>
      </c>
      <c r="AE238" s="44" cm="1">
        <f t="array" ref="AE238">_xll.BDH("COMXGOLD Comdty","PX_Last", N238)</f>
        <v>19887388.318999998</v>
      </c>
      <c r="AF238" s="15" t="str" cm="1">
        <f t="array" ref="AF238">_xll.BDS("GCA Comdty","FUT_CHAIN", "CHAIN_DATE",A238,"endrow=1")</f>
        <v>GCX23 Comdty</v>
      </c>
      <c r="AG238" s="44" cm="1">
        <f t="array" ref="AG238">_xll.BDH(AF238,"FUT_AGGTE_OPEN_INT",A238)</f>
        <v>480121</v>
      </c>
      <c r="AH238" s="44">
        <f t="shared" si="123"/>
        <v>48012100</v>
      </c>
      <c r="AI238" s="48">
        <f t="shared" si="124"/>
        <v>0.41421617298555985</v>
      </c>
      <c r="AJ238" s="45"/>
      <c r="AK238" s="44" cm="1">
        <f t="array" ref="AK238">_xll.BDH("COMXSILV Comdty","PX_Last", N238)</f>
        <v>267431.38</v>
      </c>
      <c r="AL238" s="15" t="str" cm="1">
        <f t="array" ref="AL238">_xll.BDS("SIA Comdty","FUT_CHAIN", "CHAIN_DATE",A238,"endrow=1")</f>
        <v>SIX23 Comdty</v>
      </c>
      <c r="AM238" s="47" cm="1">
        <f t="array" ref="AM238">_xll.BDH(AL238,"FUT_AGGTE_OPEN_INT",A238)</f>
        <v>130361</v>
      </c>
      <c r="AN238" s="45">
        <f t="shared" si="125"/>
        <v>410.29353871173123</v>
      </c>
      <c r="AO238" s="46">
        <f t="shared" si="126"/>
        <v>26743138000</v>
      </c>
      <c r="AP238" s="46">
        <f t="shared" si="127"/>
        <v>651805</v>
      </c>
      <c r="AQ238" s="46"/>
    </row>
    <row r="239" spans="1:43" s="15" customFormat="1" x14ac:dyDescent="0.2">
      <c r="A239" s="24">
        <v>45239</v>
      </c>
      <c r="B239" s="25" cm="1">
        <f t="array" ref="B239">_xll.BADDPERIODS(A239, "PER=WD", "NUMBEROFPERIODS=2", "BUSDAYADJ=-2", "CDR=GQ", "CDR=P9")</f>
        <v>45243</v>
      </c>
      <c r="C239" s="26" cm="1">
        <f t="array" ref="C239">_xll.BDH("XAU Curncy","PX_LAST",A239,A239)</f>
        <v>1958.55</v>
      </c>
      <c r="D239" s="26" t="str" cm="1">
        <f t="array" ref="D239">_xll.BDP("GCZ23 Comdty",$M$32)</f>
        <v>01/12/2023</v>
      </c>
      <c r="E239" s="26">
        <f t="shared" si="146"/>
        <v>18</v>
      </c>
      <c r="F239" s="27">
        <v>5.5E-2</v>
      </c>
      <c r="G239" s="28">
        <f t="shared" si="147"/>
        <v>5.3860125000000005</v>
      </c>
      <c r="H239" s="29">
        <v>5</v>
      </c>
      <c r="I239" s="19">
        <f t="shared" si="148"/>
        <v>-0.38601250000000054</v>
      </c>
      <c r="J239" s="26">
        <v>4</v>
      </c>
      <c r="K239" s="26">
        <v>6</v>
      </c>
      <c r="L239" s="26">
        <v>8</v>
      </c>
      <c r="N239" s="24">
        <v>45239</v>
      </c>
      <c r="O239" s="16" cm="1">
        <f t="array" ref="O239">_xll.BADDPERIODS(N239, "PER=WD", "NUMBEROFPERIODS=2", "BUSDAYADJ=-2", "CDR=GQ", "CDR=P9")</f>
        <v>45243</v>
      </c>
      <c r="P239" s="15" cm="1">
        <f t="array" ref="P239">_xll.BDH("XAG Curncy","PX_LAST",N239,N239)</f>
        <v>22.637699999999999</v>
      </c>
      <c r="Q239" s="15" t="str" cm="1">
        <f t="array" ref="Q239">_xll.BDP("SIZ23 Comdty",$M$32)</f>
        <v>01/12/2023</v>
      </c>
      <c r="R239" s="15">
        <f t="shared" si="149"/>
        <v>18</v>
      </c>
      <c r="S239" s="23">
        <v>5.5500000000000001E-2</v>
      </c>
      <c r="T239" s="21">
        <f t="shared" si="150"/>
        <v>6.2819617500000008E-2</v>
      </c>
      <c r="U239" s="22">
        <v>7.4999999999999997E-2</v>
      </c>
      <c r="V239" s="20">
        <f t="shared" si="151"/>
        <v>1.2180382499999989</v>
      </c>
      <c r="W239" s="15">
        <v>15</v>
      </c>
      <c r="X239" s="15">
        <v>20</v>
      </c>
      <c r="Y239" s="15">
        <v>25</v>
      </c>
      <c r="Z239" s="18">
        <f t="shared" si="152"/>
        <v>6.2819617500000007</v>
      </c>
      <c r="AA239" s="18">
        <f t="shared" si="153"/>
        <v>7.5</v>
      </c>
      <c r="AB239" s="18">
        <f t="shared" si="154"/>
        <v>1.2180382499999989</v>
      </c>
      <c r="AE239" s="44" cm="1">
        <f t="array" ref="AE239">_xll.BDH("COMXGOLD Comdty","PX_Last", N239)</f>
        <v>19887291.866</v>
      </c>
      <c r="AF239" s="15" t="str" cm="1">
        <f t="array" ref="AF239">_xll.BDS("GCA Comdty","FUT_CHAIN", "CHAIN_DATE",A239,"endrow=1")</f>
        <v>GCX23 Comdty</v>
      </c>
      <c r="AG239" s="44" cm="1">
        <f t="array" ref="AG239">_xll.BDH(AF239,"FUT_AGGTE_OPEN_INT",A239)</f>
        <v>480477</v>
      </c>
      <c r="AH239" s="44">
        <f t="shared" si="123"/>
        <v>48047700</v>
      </c>
      <c r="AI239" s="48">
        <f t="shared" si="124"/>
        <v>0.4139072602018411</v>
      </c>
      <c r="AJ239" s="45"/>
      <c r="AK239" s="44" cm="1">
        <f t="array" ref="AK239">_xll.BDH("COMXSILV Comdty","PX_Last", N239)</f>
        <v>266665.53000000003</v>
      </c>
      <c r="AL239" s="15" t="str" cm="1">
        <f t="array" ref="AL239">_xll.BDS("SIA Comdty","FUT_CHAIN", "CHAIN_DATE",A239,"endrow=1")</f>
        <v>SIX23 Comdty</v>
      </c>
      <c r="AM239" s="47" cm="1">
        <f t="array" ref="AM239">_xll.BDH(AL239,"FUT_AGGTE_OPEN_INT",A239)</f>
        <v>128737</v>
      </c>
      <c r="AN239" s="45">
        <f t="shared" si="125"/>
        <v>414.2795466726738</v>
      </c>
      <c r="AO239" s="46">
        <f t="shared" si="126"/>
        <v>26666553000.000004</v>
      </c>
      <c r="AP239" s="46">
        <f t="shared" si="127"/>
        <v>643685</v>
      </c>
      <c r="AQ239" s="46"/>
    </row>
    <row r="240" spans="1:43" s="15" customFormat="1" x14ac:dyDescent="0.2">
      <c r="A240" s="24">
        <v>45240</v>
      </c>
      <c r="B240" s="25" cm="1">
        <f t="array" ref="B240">_xll.BADDPERIODS(A240, "PER=WD", "NUMBEROFPERIODS=2", "BUSDAYADJ=-2", "CDR=GQ", "CDR=P9")</f>
        <v>45244</v>
      </c>
      <c r="C240" s="26" cm="1">
        <f t="array" ref="C240">_xll.BDH("XAU Curncy","PX_LAST",A240,A240)</f>
        <v>1940.2</v>
      </c>
      <c r="D240" s="26" t="str" cm="1">
        <f t="array" ref="D240">_xll.BDP("GCZ23 Comdty",$M$32)</f>
        <v>01/12/2023</v>
      </c>
      <c r="E240" s="26">
        <f t="shared" si="146"/>
        <v>17</v>
      </c>
      <c r="F240" s="27">
        <v>5.4800000000000001E-2</v>
      </c>
      <c r="G240" s="28">
        <f t="shared" si="147"/>
        <v>5.0208064444444442</v>
      </c>
      <c r="H240" s="29">
        <v>4.45</v>
      </c>
      <c r="I240" s="19">
        <f t="shared" si="148"/>
        <v>-0.57080644444444406</v>
      </c>
      <c r="J240" s="26">
        <v>4</v>
      </c>
      <c r="K240" s="26">
        <v>6</v>
      </c>
      <c r="L240" s="26">
        <v>8</v>
      </c>
      <c r="N240" s="24">
        <v>45240</v>
      </c>
      <c r="O240" s="16" cm="1">
        <f t="array" ref="O240">_xll.BADDPERIODS(N240, "PER=WD", "NUMBEROFPERIODS=2", "BUSDAYADJ=-2", "CDR=GQ", "CDR=P9")</f>
        <v>45244</v>
      </c>
      <c r="P240" s="15" cm="1">
        <f t="array" ref="P240">_xll.BDH("XAG Curncy","PX_LAST",N240,N240)</f>
        <v>22.267499999999998</v>
      </c>
      <c r="Q240" s="15" t="str" cm="1">
        <f t="array" ref="Q240">_xll.BDP("SIZ23 Comdty",$M$32)</f>
        <v>01/12/2023</v>
      </c>
      <c r="R240" s="15">
        <f t="shared" si="149"/>
        <v>17</v>
      </c>
      <c r="S240" s="23">
        <v>5.5500000000000001E-2</v>
      </c>
      <c r="T240" s="21">
        <f t="shared" si="150"/>
        <v>5.8359406249999995E-2</v>
      </c>
      <c r="U240" s="22">
        <v>0.06</v>
      </c>
      <c r="V240" s="20">
        <f t="shared" si="151"/>
        <v>0.16405937500000023</v>
      </c>
      <c r="W240" s="15">
        <v>15</v>
      </c>
      <c r="X240" s="15">
        <v>20</v>
      </c>
      <c r="Y240" s="15">
        <v>25</v>
      </c>
      <c r="Z240" s="18">
        <f t="shared" si="152"/>
        <v>5.8359406249999992</v>
      </c>
      <c r="AA240" s="18">
        <f t="shared" si="153"/>
        <v>6</v>
      </c>
      <c r="AB240" s="18">
        <f t="shared" si="154"/>
        <v>0.16405937500000023</v>
      </c>
      <c r="AE240" s="44" cm="1">
        <f t="array" ref="AE240">_xll.BDH("COMXGOLD Comdty","PX_Last", N240)</f>
        <v>19884012.464000002</v>
      </c>
      <c r="AF240" s="15" t="str" cm="1">
        <f t="array" ref="AF240">_xll.BDS("GCA Comdty","FUT_CHAIN", "CHAIN_DATE",A240,"endrow=1")</f>
        <v>GCX23 Comdty</v>
      </c>
      <c r="AG240" s="44" cm="1">
        <f t="array" ref="AG240">_xll.BDH(AF240,"FUT_AGGTE_OPEN_INT",A240)</f>
        <v>473141</v>
      </c>
      <c r="AH240" s="44">
        <f t="shared" si="123"/>
        <v>47314100</v>
      </c>
      <c r="AI240" s="48">
        <f t="shared" si="124"/>
        <v>0.42025553617209249</v>
      </c>
      <c r="AJ240" s="45"/>
      <c r="AK240" s="44" cm="1">
        <f t="array" ref="AK240">_xll.BDH("COMXSILV Comdty","PX_Last", N240)</f>
        <v>265986.56</v>
      </c>
      <c r="AL240" s="15" t="str" cm="1">
        <f t="array" ref="AL240">_xll.BDS("SIA Comdty","FUT_CHAIN", "CHAIN_DATE",A240,"endrow=1")</f>
        <v>SIX23 Comdty</v>
      </c>
      <c r="AM240" s="47" cm="1">
        <f t="array" ref="AM240">_xll.BDH(AL240,"FUT_AGGTE_OPEN_INT",A240)</f>
        <v>131505</v>
      </c>
      <c r="AN240" s="45">
        <f t="shared" si="125"/>
        <v>404.52691532641342</v>
      </c>
      <c r="AO240" s="46">
        <f t="shared" si="126"/>
        <v>26598656000</v>
      </c>
      <c r="AP240" s="46">
        <f t="shared" si="127"/>
        <v>657525</v>
      </c>
      <c r="AQ240" s="46"/>
    </row>
    <row r="241" spans="1:43" s="15" customFormat="1" x14ac:dyDescent="0.2">
      <c r="A241" s="24">
        <v>45243</v>
      </c>
      <c r="B241" s="25" cm="1">
        <f t="array" ref="B241">_xll.BADDPERIODS(A241, "PER=WD", "NUMBEROFPERIODS=2", "BUSDAYADJ=-2", "CDR=GQ", "CDR=P9")</f>
        <v>45245</v>
      </c>
      <c r="C241" s="26" cm="1">
        <f t="array" ref="C241">_xll.BDH("XAU Curncy","PX_LAST",A241,A241)</f>
        <v>1946.92</v>
      </c>
      <c r="D241" s="26" t="str" cm="1">
        <f t="array" ref="D241">_xll.BDP("GCZ23 Comdty",$M$32)</f>
        <v>01/12/2023</v>
      </c>
      <c r="E241" s="26">
        <f t="shared" si="146"/>
        <v>16</v>
      </c>
      <c r="F241" s="27">
        <v>5.5E-2</v>
      </c>
      <c r="G241" s="28">
        <f t="shared" si="147"/>
        <v>4.7591377777777781</v>
      </c>
      <c r="H241" s="29">
        <v>4.4000000000000004</v>
      </c>
      <c r="I241" s="19">
        <f t="shared" si="148"/>
        <v>-0.35913777777777778</v>
      </c>
      <c r="J241" s="26">
        <v>4</v>
      </c>
      <c r="K241" s="26">
        <v>6</v>
      </c>
      <c r="L241" s="26">
        <v>8</v>
      </c>
      <c r="N241" s="24">
        <v>45243</v>
      </c>
      <c r="O241" s="16" cm="1">
        <f t="array" ref="O241">_xll.BADDPERIODS(N241, "PER=WD", "NUMBEROFPERIODS=2", "BUSDAYADJ=-2", "CDR=GQ", "CDR=P9")</f>
        <v>45245</v>
      </c>
      <c r="P241" s="15" cm="1">
        <f t="array" ref="P241">_xll.BDH("XAG Curncy","PX_LAST",N241,N241)</f>
        <v>22.325800000000001</v>
      </c>
      <c r="Q241" s="15" t="str" cm="1">
        <f t="array" ref="Q241">_xll.BDP("SIZ23 Comdty",$M$32)</f>
        <v>01/12/2023</v>
      </c>
      <c r="R241" s="15">
        <f t="shared" si="149"/>
        <v>16</v>
      </c>
      <c r="S241" s="23">
        <v>5.5500000000000001E-2</v>
      </c>
      <c r="T241" s="21">
        <f t="shared" si="150"/>
        <v>5.5070306666666673E-2</v>
      </c>
      <c r="U241" s="22">
        <v>0.06</v>
      </c>
      <c r="V241" s="20">
        <f t="shared" si="151"/>
        <v>0.49296933333333248</v>
      </c>
      <c r="W241" s="15">
        <v>15</v>
      </c>
      <c r="X241" s="15">
        <v>20</v>
      </c>
      <c r="Y241" s="15">
        <v>25</v>
      </c>
      <c r="Z241" s="18">
        <f t="shared" si="152"/>
        <v>5.5070306666666671</v>
      </c>
      <c r="AA241" s="18">
        <f t="shared" si="153"/>
        <v>6</v>
      </c>
      <c r="AB241" s="18">
        <f t="shared" si="154"/>
        <v>0.49296933333333248</v>
      </c>
      <c r="AE241" s="44" cm="1">
        <f t="array" ref="AE241">_xll.BDH("COMXGOLD Comdty","PX_Last", N241)</f>
        <v>19883985.473999999</v>
      </c>
      <c r="AF241" s="15" t="str" cm="1">
        <f t="array" ref="AF241">_xll.BDS("GCA Comdty","FUT_CHAIN", "CHAIN_DATE",A241,"endrow=1")</f>
        <v>GCX23 Comdty</v>
      </c>
      <c r="AG241" s="44" cm="1">
        <f t="array" ref="AG241">_xll.BDH(AF241,"FUT_AGGTE_OPEN_INT",A241)</f>
        <v>481511</v>
      </c>
      <c r="AH241" s="44">
        <f t="shared" si="123"/>
        <v>48151100</v>
      </c>
      <c r="AI241" s="48">
        <f t="shared" si="124"/>
        <v>0.41294976592435062</v>
      </c>
      <c r="AJ241" s="45"/>
      <c r="AK241" s="44" cm="1">
        <f t="array" ref="AK241">_xll.BDH("COMXSILV Comdty","PX_Last", N241)</f>
        <v>265926.65999999997</v>
      </c>
      <c r="AL241" s="15" t="str" cm="1">
        <f t="array" ref="AL241">_xll.BDS("SIA Comdty","FUT_CHAIN", "CHAIN_DATE",A241,"endrow=1")</f>
        <v>SIX23 Comdty</v>
      </c>
      <c r="AM241" s="47" cm="1">
        <f t="array" ref="AM241">_xll.BDH(AL241,"FUT_AGGTE_OPEN_INT",A241)</f>
        <v>134136</v>
      </c>
      <c r="AN241" s="45">
        <f t="shared" si="125"/>
        <v>396.50304168903199</v>
      </c>
      <c r="AO241" s="46">
        <f t="shared" si="126"/>
        <v>26592665999.999996</v>
      </c>
      <c r="AP241" s="46">
        <f t="shared" si="127"/>
        <v>670680</v>
      </c>
      <c r="AQ241" s="46"/>
    </row>
    <row r="242" spans="1:43" x14ac:dyDescent="0.2">
      <c r="A242" s="24">
        <v>45244</v>
      </c>
      <c r="B242" s="25" cm="1">
        <f t="array" ref="B242">_xll.BADDPERIODS(A242, "PER=WD", "NUMBEROFPERIODS=2", "BUSDAYADJ=-2", "CDR=GQ", "CDR=P9")</f>
        <v>45246</v>
      </c>
      <c r="C242" s="26" cm="1">
        <f t="array" ref="C242">_xll.BDH("XAU Curncy","PX_LAST",A242,A242)</f>
        <v>1964.29</v>
      </c>
      <c r="D242" s="26" t="str" cm="1">
        <f t="array" ref="D242">_xll.BDP("GCZ23 Comdty",$M$32)</f>
        <v>01/12/2023</v>
      </c>
      <c r="E242" s="26">
        <f t="shared" si="146"/>
        <v>15</v>
      </c>
      <c r="F242" s="27">
        <v>5.5E-2</v>
      </c>
      <c r="G242" s="28">
        <f t="shared" si="147"/>
        <v>4.5014979166666667</v>
      </c>
      <c r="H242" s="29">
        <v>4.2</v>
      </c>
      <c r="I242" s="19">
        <f t="shared" si="148"/>
        <v>-0.30149791666666648</v>
      </c>
      <c r="J242" s="26">
        <v>4</v>
      </c>
      <c r="K242" s="26">
        <v>6</v>
      </c>
      <c r="L242" s="26">
        <v>8</v>
      </c>
      <c r="N242" s="24">
        <v>45244</v>
      </c>
      <c r="O242" s="16" cm="1">
        <f t="array" ref="O242">_xll.BADDPERIODS(N242, "PER=WD", "NUMBEROFPERIODS=2", "BUSDAYADJ=-2", "CDR=GQ", "CDR=P9")</f>
        <v>45246</v>
      </c>
      <c r="P242" s="15" cm="1">
        <f t="array" ref="P242">_xll.BDH("XAG Curncy","PX_LAST",N242,N242)</f>
        <v>23.090900000000001</v>
      </c>
      <c r="Q242" s="15" t="str" cm="1">
        <f t="array" ref="Q242">_xll.BDP("SIZ23 Comdty",$M$32)</f>
        <v>01/12/2023</v>
      </c>
      <c r="R242" s="15">
        <f t="shared" si="149"/>
        <v>15</v>
      </c>
      <c r="S242" s="23">
        <v>5.5500000000000001E-2</v>
      </c>
      <c r="T242" s="21">
        <f t="shared" si="150"/>
        <v>5.3397706250000003E-2</v>
      </c>
      <c r="U242" s="22">
        <v>5.5E-2</v>
      </c>
      <c r="V242" s="20">
        <f t="shared" si="151"/>
        <v>0.16022937499999973</v>
      </c>
      <c r="W242" s="15">
        <v>15</v>
      </c>
      <c r="X242" s="15">
        <v>20</v>
      </c>
      <c r="Y242" s="15">
        <v>25</v>
      </c>
      <c r="Z242" s="18">
        <f t="shared" si="152"/>
        <v>5.3397706249999999</v>
      </c>
      <c r="AA242" s="18">
        <f t="shared" si="153"/>
        <v>5.5</v>
      </c>
      <c r="AB242" s="18">
        <f t="shared" si="154"/>
        <v>0.16022937499999973</v>
      </c>
      <c r="AE242" s="44" cm="1">
        <f t="array" ref="AE242">_xll.BDH("COMXGOLD Comdty","PX_Last", N242)</f>
        <v>19883985.467999998</v>
      </c>
      <c r="AF242" s="15" t="str" cm="1">
        <f t="array" ref="AF242">_xll.BDS("GCA Comdty","FUT_CHAIN", "CHAIN_DATE",A242,"endrow=1")</f>
        <v>GCX23 Comdty</v>
      </c>
      <c r="AG242" s="44" cm="1">
        <f t="array" ref="AG242">_xll.BDH(AF242,"FUT_AGGTE_OPEN_INT",A242)</f>
        <v>486634</v>
      </c>
      <c r="AH242" s="44">
        <f t="shared" si="123"/>
        <v>48663400</v>
      </c>
      <c r="AI242" s="48">
        <f t="shared" si="124"/>
        <v>0.40860247060419119</v>
      </c>
      <c r="AJ242" s="45"/>
      <c r="AK242" s="44" cm="1">
        <f t="array" ref="AK242">_xll.BDH("COMXSILV Comdty","PX_Last", N242)</f>
        <v>266525.59000000003</v>
      </c>
      <c r="AL242" s="15" t="str" cm="1">
        <f t="array" ref="AL242">_xll.BDS("SIA Comdty","FUT_CHAIN", "CHAIN_DATE",A242,"endrow=1")</f>
        <v>SIX23 Comdty</v>
      </c>
      <c r="AM242" s="47" cm="1">
        <f t="array" ref="AM242">_xll.BDH(AL242,"FUT_AGGTE_OPEN_INT",A242)</f>
        <v>134826</v>
      </c>
      <c r="AN242" s="45">
        <f t="shared" si="125"/>
        <v>395.36230400664567</v>
      </c>
      <c r="AO242" s="46">
        <f t="shared" si="126"/>
        <v>26652559000.000004</v>
      </c>
      <c r="AP242" s="46">
        <f t="shared" si="127"/>
        <v>674130</v>
      </c>
      <c r="AQ242" s="46"/>
    </row>
    <row r="243" spans="1:43" x14ac:dyDescent="0.2">
      <c r="A243" s="24">
        <v>45245</v>
      </c>
      <c r="B243" s="25" cm="1">
        <f t="array" ref="B243">_xll.BADDPERIODS(A243, "PER=WD", "NUMBEROFPERIODS=2", "BUSDAYADJ=-2", "CDR=GQ", "CDR=P9")</f>
        <v>45247</v>
      </c>
      <c r="C243" s="26" cm="1">
        <f t="array" ref="C243">_xll.BDH("XAU Curncy","PX_LAST",A243,A243)</f>
        <v>1959.85</v>
      </c>
      <c r="D243" s="26" t="str" cm="1">
        <f t="array" ref="D243">_xll.BDP("GCZ23 Comdty",$M$32)</f>
        <v>01/12/2023</v>
      </c>
      <c r="E243" s="26">
        <f t="shared" si="146"/>
        <v>14</v>
      </c>
      <c r="F243" s="27">
        <v>5.5E-2</v>
      </c>
      <c r="G243" s="28">
        <f t="shared" si="147"/>
        <v>4.1919013888888887</v>
      </c>
      <c r="H243" s="12">
        <v>3.9</v>
      </c>
      <c r="I243" s="30">
        <f t="shared" si="148"/>
        <v>-0.29190138888888884</v>
      </c>
      <c r="J243" s="26">
        <v>4</v>
      </c>
      <c r="K243" s="26">
        <v>6</v>
      </c>
      <c r="L243" s="26">
        <v>8</v>
      </c>
      <c r="N243" s="24">
        <v>45245</v>
      </c>
      <c r="O243" s="16" cm="1">
        <f t="array" ref="O243">_xll.BADDPERIODS(N243, "PER=WD", "NUMBEROFPERIODS=2", "BUSDAYADJ=-2", "CDR=GQ", "CDR=P9")</f>
        <v>45247</v>
      </c>
      <c r="P243" s="15" cm="1">
        <f t="array" ref="P243">_xll.BDH("XAG Curncy","PX_LAST",N243,N243)</f>
        <v>23.4421</v>
      </c>
      <c r="Q243" s="15" t="str" cm="1">
        <f t="array" ref="Q243">_xll.BDP("SIZ23 Comdty",$M$32)</f>
        <v>01/12/2023</v>
      </c>
      <c r="R243" s="15">
        <f t="shared" si="149"/>
        <v>14</v>
      </c>
      <c r="S243" s="23">
        <v>5.5500000000000001E-2</v>
      </c>
      <c r="T243" s="21">
        <f t="shared" si="150"/>
        <v>5.0595865833333337E-2</v>
      </c>
      <c r="U243" s="22">
        <v>0.05</v>
      </c>
      <c r="V243" s="20">
        <f t="shared" si="151"/>
        <v>-5.9586583333333387E-2</v>
      </c>
      <c r="W243" s="15">
        <v>15</v>
      </c>
      <c r="X243" s="15">
        <v>20</v>
      </c>
      <c r="Y243" s="15">
        <v>25</v>
      </c>
      <c r="Z243" s="18">
        <f t="shared" si="152"/>
        <v>5.059586583333334</v>
      </c>
      <c r="AA243" s="18">
        <f t="shared" si="153"/>
        <v>5</v>
      </c>
      <c r="AB243" s="18">
        <f t="shared" si="154"/>
        <v>-5.9586583333333387E-2</v>
      </c>
      <c r="AE243" s="44" cm="1">
        <f t="array" ref="AE243">_xll.BDH("COMXGOLD Comdty","PX_Last", N243)</f>
        <v>19883985.467999998</v>
      </c>
      <c r="AF243" s="15" t="str" cm="1">
        <f t="array" ref="AF243">_xll.BDS("GCA Comdty","FUT_CHAIN", "CHAIN_DATE",A243,"endrow=1")</f>
        <v>GCX23 Comdty</v>
      </c>
      <c r="AG243" s="44" cm="1">
        <f t="array" ref="AG243">_xll.BDH(AF243,"FUT_AGGTE_OPEN_INT",A243)</f>
        <v>483704</v>
      </c>
      <c r="AH243" s="44">
        <f t="shared" si="123"/>
        <v>48370400</v>
      </c>
      <c r="AI243" s="48">
        <f t="shared" si="124"/>
        <v>0.41107754883151676</v>
      </c>
      <c r="AJ243" s="45"/>
      <c r="AK243" s="44" cm="1">
        <f t="array" ref="AK243">_xll.BDH("COMXSILV Comdty","PX_Last", N243)</f>
        <v>266560.65999999997</v>
      </c>
      <c r="AL243" s="15" t="str" cm="1">
        <f t="array" ref="AL243">_xll.BDS("SIA Comdty","FUT_CHAIN", "CHAIN_DATE",A243,"endrow=1")</f>
        <v>SIX23 Comdty</v>
      </c>
      <c r="AM243" s="47" cm="1">
        <f t="array" ref="AM243">_xll.BDH(AL243,"FUT_AGGTE_OPEN_INT",A243)</f>
        <v>134534</v>
      </c>
      <c r="AN243" s="45">
        <f t="shared" si="125"/>
        <v>396.27255563649334</v>
      </c>
      <c r="AO243" s="46">
        <f t="shared" si="126"/>
        <v>26656065999.999996</v>
      </c>
      <c r="AP243" s="46">
        <f t="shared" si="127"/>
        <v>672670</v>
      </c>
      <c r="AQ243" s="46"/>
    </row>
    <row r="244" spans="1:43" x14ac:dyDescent="0.2">
      <c r="A244" s="24">
        <v>45246</v>
      </c>
      <c r="B244" s="25" cm="1">
        <f t="array" ref="B244">_xll.BADDPERIODS(A244, "PER=WD", "NUMBEROFPERIODS=2", "BUSDAYADJ=-2", "CDR=GQ", "CDR=P9")</f>
        <v>45250</v>
      </c>
      <c r="C244" s="26" cm="1">
        <f t="array" ref="C244">_xll.BDH("XAU Curncy","PX_LAST",A244,A244)</f>
        <v>1980.9</v>
      </c>
      <c r="D244" s="26" t="str" cm="1">
        <f t="array" ref="D244">_xll.BDP("GCZ23 Comdty",$M$32)</f>
        <v>01/12/2023</v>
      </c>
      <c r="E244" s="26">
        <f t="shared" si="146"/>
        <v>11</v>
      </c>
      <c r="F244" s="27">
        <v>5.5E-2</v>
      </c>
      <c r="G244" s="28">
        <f t="shared" si="147"/>
        <v>3.3290125000000002</v>
      </c>
      <c r="H244" s="12">
        <v>2.9</v>
      </c>
      <c r="I244" s="30">
        <f t="shared" si="148"/>
        <v>-0.42901250000000024</v>
      </c>
      <c r="J244" s="26">
        <v>4</v>
      </c>
      <c r="K244" s="26">
        <v>6</v>
      </c>
      <c r="L244" s="26">
        <v>8</v>
      </c>
      <c r="N244" s="24">
        <v>45246</v>
      </c>
      <c r="O244" s="16" cm="1">
        <f t="array" ref="O244">_xll.BADDPERIODS(N244, "PER=WD", "NUMBEROFPERIODS=2", "BUSDAYADJ=-2", "CDR=GQ", "CDR=P9")</f>
        <v>45250</v>
      </c>
      <c r="P244" s="15" cm="1">
        <f t="array" ref="P244">_xll.BDH("XAG Curncy","PX_LAST",N244,N244)</f>
        <v>23.747199999999999</v>
      </c>
      <c r="Q244" s="15" t="str" cm="1">
        <f t="array" ref="Q244">_xll.BDP("SIZ23 Comdty",$M$32)</f>
        <v>01/12/2023</v>
      </c>
      <c r="R244" s="15">
        <f t="shared" si="149"/>
        <v>11</v>
      </c>
      <c r="S244" s="23">
        <v>5.5500000000000001E-2</v>
      </c>
      <c r="T244" s="21">
        <f t="shared" si="150"/>
        <v>4.0271293333333333E-2</v>
      </c>
      <c r="U244" s="22">
        <v>6.25E-2</v>
      </c>
      <c r="V244" s="20">
        <f t="shared" si="151"/>
        <v>2.2228706666666667</v>
      </c>
      <c r="W244" s="15">
        <v>15</v>
      </c>
      <c r="X244" s="15">
        <v>20</v>
      </c>
      <c r="Y244" s="15">
        <v>25</v>
      </c>
      <c r="Z244" s="18">
        <f t="shared" si="152"/>
        <v>4.0271293333333329</v>
      </c>
      <c r="AA244" s="18">
        <f t="shared" si="153"/>
        <v>6.25</v>
      </c>
      <c r="AB244" s="18">
        <f t="shared" si="154"/>
        <v>2.2228706666666667</v>
      </c>
      <c r="AE244" s="44" cm="1">
        <f t="array" ref="AE244">_xll.BDH("COMXGOLD Comdty","PX_Last", N244)</f>
        <v>19883599.655999999</v>
      </c>
      <c r="AF244" s="15" t="str" cm="1">
        <f t="array" ref="AF244">_xll.BDS("GCA Comdty","FUT_CHAIN", "CHAIN_DATE",A244,"endrow=1")</f>
        <v>GCX23 Comdty</v>
      </c>
      <c r="AG244" s="44" cm="1">
        <f t="array" ref="AG244">_xll.BDH(AF244,"FUT_AGGTE_OPEN_INT",A244)</f>
        <v>488476</v>
      </c>
      <c r="AH244" s="44">
        <f t="shared" si="123"/>
        <v>48847600</v>
      </c>
      <c r="AI244" s="48">
        <f t="shared" si="124"/>
        <v>0.40705376837347179</v>
      </c>
      <c r="AJ244" s="45"/>
      <c r="AK244" s="44" cm="1">
        <f t="array" ref="AK244">_xll.BDH("COMXSILV Comdty","PX_Last", N244)</f>
        <v>266519.96999999997</v>
      </c>
      <c r="AL244" s="15" t="str" cm="1">
        <f t="array" ref="AL244">_xll.BDS("SIA Comdty","FUT_CHAIN", "CHAIN_DATE",A244,"endrow=1")</f>
        <v>SIX23 Comdty</v>
      </c>
      <c r="AM244" s="47" cm="1">
        <f t="array" ref="AM244">_xll.BDH(AL244,"FUT_AGGTE_OPEN_INT",A244)</f>
        <v>134964</v>
      </c>
      <c r="AN244" s="45">
        <f t="shared" si="125"/>
        <v>394.94971992531333</v>
      </c>
      <c r="AO244" s="46">
        <f t="shared" si="126"/>
        <v>26651996999.999996</v>
      </c>
      <c r="AP244" s="46">
        <f t="shared" si="127"/>
        <v>674820</v>
      </c>
      <c r="AQ244" s="46"/>
    </row>
    <row r="245" spans="1:43" x14ac:dyDescent="0.2">
      <c r="A245" s="24">
        <v>45247</v>
      </c>
      <c r="B245" s="25" cm="1">
        <f t="array" ref="B245">_xll.BADDPERIODS(A245, "PER=WD", "NUMBEROFPERIODS=2", "BUSDAYADJ=-2", "CDR=GQ", "CDR=P9")</f>
        <v>45251</v>
      </c>
      <c r="C245" s="26" cm="1">
        <f t="array" ref="C245">_xll.BDH("XAU Curncy","PX_LAST",A245,A245)</f>
        <v>1980.82</v>
      </c>
      <c r="D245" s="26" t="str" cm="1">
        <f t="array" ref="D245">_xll.BDP("GCZ23 Comdty",$M$32)</f>
        <v>01/12/2023</v>
      </c>
      <c r="E245" s="26">
        <f t="shared" si="146"/>
        <v>10</v>
      </c>
      <c r="F245" s="27">
        <v>5.5E-2</v>
      </c>
      <c r="G245" s="28">
        <f t="shared" si="147"/>
        <v>3.0262527777777777</v>
      </c>
      <c r="H245" s="12">
        <v>2.6</v>
      </c>
      <c r="I245" s="30">
        <f t="shared" si="148"/>
        <v>-0.42625277777777759</v>
      </c>
      <c r="J245" s="26">
        <v>4</v>
      </c>
      <c r="K245" s="26">
        <v>6</v>
      </c>
      <c r="L245" s="26">
        <v>8</v>
      </c>
      <c r="N245" s="24">
        <v>45247</v>
      </c>
      <c r="O245" s="16" cm="1">
        <f t="array" ref="O245">_xll.BADDPERIODS(N245, "PER=WD", "NUMBEROFPERIODS=2", "BUSDAYADJ=-2", "CDR=GQ", "CDR=P9")</f>
        <v>45251</v>
      </c>
      <c r="P245" s="15" cm="1">
        <f t="array" ref="P245">_xll.BDH("XAG Curncy","PX_LAST",N245,N245)</f>
        <v>23.718900000000001</v>
      </c>
      <c r="Q245" s="15" t="str" cm="1">
        <f t="array" ref="Q245">_xll.BDP("SIZ23 Comdty",$M$32)</f>
        <v>01/12/2023</v>
      </c>
      <c r="R245" s="15">
        <f t="shared" si="149"/>
        <v>10</v>
      </c>
      <c r="S245" s="23">
        <v>5.5500000000000001E-2</v>
      </c>
      <c r="T245" s="21">
        <f t="shared" si="150"/>
        <v>3.6566637499999999E-2</v>
      </c>
      <c r="U245" s="22">
        <v>7.0000000000000007E-2</v>
      </c>
      <c r="V245" s="20">
        <f t="shared" si="151"/>
        <v>3.343336250000001</v>
      </c>
      <c r="W245" s="15">
        <v>15</v>
      </c>
      <c r="X245" s="15">
        <v>20</v>
      </c>
      <c r="Y245" s="15">
        <v>25</v>
      </c>
      <c r="Z245" s="18">
        <f t="shared" si="152"/>
        <v>3.6566637499999999</v>
      </c>
      <c r="AA245" s="18">
        <f t="shared" si="153"/>
        <v>7.0000000000000009</v>
      </c>
      <c r="AB245" s="18">
        <f t="shared" si="154"/>
        <v>3.343336250000001</v>
      </c>
      <c r="AE245" s="44" cm="1">
        <f t="array" ref="AE245">_xll.BDH("COMXGOLD Comdty","PX_Last", N245)</f>
        <v>19882900.136</v>
      </c>
      <c r="AF245" s="15" t="str" cm="1">
        <f t="array" ref="AF245">_xll.BDS("GCA Comdty","FUT_CHAIN", "CHAIN_DATE",A245,"endrow=1")</f>
        <v>GCX23 Comdty</v>
      </c>
      <c r="AG245" s="44" cm="1">
        <f t="array" ref="AG245">_xll.BDH(AF245,"FUT_AGGTE_OPEN_INT",A245)</f>
        <v>487533</v>
      </c>
      <c r="AH245" s="44">
        <f t="shared" si="123"/>
        <v>48753300</v>
      </c>
      <c r="AI245" s="48">
        <f t="shared" si="124"/>
        <v>0.40782675502991594</v>
      </c>
      <c r="AJ245" s="45"/>
      <c r="AK245" s="44" cm="1">
        <f t="array" ref="AK245">_xll.BDH("COMXSILV Comdty","PX_Last", N245)</f>
        <v>267119.40999999997</v>
      </c>
      <c r="AL245" s="15" t="str" cm="1">
        <f t="array" ref="AL245">_xll.BDS("SIA Comdty","FUT_CHAIN", "CHAIN_DATE",A245,"endrow=1")</f>
        <v>SIX23 Comdty</v>
      </c>
      <c r="AM245" s="47" cm="1">
        <f t="array" ref="AM245">_xll.BDH(AL245,"FUT_AGGTE_OPEN_INT",A245)</f>
        <v>133594</v>
      </c>
      <c r="AN245" s="45">
        <f t="shared" si="125"/>
        <v>399.89731574771315</v>
      </c>
      <c r="AO245" s="46">
        <f t="shared" si="126"/>
        <v>26711940999.999996</v>
      </c>
      <c r="AP245" s="46">
        <f t="shared" si="127"/>
        <v>667970</v>
      </c>
      <c r="AQ245" s="46"/>
    </row>
    <row r="246" spans="1:43" x14ac:dyDescent="0.2">
      <c r="A246" s="24">
        <v>45250</v>
      </c>
      <c r="B246" s="25" cm="1">
        <f t="array" ref="B246">_xll.BADDPERIODS(A246, "PER=WD", "NUMBEROFPERIODS=2", "BUSDAYADJ=-2", "CDR=GQ", "CDR=P9")</f>
        <v>45252</v>
      </c>
      <c r="C246" s="26" cm="1">
        <f t="array" ref="C246">_xll.BDH("XAU Curncy","PX_LAST",A246,A246)</f>
        <v>1978.07</v>
      </c>
      <c r="D246" s="26" t="str" cm="1">
        <f t="array" ref="D246">_xll.BDP("GCZ23 Comdty",$M$32)</f>
        <v>01/12/2023</v>
      </c>
      <c r="E246" s="26">
        <f t="shared" si="146"/>
        <v>9</v>
      </c>
      <c r="F246" s="27">
        <v>5.6000000000000001E-2</v>
      </c>
      <c r="G246" s="28">
        <f t="shared" si="147"/>
        <v>2.7692980000000005</v>
      </c>
      <c r="H246" s="12">
        <v>2.4</v>
      </c>
      <c r="I246" s="30">
        <f t="shared" si="148"/>
        <v>-0.36929800000000057</v>
      </c>
      <c r="J246" s="26">
        <v>4</v>
      </c>
      <c r="K246" s="26">
        <v>6</v>
      </c>
      <c r="L246" s="26">
        <v>8</v>
      </c>
      <c r="N246" s="24">
        <v>45250</v>
      </c>
      <c r="O246" s="16" cm="1">
        <f t="array" ref="O246">_xll.BADDPERIODS(N246, "PER=WD", "NUMBEROFPERIODS=2", "BUSDAYADJ=-2", "CDR=GQ", "CDR=P9")</f>
        <v>45252</v>
      </c>
      <c r="P246" s="15" cm="1">
        <f t="array" ref="P246">_xll.BDH("XAG Curncy","PX_LAST",N246,N246)</f>
        <v>23.4438</v>
      </c>
      <c r="Q246" s="15" t="str" cm="1">
        <f t="array" ref="Q246">_xll.BDP("SIZ23 Comdty",$M$32)</f>
        <v>01/12/2023</v>
      </c>
      <c r="R246" s="15">
        <f t="shared" si="149"/>
        <v>9</v>
      </c>
      <c r="S246" s="23">
        <v>5.5500000000000001E-2</v>
      </c>
      <c r="T246" s="21">
        <f t="shared" si="150"/>
        <v>3.2528272500000004E-2</v>
      </c>
      <c r="U246" s="22">
        <v>7.0000000000000007E-2</v>
      </c>
      <c r="V246" s="20">
        <f t="shared" si="151"/>
        <v>3.7471727500000003</v>
      </c>
      <c r="W246" s="15">
        <v>15</v>
      </c>
      <c r="X246" s="15">
        <v>20</v>
      </c>
      <c r="Y246" s="15">
        <v>25</v>
      </c>
      <c r="Z246" s="18">
        <f t="shared" si="152"/>
        <v>3.2528272500000002</v>
      </c>
      <c r="AA246" s="18">
        <f t="shared" si="153"/>
        <v>7.0000000000000009</v>
      </c>
      <c r="AB246" s="18">
        <f t="shared" si="154"/>
        <v>3.7471727500000003</v>
      </c>
      <c r="AE246" s="44" cm="1">
        <f t="array" ref="AE246">_xll.BDH("COMXGOLD Comdty","PX_Last", N246)</f>
        <v>19882900.136</v>
      </c>
      <c r="AF246" s="15" t="str" cm="1">
        <f t="array" ref="AF246">_xll.BDS("GCA Comdty","FUT_CHAIN", "CHAIN_DATE",A246,"endrow=1")</f>
        <v>GCX23 Comdty</v>
      </c>
      <c r="AG246" s="44" cm="1">
        <f t="array" ref="AG246">_xll.BDH(AF246,"FUT_AGGTE_OPEN_INT",A246)</f>
        <v>488683</v>
      </c>
      <c r="AH246" s="44">
        <f t="shared" si="123"/>
        <v>48868300</v>
      </c>
      <c r="AI246" s="48">
        <f t="shared" si="124"/>
        <v>0.40686703110196182</v>
      </c>
      <c r="AJ246" s="45"/>
      <c r="AK246" s="44" cm="1">
        <f t="array" ref="AK246">_xll.BDH("COMXSILV Comdty","PX_Last", N246)</f>
        <v>267209.53000000003</v>
      </c>
      <c r="AL246" s="15" t="str" cm="1">
        <f t="array" ref="AL246">_xll.BDS("SIA Comdty","FUT_CHAIN", "CHAIN_DATE",A246,"endrow=1")</f>
        <v>SIX23 Comdty</v>
      </c>
      <c r="AM246" s="47" cm="1">
        <f t="array" ref="AM246">_xll.BDH(AL246,"FUT_AGGTE_OPEN_INT",A246)</f>
        <v>133062</v>
      </c>
      <c r="AN246" s="45">
        <f t="shared" si="125"/>
        <v>401.63161533721126</v>
      </c>
      <c r="AO246" s="46">
        <f t="shared" si="126"/>
        <v>26720953000.000004</v>
      </c>
      <c r="AP246" s="46">
        <f t="shared" si="127"/>
        <v>665310</v>
      </c>
      <c r="AQ246" s="46"/>
    </row>
    <row r="247" spans="1:43" x14ac:dyDescent="0.2">
      <c r="A247" s="24">
        <v>45251</v>
      </c>
      <c r="B247" s="25" cm="1">
        <f t="array" ref="B247">_xll.BADDPERIODS(A247, "PER=WD", "NUMBEROFPERIODS=2", "BUSDAYADJ=-2", "CDR=GQ", "CDR=P9")</f>
        <v>45254</v>
      </c>
      <c r="C247" s="26" cm="1">
        <f t="array" ref="C247">_xll.BDH("XAU Curncy","PX_LAST",A247,A247)</f>
        <v>1998.29</v>
      </c>
      <c r="D247" s="26" t="str" cm="1">
        <f t="array" ref="D247">_xll.BDP("GCZ23 Comdty",$M$32)</f>
        <v>01/12/2023</v>
      </c>
      <c r="E247" s="26">
        <f t="shared" si="146"/>
        <v>7</v>
      </c>
      <c r="F247" s="27">
        <v>5.6000000000000001E-2</v>
      </c>
      <c r="G247" s="28">
        <f t="shared" si="147"/>
        <v>2.175915777777778</v>
      </c>
      <c r="H247" s="12">
        <v>1.7</v>
      </c>
      <c r="I247" s="30">
        <f t="shared" si="148"/>
        <v>-0.47591577777777805</v>
      </c>
      <c r="J247" s="26">
        <v>4</v>
      </c>
      <c r="K247" s="26">
        <v>6</v>
      </c>
      <c r="L247" s="26">
        <v>8</v>
      </c>
      <c r="N247" s="24">
        <v>45251</v>
      </c>
      <c r="O247" s="16" cm="1">
        <f t="array" ref="O247">_xll.BADDPERIODS(N247, "PER=WD", "NUMBEROFPERIODS=2", "BUSDAYADJ=-2", "CDR=GQ", "CDR=P9")</f>
        <v>45254</v>
      </c>
      <c r="P247" s="15" cm="1">
        <f t="array" ref="P247">_xll.BDH("XAG Curncy","PX_LAST",N247,N247)</f>
        <v>23.751899999999999</v>
      </c>
      <c r="Q247" s="15" t="str" cm="1">
        <f t="array" ref="Q247">_xll.BDP("SIZ23 Comdty",$M$32)</f>
        <v>01/12/2023</v>
      </c>
      <c r="R247" s="15">
        <f t="shared" si="149"/>
        <v>7</v>
      </c>
      <c r="S247" s="23">
        <v>5.5500000000000001E-2</v>
      </c>
      <c r="T247" s="21">
        <f t="shared" si="150"/>
        <v>2.5632258750000001E-2</v>
      </c>
      <c r="U247" s="22">
        <v>0.06</v>
      </c>
      <c r="V247" s="20">
        <f t="shared" si="151"/>
        <v>3.4367741249999999</v>
      </c>
      <c r="W247" s="15">
        <v>15</v>
      </c>
      <c r="X247" s="15">
        <v>20</v>
      </c>
      <c r="Y247" s="15">
        <v>25</v>
      </c>
      <c r="Z247" s="18">
        <f t="shared" si="152"/>
        <v>2.5632258750000001</v>
      </c>
      <c r="AA247" s="18">
        <f t="shared" si="153"/>
        <v>6</v>
      </c>
      <c r="AB247" s="18">
        <f t="shared" si="154"/>
        <v>3.4367741249999999</v>
      </c>
      <c r="AE247" s="44" cm="1">
        <f t="array" ref="AE247">_xll.BDH("COMXGOLD Comdty","PX_Last", N247)</f>
        <v>19882707.23</v>
      </c>
      <c r="AF247" s="15" t="str" cm="1">
        <f t="array" ref="AF247">_xll.BDS("GCA Comdty","FUT_CHAIN", "CHAIN_DATE",A247,"endrow=1")</f>
        <v>GCX23 Comdty</v>
      </c>
      <c r="AG247" s="44" cm="1">
        <f t="array" ref="AG247">_xll.BDH(AF247,"FUT_AGGTE_OPEN_INT",A247)</f>
        <v>508429</v>
      </c>
      <c r="AH247" s="44">
        <f t="shared" si="123"/>
        <v>50842900</v>
      </c>
      <c r="AI247" s="48">
        <f t="shared" si="124"/>
        <v>0.39106162768056113</v>
      </c>
      <c r="AJ247" s="45"/>
      <c r="AK247" s="44" cm="1">
        <f t="array" ref="AK247">_xll.BDH("COMXSILV Comdty","PX_Last", N247)</f>
        <v>268128.84000000003</v>
      </c>
      <c r="AL247" s="15" t="str" cm="1">
        <f t="array" ref="AL247">_xll.BDS("SIA Comdty","FUT_CHAIN", "CHAIN_DATE",A247,"endrow=1")</f>
        <v>SIX23 Comdty</v>
      </c>
      <c r="AM247" s="47" cm="1">
        <f t="array" ref="AM247">_xll.BDH(AL247,"FUT_AGGTE_OPEN_INT",A247)</f>
        <v>134333</v>
      </c>
      <c r="AN247" s="45">
        <f t="shared" si="125"/>
        <v>399.20025608003999</v>
      </c>
      <c r="AO247" s="46">
        <f t="shared" si="126"/>
        <v>26812884000.000004</v>
      </c>
      <c r="AP247" s="46">
        <f t="shared" si="127"/>
        <v>671665</v>
      </c>
      <c r="AQ247" s="46"/>
    </row>
    <row r="248" spans="1:43" x14ac:dyDescent="0.2">
      <c r="A248" s="24">
        <v>45252</v>
      </c>
      <c r="B248" s="25" cm="1">
        <f t="array" ref="B248">_xll.BADDPERIODS(A248, "PER=WD", "NUMBEROFPERIODS=2", "BUSDAYADJ=-2", "CDR=GQ", "CDR=P9")</f>
        <v>45257</v>
      </c>
      <c r="C248" s="26" cm="1">
        <f t="array" ref="C248">_xll.BDH("XAU Curncy","PX_LAST",A248,A248)</f>
        <v>1990.17</v>
      </c>
      <c r="D248" s="26" t="str" cm="1">
        <f t="array" ref="D248">_xll.BDP("GCZ23 Comdty",$M$32)</f>
        <v>01/12/2023</v>
      </c>
      <c r="E248" s="26">
        <f t="shared" si="146"/>
        <v>4</v>
      </c>
      <c r="F248" s="27">
        <v>5.6000000000000001E-2</v>
      </c>
      <c r="G248" s="28">
        <f t="shared" si="147"/>
        <v>1.2383280000000001</v>
      </c>
      <c r="H248" s="12">
        <v>1.6</v>
      </c>
      <c r="I248" s="30">
        <f t="shared" si="148"/>
        <v>0.36167199999999999</v>
      </c>
      <c r="J248" s="26">
        <v>4</v>
      </c>
      <c r="K248" s="26">
        <v>6</v>
      </c>
      <c r="L248" s="26">
        <v>8</v>
      </c>
      <c r="N248" s="24">
        <v>45252</v>
      </c>
      <c r="O248" s="16" cm="1">
        <f t="array" ref="O248">_xll.BADDPERIODS(N248, "PER=WD", "NUMBEROFPERIODS=2", "BUSDAYADJ=-2", "CDR=GQ", "CDR=P9")</f>
        <v>45257</v>
      </c>
      <c r="P248" s="15" cm="1">
        <f t="array" ref="P248">_xll.BDH("XAG Curncy","PX_LAST",N248,N248)</f>
        <v>23.631599999999999</v>
      </c>
      <c r="Q248" s="15" t="str" cm="1">
        <f t="array" ref="Q248">_xll.BDP("SIZ23 Comdty",$M$32)</f>
        <v>01/12/2023</v>
      </c>
      <c r="R248" s="15">
        <f t="shared" si="149"/>
        <v>4</v>
      </c>
      <c r="S248" s="23">
        <v>5.5500000000000001E-2</v>
      </c>
      <c r="T248" s="21">
        <f t="shared" si="150"/>
        <v>1.457282E-2</v>
      </c>
      <c r="U248" s="22">
        <v>5.7500000000000002E-2</v>
      </c>
      <c r="V248" s="20">
        <f t="shared" si="151"/>
        <v>4.2927179999999998</v>
      </c>
      <c r="W248" s="15">
        <v>15</v>
      </c>
      <c r="X248" s="15">
        <v>20</v>
      </c>
      <c r="Y248" s="15">
        <v>25</v>
      </c>
      <c r="Z248" s="18">
        <f t="shared" si="152"/>
        <v>1.457282</v>
      </c>
      <c r="AA248" s="18">
        <f t="shared" si="153"/>
        <v>5.75</v>
      </c>
      <c r="AB248" s="18">
        <f t="shared" si="154"/>
        <v>4.2927179999999998</v>
      </c>
      <c r="AE248" s="44" cm="1">
        <f t="array" ref="AE248">_xll.BDH("COMXGOLD Comdty","PX_Last", N248)</f>
        <v>19879974.395</v>
      </c>
      <c r="AF248" s="15" t="str" cm="1">
        <f t="array" ref="AF248">_xll.BDS("GCA Comdty","FUT_CHAIN", "CHAIN_DATE",A248,"endrow=1")</f>
        <v>GCX23 Comdty</v>
      </c>
      <c r="AG248" s="44" cm="1">
        <f t="array" ref="AG248">_xll.BDH(AF248,"FUT_AGGTE_OPEN_INT",A248)</f>
        <v>503171</v>
      </c>
      <c r="AH248" s="44">
        <f t="shared" si="123"/>
        <v>50317100</v>
      </c>
      <c r="AI248" s="48">
        <f t="shared" si="124"/>
        <v>0.39509380300136532</v>
      </c>
      <c r="AJ248" s="45"/>
      <c r="AK248" s="44" cm="1">
        <f t="array" ref="AK248">_xll.BDH("COMXSILV Comdty","PX_Last", N248)</f>
        <v>269042.28000000003</v>
      </c>
      <c r="AL248" s="15" t="str" cm="1">
        <f t="array" ref="AL248">_xll.BDS("SIA Comdty","FUT_CHAIN", "CHAIN_DATE",A248,"endrow=1")</f>
        <v>SIX23 Comdty</v>
      </c>
      <c r="AM248" s="47" cm="1">
        <f t="array" ref="AM248">_xll.BDH(AL248,"FUT_AGGTE_OPEN_INT",A248)</f>
        <v>133760</v>
      </c>
      <c r="AN248" s="45">
        <f t="shared" si="125"/>
        <v>402.2761363636364</v>
      </c>
      <c r="AO248" s="46">
        <f t="shared" si="126"/>
        <v>26904228000.000004</v>
      </c>
      <c r="AP248" s="46">
        <f t="shared" si="127"/>
        <v>668800</v>
      </c>
      <c r="AQ248" s="46"/>
    </row>
    <row r="249" spans="1:43" x14ac:dyDescent="0.2">
      <c r="A249" s="24">
        <v>45253</v>
      </c>
      <c r="B249" s="25" cm="1">
        <f t="array" ref="B249">_xll.BADDPERIODS(A249, "PER=WD", "NUMBEROFPERIODS=2", "BUSDAYADJ=-2", "CDR=GQ", "CDR=P9")</f>
        <v>45257</v>
      </c>
      <c r="C249" s="26" cm="1">
        <f t="array" ref="C249">_xll.BDH("XAU Curncy","PX_LAST",A249,A249)</f>
        <v>1992.25</v>
      </c>
      <c r="D249" s="26" t="str" cm="1">
        <f t="array" ref="D249">_xll.BDP("GCZ23 Comdty",$M$32)</f>
        <v>01/12/2023</v>
      </c>
      <c r="E249" s="26">
        <f t="shared" si="146"/>
        <v>4</v>
      </c>
      <c r="F249" s="27">
        <v>5.6000000000000001E-2</v>
      </c>
      <c r="G249" s="28">
        <f t="shared" si="147"/>
        <v>1.2396222222222224</v>
      </c>
      <c r="H249" s="12">
        <v>1.6</v>
      </c>
      <c r="I249" s="30">
        <f t="shared" si="148"/>
        <v>0.36037777777777769</v>
      </c>
      <c r="J249" s="26">
        <v>4</v>
      </c>
      <c r="K249" s="26">
        <v>6</v>
      </c>
      <c r="L249" s="26">
        <v>8</v>
      </c>
      <c r="N249" s="24">
        <v>45253</v>
      </c>
      <c r="O249" s="16" cm="1">
        <f t="array" ref="O249">_xll.BADDPERIODS(N249, "PER=WD", "NUMBEROFPERIODS=2", "BUSDAYADJ=-2", "CDR=GQ", "CDR=P9")</f>
        <v>45257</v>
      </c>
      <c r="P249" s="15" cm="1">
        <f t="array" ref="P249">_xll.BDH("XAG Curncy","PX_LAST",N249,N249)</f>
        <v>23.6785</v>
      </c>
      <c r="Q249" s="15" t="str" cm="1">
        <f t="array" ref="Q249">_xll.BDP("SIZ23 Comdty",$M$32)</f>
        <v>01/12/2023</v>
      </c>
      <c r="R249" s="15">
        <f t="shared" si="149"/>
        <v>4</v>
      </c>
      <c r="S249" s="23">
        <v>5.5500000000000001E-2</v>
      </c>
      <c r="T249" s="21">
        <f t="shared" si="150"/>
        <v>1.4601741666666668E-2</v>
      </c>
      <c r="U249" s="22">
        <v>4.4999999999999998E-2</v>
      </c>
      <c r="V249" s="20">
        <f t="shared" si="151"/>
        <v>3.039825833333333</v>
      </c>
      <c r="W249" s="15">
        <v>15</v>
      </c>
      <c r="X249" s="15">
        <v>20</v>
      </c>
      <c r="Y249" s="15">
        <v>25</v>
      </c>
      <c r="Z249" s="18">
        <f t="shared" si="152"/>
        <v>1.4601741666666668</v>
      </c>
      <c r="AA249" s="18">
        <f t="shared" si="153"/>
        <v>4.5</v>
      </c>
      <c r="AB249" s="18">
        <f t="shared" si="154"/>
        <v>3.039825833333333</v>
      </c>
      <c r="AE249" s="44" t="str" cm="1">
        <f t="array" ref="AE249">_xll.BDH("COMXGOLD Comdty","PX_Last", N249)</f>
        <v>#N/A N/A</v>
      </c>
      <c r="AF249" s="15" t="str" cm="1">
        <f t="array" ref="AF249">_xll.BDS("GCA Comdty","FUT_CHAIN", "CHAIN_DATE",A249,"endrow=1")</f>
        <v>GCX23 Comdty</v>
      </c>
      <c r="AG249" s="44" t="str" cm="1">
        <f t="array" ref="AG249">_xll.BDH(AF249,"FUT_AGGTE_OPEN_INT",A249)</f>
        <v>#N/A N/A</v>
      </c>
      <c r="AH249" s="44" t="e">
        <f t="shared" si="123"/>
        <v>#VALUE!</v>
      </c>
      <c r="AI249" s="48" t="e">
        <f t="shared" si="124"/>
        <v>#VALUE!</v>
      </c>
      <c r="AJ249" s="45"/>
      <c r="AK249" s="44" t="str" cm="1">
        <f t="array" ref="AK249">_xll.BDH("COMXSILV Comdty","PX_Last", N249)</f>
        <v>#N/A N/A</v>
      </c>
      <c r="AL249" s="15" t="str" cm="1">
        <f t="array" ref="AL249">_xll.BDS("SIA Comdty","FUT_CHAIN", "CHAIN_DATE",A249,"endrow=1")</f>
        <v>SIX23 Comdty</v>
      </c>
      <c r="AM249" s="47" t="str" cm="1">
        <f t="array" ref="AM249">_xll.BDH(AL249,"FUT_AGGTE_OPEN_INT",A249)</f>
        <v>#N/A N/A</v>
      </c>
      <c r="AN249" s="45" t="e">
        <f t="shared" si="125"/>
        <v>#VALUE!</v>
      </c>
      <c r="AO249" s="46" t="e">
        <f t="shared" si="126"/>
        <v>#VALUE!</v>
      </c>
      <c r="AP249" s="46" t="e">
        <f t="shared" si="127"/>
        <v>#VALUE!</v>
      </c>
      <c r="AQ249" s="46"/>
    </row>
    <row r="250" spans="1:43" x14ac:dyDescent="0.2">
      <c r="A250" s="24">
        <v>45254</v>
      </c>
      <c r="B250" s="25" cm="1">
        <f t="array" ref="B250">_xll.BADDPERIODS(A250, "PER=WD", "NUMBEROFPERIODS=2", "BUSDAYADJ=-2", "CDR=GQ", "CDR=P9")</f>
        <v>45258</v>
      </c>
      <c r="C250" s="26" cm="1">
        <f t="array" ref="C250">_xll.BDH("XAU Curncy","PX_LAST",A250,A250)</f>
        <v>2000.82</v>
      </c>
      <c r="D250" s="26" t="str" cm="1">
        <f t="array" ref="D250">_xll.BDP("GCZ23 Comdty",$M$32)</f>
        <v>01/12/2023</v>
      </c>
      <c r="E250" s="26">
        <f t="shared" si="146"/>
        <v>3</v>
      </c>
      <c r="F250" s="27">
        <v>5.6000000000000001E-2</v>
      </c>
      <c r="G250" s="28">
        <f t="shared" si="147"/>
        <v>0.9337160000000001</v>
      </c>
      <c r="H250" s="12">
        <v>0.8</v>
      </c>
      <c r="I250" s="30">
        <f t="shared" si="148"/>
        <v>-0.13371600000000006</v>
      </c>
      <c r="J250" s="26">
        <v>4</v>
      </c>
      <c r="K250" s="26">
        <v>6</v>
      </c>
      <c r="L250" s="26">
        <v>8</v>
      </c>
      <c r="N250" s="24">
        <v>45254</v>
      </c>
      <c r="O250" s="16" cm="1">
        <f t="array" ref="O250">_xll.BADDPERIODS(N250, "PER=WD", "NUMBEROFPERIODS=2", "BUSDAYADJ=-2", "CDR=GQ", "CDR=P9")</f>
        <v>45258</v>
      </c>
      <c r="P250" s="15" cm="1">
        <f t="array" ref="P250">_xll.BDH("XAG Curncy","PX_LAST",N250,N250)</f>
        <v>24.33</v>
      </c>
      <c r="Q250" s="15" t="str" cm="1">
        <f t="array" ref="Q250">_xll.BDP("SIZ23 Comdty",$M$32)</f>
        <v>01/12/2023</v>
      </c>
      <c r="R250" s="15">
        <f t="shared" si="149"/>
        <v>3</v>
      </c>
      <c r="S250" s="23">
        <v>5.5500000000000001E-2</v>
      </c>
      <c r="T250" s="21">
        <f t="shared" si="150"/>
        <v>1.1252624999999999E-2</v>
      </c>
      <c r="U250" s="22">
        <v>4.4999999999999998E-2</v>
      </c>
      <c r="V250" s="20">
        <f t="shared" si="151"/>
        <v>3.3747374999999997</v>
      </c>
      <c r="W250" s="15">
        <v>15</v>
      </c>
      <c r="X250" s="15">
        <v>20</v>
      </c>
      <c r="Y250" s="15">
        <v>25</v>
      </c>
      <c r="Z250" s="18">
        <f t="shared" si="152"/>
        <v>1.1252624999999998</v>
      </c>
      <c r="AA250" s="18">
        <f t="shared" si="153"/>
        <v>4.5</v>
      </c>
      <c r="AB250" s="18">
        <f t="shared" si="154"/>
        <v>3.3747374999999997</v>
      </c>
      <c r="AE250" s="44" cm="1">
        <f t="array" ref="AE250">_xll.BDH("COMXGOLD Comdty","PX_Last", N250)</f>
        <v>19870682.127</v>
      </c>
      <c r="AF250" s="15" t="str" cm="1">
        <f t="array" ref="AF250">_xll.BDS("GCA Comdty","FUT_CHAIN", "CHAIN_DATE",A250,"endrow=1")</f>
        <v>GCX23 Comdty</v>
      </c>
      <c r="AG250" s="44" cm="1">
        <f t="array" ref="AG250">_xll.BDH(AF250,"FUT_AGGTE_OPEN_INT",A250)</f>
        <v>499580</v>
      </c>
      <c r="AH250" s="44">
        <f t="shared" si="123"/>
        <v>49958000</v>
      </c>
      <c r="AI250" s="48">
        <f t="shared" si="124"/>
        <v>0.39774775065054646</v>
      </c>
      <c r="AJ250" s="45"/>
      <c r="AK250" s="44" cm="1">
        <f t="array" ref="AK250">_xll.BDH("COMXSILV Comdty","PX_Last", N250)</f>
        <v>267615.19</v>
      </c>
      <c r="AL250" s="15" t="str" cm="1">
        <f t="array" ref="AL250">_xll.BDS("SIA Comdty","FUT_CHAIN", "CHAIN_DATE",A250,"endrow=1")</f>
        <v>SIX23 Comdty</v>
      </c>
      <c r="AM250" s="47" cm="1">
        <f t="array" ref="AM250">_xll.BDH(AL250,"FUT_AGGTE_OPEN_INT",A250)</f>
        <v>138503</v>
      </c>
      <c r="AN250" s="45">
        <f t="shared" si="125"/>
        <v>386.43955726590758</v>
      </c>
      <c r="AO250" s="46">
        <f t="shared" si="126"/>
        <v>26761519000</v>
      </c>
      <c r="AP250" s="46">
        <f t="shared" si="127"/>
        <v>692515</v>
      </c>
      <c r="AQ250" s="46"/>
    </row>
    <row r="251" spans="1:43" x14ac:dyDescent="0.2">
      <c r="A251" s="24">
        <v>45257</v>
      </c>
      <c r="B251" s="25" cm="1">
        <f t="array" ref="B251">_xll.BADDPERIODS(A251, "PER=WD", "NUMBEROFPERIODS=2", "BUSDAYADJ=-2", "CDR=GQ", "CDR=P9")</f>
        <v>45259</v>
      </c>
      <c r="C251" s="26" cm="1">
        <f t="array" ref="C251">_xll.BDH("XAU Curncy","PX_LAST",A251,A251)</f>
        <v>2014.13</v>
      </c>
      <c r="D251" s="26" t="str" cm="1">
        <f t="array" ref="D251">_xll.BDP("GCZ23 Comdty",$M$32)</f>
        <v>01/12/2023</v>
      </c>
      <c r="E251" s="26">
        <f t="shared" si="146"/>
        <v>2</v>
      </c>
      <c r="F251" s="27">
        <v>5.6000000000000001E-2</v>
      </c>
      <c r="G251" s="28">
        <f t="shared" si="147"/>
        <v>0.6266182222222223</v>
      </c>
      <c r="H251" s="12">
        <v>0.5</v>
      </c>
      <c r="I251" s="30">
        <f t="shared" si="148"/>
        <v>-0.1266182222222223</v>
      </c>
      <c r="J251" s="26">
        <v>4</v>
      </c>
      <c r="K251" s="26">
        <v>6</v>
      </c>
      <c r="L251" s="26">
        <v>8</v>
      </c>
      <c r="N251" s="24">
        <v>45257</v>
      </c>
      <c r="O251" s="16" cm="1">
        <f t="array" ref="O251">_xll.BADDPERIODS(N251, "PER=WD", "NUMBEROFPERIODS=2", "BUSDAYADJ=-2", "CDR=GQ", "CDR=P9")</f>
        <v>45259</v>
      </c>
      <c r="P251" s="15" cm="1">
        <f t="array" ref="P251">_xll.BDH("XAG Curncy","PX_LAST",N251,N251)</f>
        <v>24.649000000000001</v>
      </c>
      <c r="Q251" s="15" t="str" cm="1">
        <f t="array" ref="Q251">_xll.BDP("SIZ23 Comdty",$M$32)</f>
        <v>01/12/2023</v>
      </c>
      <c r="R251" s="15">
        <f t="shared" si="149"/>
        <v>2</v>
      </c>
      <c r="S251" s="23">
        <v>5.5500000000000001E-2</v>
      </c>
      <c r="T251" s="21">
        <f t="shared" si="150"/>
        <v>7.6001083333333335E-3</v>
      </c>
      <c r="U251" s="22">
        <v>5.5E-2</v>
      </c>
      <c r="V251" s="20">
        <f t="shared" si="151"/>
        <v>4.7399891666666667</v>
      </c>
      <c r="W251" s="15">
        <v>15</v>
      </c>
      <c r="X251" s="15">
        <v>20</v>
      </c>
      <c r="Y251" s="15">
        <v>25</v>
      </c>
      <c r="Z251" s="18">
        <f t="shared" si="152"/>
        <v>0.7600108333333333</v>
      </c>
      <c r="AA251" s="18">
        <f t="shared" si="153"/>
        <v>5.5</v>
      </c>
      <c r="AB251" s="18">
        <f t="shared" si="154"/>
        <v>4.7399891666666667</v>
      </c>
      <c r="AE251" s="44" cm="1">
        <f t="array" ref="AE251">_xll.BDH("COMXGOLD Comdty","PX_Last", N251)</f>
        <v>19934691.158</v>
      </c>
      <c r="AF251" s="15" t="str" cm="1">
        <f t="array" ref="AF251">_xll.BDS("GCA Comdty","FUT_CHAIN", "CHAIN_DATE",A251,"endrow=1")</f>
        <v>GCX23 Comdty</v>
      </c>
      <c r="AG251" s="44" cm="1">
        <f t="array" ref="AG251">_xll.BDH(AF251,"FUT_AGGTE_OPEN_INT",A251)</f>
        <v>496470</v>
      </c>
      <c r="AH251" s="44">
        <f t="shared" si="123"/>
        <v>49647000</v>
      </c>
      <c r="AI251" s="48">
        <f t="shared" si="124"/>
        <v>0.40152861518319333</v>
      </c>
      <c r="AJ251" s="45"/>
      <c r="AK251" s="44" cm="1">
        <f t="array" ref="AK251">_xll.BDH("COMXSILV Comdty","PX_Last", N251)</f>
        <v>267514.94</v>
      </c>
      <c r="AL251" s="15" t="str" cm="1">
        <f t="array" ref="AL251">_xll.BDS("SIA Comdty","FUT_CHAIN", "CHAIN_DATE",A251,"endrow=1")</f>
        <v>SIX23 Comdty</v>
      </c>
      <c r="AM251" s="47" cm="1">
        <f t="array" ref="AM251">_xll.BDH(AL251,"FUT_AGGTE_OPEN_INT",A251)</f>
        <v>139751</v>
      </c>
      <c r="AN251" s="45">
        <f t="shared" si="125"/>
        <v>382.84511738735324</v>
      </c>
      <c r="AO251" s="46">
        <f t="shared" si="126"/>
        <v>26751494000</v>
      </c>
      <c r="AP251" s="46">
        <f t="shared" si="127"/>
        <v>698755</v>
      </c>
      <c r="AQ251" s="46"/>
    </row>
    <row r="252" spans="1:43" x14ac:dyDescent="0.2">
      <c r="A252" s="24">
        <v>45258</v>
      </c>
      <c r="B252" s="25" cm="1">
        <f t="array" ref="B252">_xll.BADDPERIODS(A252, "PER=WD", "NUMBEROFPERIODS=2", "BUSDAYADJ=-2", "CDR=GQ", "CDR=P9")</f>
        <v>45260</v>
      </c>
      <c r="C252" s="26" cm="1">
        <f t="array" ref="C252">_xll.BDH("XAU Curncy","PX_LAST",A252,A252)</f>
        <v>2040.97</v>
      </c>
      <c r="D252" s="26" t="str" cm="1">
        <f t="array" ref="D252">_xll.BDP("GCG24 Comdty",$M$32)</f>
        <v>01/02/2024</v>
      </c>
      <c r="E252" s="26">
        <f t="shared" si="146"/>
        <v>63</v>
      </c>
      <c r="F252" s="27">
        <v>5.6000000000000001E-2</v>
      </c>
      <c r="G252" s="28">
        <f t="shared" si="147"/>
        <v>20.001505999999999</v>
      </c>
      <c r="H252" s="12">
        <v>21</v>
      </c>
      <c r="I252" s="30">
        <f t="shared" si="148"/>
        <v>0.99849400000000088</v>
      </c>
      <c r="J252" s="26">
        <v>4</v>
      </c>
      <c r="K252" s="26">
        <v>6</v>
      </c>
      <c r="L252" s="26">
        <v>8</v>
      </c>
      <c r="N252" s="24">
        <v>45258</v>
      </c>
      <c r="O252" s="16" cm="1">
        <f t="array" ref="O252">_xll.BADDPERIODS(N252, "PER=WD", "NUMBEROFPERIODS=2", "BUSDAYADJ=-2", "CDR=GQ", "CDR=P9")</f>
        <v>45260</v>
      </c>
      <c r="P252" s="15" cm="1">
        <f t="array" ref="P252">_xll.BDH("XAG Curncy","PX_LAST",N252,N252)</f>
        <v>25.026299999999999</v>
      </c>
      <c r="Q252" s="15" t="str" cm="1">
        <f t="array" ref="Q252">_xll.BDP("SIZ23 Comdty",$M$32)</f>
        <v>01/12/2023</v>
      </c>
      <c r="R252" s="15">
        <f t="shared" si="149"/>
        <v>1</v>
      </c>
      <c r="S252" s="23">
        <v>5.5500000000000001E-2</v>
      </c>
      <c r="T252" s="21">
        <f t="shared" si="150"/>
        <v>3.8582212499999997E-3</v>
      </c>
      <c r="U252" s="22">
        <v>4.4999999999999998E-2</v>
      </c>
      <c r="V252" s="20">
        <f t="shared" si="151"/>
        <v>4.1141778749999993</v>
      </c>
      <c r="W252" s="15">
        <v>15</v>
      </c>
      <c r="X252" s="15">
        <v>20</v>
      </c>
      <c r="Y252" s="15">
        <v>25</v>
      </c>
      <c r="Z252" s="18">
        <f t="shared" si="152"/>
        <v>0.38582212499999996</v>
      </c>
      <c r="AA252" s="18">
        <f t="shared" si="153"/>
        <v>4.5</v>
      </c>
      <c r="AB252" s="18">
        <f t="shared" si="154"/>
        <v>4.1141778749999993</v>
      </c>
      <c r="AE252" s="44" cm="1">
        <f t="array" ref="AE252">_xll.BDH("COMXGOLD Comdty","PX_Last", N252)</f>
        <v>19934691.158</v>
      </c>
      <c r="AF252" s="15" t="str" cm="1">
        <f t="array" ref="AF252">_xll.BDS("GCA Comdty","FUT_CHAIN", "CHAIN_DATE",A252,"endrow=1")</f>
        <v>GCX23 Comdty</v>
      </c>
      <c r="AG252" s="44" cm="1">
        <f t="array" ref="AG252">_xll.BDH(AF252,"FUT_AGGTE_OPEN_INT",A252)</f>
        <v>505658</v>
      </c>
      <c r="AH252" s="44">
        <f t="shared" si="123"/>
        <v>50565800</v>
      </c>
      <c r="AI252" s="48">
        <f t="shared" si="124"/>
        <v>0.39423268608427037</v>
      </c>
      <c r="AJ252" s="45"/>
      <c r="AK252" s="44" cm="1">
        <f t="array" ref="AK252">_xll.BDH("COMXSILV Comdty","PX_Last", N252)</f>
        <v>266314.81</v>
      </c>
      <c r="AL252" s="15" t="str" cm="1">
        <f t="array" ref="AL252">_xll.BDS("SIA Comdty","FUT_CHAIN", "CHAIN_DATE",A252,"endrow=1")</f>
        <v>SIX23 Comdty</v>
      </c>
      <c r="AM252" s="47" cm="1">
        <f t="array" ref="AM252">_xll.BDH(AL252,"FUT_AGGTE_OPEN_INT",A252)</f>
        <v>139144</v>
      </c>
      <c r="AN252" s="45">
        <f t="shared" si="125"/>
        <v>382.79021732881046</v>
      </c>
      <c r="AO252" s="46">
        <f t="shared" si="126"/>
        <v>26631481000</v>
      </c>
      <c r="AP252" s="46">
        <f t="shared" si="127"/>
        <v>695720</v>
      </c>
      <c r="AQ252" s="46"/>
    </row>
    <row r="253" spans="1:43" x14ac:dyDescent="0.2">
      <c r="A253" s="24">
        <v>45259</v>
      </c>
      <c r="B253" s="25" cm="1">
        <f t="array" ref="B253">_xll.BADDPERIODS(A253, "PER=WD", "NUMBEROFPERIODS=2", "BUSDAYADJ=-2", "CDR=GQ", "CDR=P9")</f>
        <v>45261</v>
      </c>
      <c r="C253" s="26" cm="1">
        <f t="array" ref="C253">_xll.BDH("XAU Curncy","PX_LAST",A253,A253)</f>
        <v>2044.24</v>
      </c>
      <c r="D253" s="26" t="str" cm="1">
        <f t="array" ref="D253">_xll.BDP("GCG24 Comdty",$M$32)</f>
        <v>01/02/2024</v>
      </c>
      <c r="E253" s="26">
        <f t="shared" si="146"/>
        <v>62</v>
      </c>
      <c r="F253" s="27">
        <v>5.6000000000000001E-2</v>
      </c>
      <c r="G253" s="28">
        <f t="shared" si="147"/>
        <v>19.715559111111112</v>
      </c>
      <c r="H253" s="12">
        <v>20</v>
      </c>
      <c r="I253" s="30">
        <f t="shared" si="148"/>
        <v>0.28444088888888786</v>
      </c>
      <c r="J253" s="26">
        <v>4</v>
      </c>
      <c r="K253" s="26">
        <v>6</v>
      </c>
      <c r="L253" s="26">
        <v>8</v>
      </c>
      <c r="N253" s="24">
        <v>45259</v>
      </c>
      <c r="O253" s="16" cm="1">
        <f t="array" ref="O253">_xll.BADDPERIODS(N253, "PER=WD", "NUMBEROFPERIODS=2", "BUSDAYADJ=-2", "CDR=GQ", "CDR=P9")</f>
        <v>45261</v>
      </c>
      <c r="P253" s="15" cm="1">
        <f t="array" ref="P253">_xll.BDH("XAG Curncy","PX_LAST",N253,N253)</f>
        <v>25.020099999999999</v>
      </c>
      <c r="Q253" s="15" t="str" cm="1">
        <f t="array" ref="Q253">_xll.BDP("SIZ23 Comdty",$M$32)</f>
        <v>01/12/2023</v>
      </c>
      <c r="R253" s="15">
        <f t="shared" si="149"/>
        <v>0</v>
      </c>
      <c r="S253" s="23">
        <v>5.5500000000000001E-2</v>
      </c>
      <c r="T253" s="21">
        <f t="shared" si="150"/>
        <v>0</v>
      </c>
      <c r="U253" s="22">
        <v>3.95E-2</v>
      </c>
      <c r="V253" s="20">
        <f t="shared" si="151"/>
        <v>3.95</v>
      </c>
      <c r="W253" s="15">
        <v>15</v>
      </c>
      <c r="X253" s="15">
        <v>20</v>
      </c>
      <c r="Y253" s="15">
        <v>25</v>
      </c>
      <c r="Z253" s="18">
        <f t="shared" si="152"/>
        <v>0</v>
      </c>
      <c r="AA253" s="18">
        <f t="shared" si="153"/>
        <v>3.95</v>
      </c>
      <c r="AB253" s="18">
        <f t="shared" si="154"/>
        <v>3.95</v>
      </c>
      <c r="AE253" s="44" cm="1">
        <f t="array" ref="AE253">_xll.BDH("COMXGOLD Comdty","PX_Last", N253)</f>
        <v>19934659.006999999</v>
      </c>
      <c r="AF253" s="15" t="str" cm="1">
        <f t="array" ref="AF253">_xll.BDS("GCA Comdty","FUT_CHAIN", "CHAIN_DATE",A253,"endrow=1")</f>
        <v>GCZ23 Comdty</v>
      </c>
      <c r="AG253" s="44" cm="1">
        <f t="array" ref="AG253">_xll.BDH(AF253,"FUT_AGGTE_OPEN_INT",A253)</f>
        <v>508285</v>
      </c>
      <c r="AH253" s="44">
        <f t="shared" si="123"/>
        <v>50828500</v>
      </c>
      <c r="AI253" s="48">
        <f t="shared" si="124"/>
        <v>0.39219451699341901</v>
      </c>
      <c r="AJ253" s="45"/>
      <c r="AK253" s="44" cm="1">
        <f t="array" ref="AK253">_xll.BDH("COMXSILV Comdty","PX_Last", N253)</f>
        <v>266325.96999999997</v>
      </c>
      <c r="AL253" s="15" t="str" cm="1">
        <f t="array" ref="AL253">_xll.BDS("SIA Comdty","FUT_CHAIN", "CHAIN_DATE",A253,"endrow=1")</f>
        <v>SIZ23 Comdty</v>
      </c>
      <c r="AM253" s="47" cm="1">
        <f t="array" ref="AM253">_xll.BDH(AL253,"FUT_AGGTE_OPEN_INT",A253)</f>
        <v>144332</v>
      </c>
      <c r="AN253" s="45">
        <f t="shared" si="125"/>
        <v>369.04632375356812</v>
      </c>
      <c r="AO253" s="46">
        <f t="shared" si="126"/>
        <v>26632596999.999996</v>
      </c>
      <c r="AP253" s="46">
        <f t="shared" si="127"/>
        <v>721660</v>
      </c>
      <c r="AQ253" s="46"/>
    </row>
    <row r="254" spans="1:43" x14ac:dyDescent="0.2">
      <c r="A254" s="24">
        <v>45260</v>
      </c>
      <c r="B254" s="25" cm="1">
        <f t="array" ref="B254">_xll.BADDPERIODS(A254, "PER=WD", "NUMBEROFPERIODS=2", "BUSDAYADJ=-2", "CDR=GQ", "CDR=P9")</f>
        <v>45264</v>
      </c>
      <c r="C254" s="26" cm="1">
        <f t="array" ref="C254">_xll.BDH("XAU Curncy","PX_LAST",A254,A254)</f>
        <v>2036.41</v>
      </c>
      <c r="D254" s="26" t="str" cm="1">
        <f t="array" ref="D254">_xll.BDP("GCG24 Comdty",$M$32)</f>
        <v>01/02/2024</v>
      </c>
      <c r="E254" s="26">
        <f>_xlfn.DAYS(D254,B254)</f>
        <v>59</v>
      </c>
      <c r="F254" s="27">
        <v>5.6000000000000001E-2</v>
      </c>
      <c r="G254" s="28">
        <f t="shared" si="147"/>
        <v>18.689718444444448</v>
      </c>
      <c r="H254" s="12">
        <v>19</v>
      </c>
      <c r="I254" s="30">
        <f t="shared" si="148"/>
        <v>0.31028155555555159</v>
      </c>
      <c r="J254" s="26">
        <v>4</v>
      </c>
      <c r="K254" s="26">
        <v>6</v>
      </c>
      <c r="L254" s="26">
        <v>8</v>
      </c>
      <c r="N254" s="24">
        <v>45260</v>
      </c>
      <c r="O254" s="16" cm="1">
        <f t="array" ref="O254">_xll.BADDPERIODS(N254, "PER=WD", "NUMBEROFPERIODS=2", "BUSDAYADJ=-2", "CDR=GQ", "CDR=P9")</f>
        <v>45264</v>
      </c>
      <c r="P254" s="15" cm="1">
        <f t="array" ref="P254">_xll.BDH("XAG Curncy","PX_LAST",N254,N254)</f>
        <v>25.271999999999998</v>
      </c>
      <c r="Q254" s="15" t="str" cm="1">
        <f t="array" ref="Q254">_xll.BDP("SIZ23 Comdty",$M$32)</f>
        <v>01/12/2023</v>
      </c>
      <c r="R254" s="15">
        <f t="shared" si="149"/>
        <v>-3</v>
      </c>
      <c r="S254" s="23">
        <v>5.5500000000000001E-2</v>
      </c>
      <c r="T254" s="21">
        <f t="shared" si="150"/>
        <v>-1.1688299999999999E-2</v>
      </c>
      <c r="U254" s="22">
        <v>4.4999999999999998E-2</v>
      </c>
      <c r="V254" s="20">
        <f t="shared" si="151"/>
        <v>5.6688299999999998</v>
      </c>
      <c r="W254" s="15">
        <v>15</v>
      </c>
      <c r="X254" s="15">
        <v>20</v>
      </c>
      <c r="Y254" s="15">
        <v>25</v>
      </c>
      <c r="Z254" s="18">
        <f t="shared" si="152"/>
        <v>-1.1688299999999998</v>
      </c>
      <c r="AA254" s="18">
        <f t="shared" si="153"/>
        <v>4.5</v>
      </c>
      <c r="AB254" s="18">
        <f t="shared" si="154"/>
        <v>5.6688299999999998</v>
      </c>
      <c r="AE254" s="44" cm="1">
        <f t="array" ref="AE254">_xll.BDH("COMXGOLD Comdty","PX_Last", N254)</f>
        <v>19997493.603</v>
      </c>
      <c r="AF254" s="15" t="str" cm="1">
        <f t="array" ref="AF254">_xll.BDS("GCA Comdty","FUT_CHAIN", "CHAIN_DATE",A254,"endrow=1")</f>
        <v>GCZ23 Comdty</v>
      </c>
      <c r="AG254" s="44" cm="1">
        <f t="array" ref="AG254">_xll.BDH(AF254,"FUT_AGGTE_OPEN_INT",A254)</f>
        <v>498685</v>
      </c>
      <c r="AH254" s="44">
        <f t="shared" si="123"/>
        <v>49868500</v>
      </c>
      <c r="AI254" s="48">
        <f t="shared" si="124"/>
        <v>0.40100451393164022</v>
      </c>
      <c r="AJ254" s="45"/>
      <c r="AK254" s="44" cm="1">
        <f t="array" ref="AK254">_xll.BDH("COMXSILV Comdty","PX_Last", N254)</f>
        <v>266191.03000000003</v>
      </c>
      <c r="AL254" s="15" t="str" cm="1">
        <f t="array" ref="AL254">_xll.BDS("SIA Comdty","FUT_CHAIN", "CHAIN_DATE",A254,"endrow=1")</f>
        <v>SIZ23 Comdty</v>
      </c>
      <c r="AM254" s="47" cm="1">
        <f t="array" ref="AM254">_xll.BDH(AL254,"FUT_AGGTE_OPEN_INT",A254)</f>
        <v>142847</v>
      </c>
      <c r="AN254" s="45">
        <f t="shared" si="125"/>
        <v>372.69390326713204</v>
      </c>
      <c r="AO254" s="46">
        <f t="shared" si="126"/>
        <v>26619103000.000004</v>
      </c>
      <c r="AP254" s="46">
        <f t="shared" si="127"/>
        <v>714235</v>
      </c>
      <c r="AQ254" s="46"/>
    </row>
    <row r="255" spans="1:43" x14ac:dyDescent="0.2">
      <c r="A255" s="24">
        <v>45261</v>
      </c>
      <c r="B255" s="25" cm="1">
        <f t="array" ref="B255">_xll.BADDPERIODS(A255, "PER=WD", "NUMBEROFPERIODS=2", "BUSDAYADJ=-2", "CDR=GQ", "CDR=P9")</f>
        <v>45265</v>
      </c>
      <c r="C255" s="26" cm="1">
        <f t="array" ref="C255">_xll.BDH("XAU Curncy","PX_LAST",A255,A255)</f>
        <v>2072.2199999999998</v>
      </c>
      <c r="D255" s="26" t="str" cm="1">
        <f t="array" ref="D255">_xll.BDP("GCG24 Comdty",$M$32)</f>
        <v>01/02/2024</v>
      </c>
      <c r="E255" s="26">
        <f t="shared" si="146"/>
        <v>58</v>
      </c>
      <c r="F255" s="27">
        <v>5.6000000000000001E-2</v>
      </c>
      <c r="G255" s="28">
        <f t="shared" si="147"/>
        <v>18.696029333333332</v>
      </c>
      <c r="H255" s="12">
        <v>18.899999999999999</v>
      </c>
      <c r="I255" s="30">
        <f t="shared" si="148"/>
        <v>0.20397066666666674</v>
      </c>
      <c r="J255" s="26">
        <v>4</v>
      </c>
      <c r="K255" s="26">
        <v>6</v>
      </c>
      <c r="L255" s="26">
        <v>8</v>
      </c>
      <c r="N255" s="24">
        <v>45261</v>
      </c>
      <c r="O255" s="16" cm="1">
        <f t="array" ref="O255">_xll.BADDPERIODS(N255, "PER=WD", "NUMBEROFPERIODS=2", "BUSDAYADJ=-2", "CDR=GQ", "CDR=P9")</f>
        <v>45265</v>
      </c>
      <c r="P255" s="15" cm="1">
        <f t="array" ref="P255">_xll.BDH("XAG Curncy","PX_LAST",N255,N255)</f>
        <v>25.486000000000001</v>
      </c>
      <c r="Q255" s="15" t="str" cm="1">
        <f t="array" ref="Q255">_xll.BDP("SIH24 Comdty",$M$32)</f>
        <v>01/03/2024</v>
      </c>
      <c r="R255" s="15">
        <f t="shared" si="149"/>
        <v>87</v>
      </c>
      <c r="S255" s="23">
        <v>5.5500000000000001E-2</v>
      </c>
      <c r="T255" s="21">
        <v>0.3</v>
      </c>
      <c r="U255" s="22">
        <v>0.3</v>
      </c>
      <c r="V255" s="20">
        <f t="shared" si="151"/>
        <v>0</v>
      </c>
      <c r="W255" s="15">
        <v>15</v>
      </c>
      <c r="X255" s="15">
        <v>20</v>
      </c>
      <c r="Y255" s="15">
        <v>25</v>
      </c>
      <c r="Z255" s="18">
        <f t="shared" si="152"/>
        <v>30</v>
      </c>
      <c r="AA255" s="18">
        <f t="shared" si="153"/>
        <v>30</v>
      </c>
      <c r="AB255" s="18">
        <f t="shared" si="154"/>
        <v>0</v>
      </c>
      <c r="AE255" s="44" cm="1">
        <f t="array" ref="AE255">_xll.BDH("COMXGOLD Comdty","PX_Last", N255)</f>
        <v>19997493.603</v>
      </c>
      <c r="AF255" s="15" t="str" cm="1">
        <f t="array" ref="AF255">_xll.BDS("GCA Comdty","FUT_CHAIN", "CHAIN_DATE",A255,"endrow=1")</f>
        <v>GCZ23 Comdty</v>
      </c>
      <c r="AG255" s="44" cm="1">
        <f t="array" ref="AG255">_xll.BDH(AF255,"FUT_AGGTE_OPEN_INT",A255)</f>
        <v>509758</v>
      </c>
      <c r="AH255" s="44">
        <f t="shared" si="123"/>
        <v>50975800</v>
      </c>
      <c r="AI255" s="48">
        <f t="shared" si="124"/>
        <v>0.39229386499083879</v>
      </c>
      <c r="AJ255" s="45"/>
      <c r="AK255" s="44" cm="1">
        <f t="array" ref="AK255">_xll.BDH("COMXSILV Comdty","PX_Last", N255)</f>
        <v>267080.28000000003</v>
      </c>
      <c r="AL255" s="15" t="str" cm="1">
        <f t="array" ref="AL255">_xll.BDS("SIA Comdty","FUT_CHAIN", "CHAIN_DATE",A255,"endrow=1")</f>
        <v>SIZ23 Comdty</v>
      </c>
      <c r="AM255" s="47" cm="1">
        <f t="array" ref="AM255">_xll.BDH(AL255,"FUT_AGGTE_OPEN_INT",A255)</f>
        <v>145566</v>
      </c>
      <c r="AN255" s="45">
        <f t="shared" si="125"/>
        <v>366.9542063393925</v>
      </c>
      <c r="AO255" s="46">
        <f t="shared" si="126"/>
        <v>26708028000.000004</v>
      </c>
      <c r="AP255" s="46">
        <f t="shared" si="127"/>
        <v>727830</v>
      </c>
      <c r="AQ255" s="46"/>
    </row>
    <row r="256" spans="1:43" x14ac:dyDescent="0.2">
      <c r="A256" s="24">
        <v>45264</v>
      </c>
      <c r="B256" s="25" cm="1">
        <f t="array" ref="B256">_xll.BADDPERIODS(A256, "PER=WD", "NUMBEROFPERIODS=2", "BUSDAYADJ=-2", "CDR=GQ", "CDR=P9")</f>
        <v>45266</v>
      </c>
      <c r="C256" s="26" cm="1">
        <f t="array" ref="C256">_xll.BDH("XAU Curncy","PX_LAST",A256,A256)</f>
        <v>2029.42</v>
      </c>
      <c r="D256" s="26" t="str" cm="1">
        <f t="array" ref="D256">_xll.BDP("GCG24 Comdty",$M$32)</f>
        <v>01/02/2024</v>
      </c>
      <c r="E256" s="26">
        <f t="shared" si="146"/>
        <v>57</v>
      </c>
      <c r="F256" s="23">
        <v>5.6500000000000002E-2</v>
      </c>
      <c r="G256" s="28">
        <f t="shared" si="147"/>
        <v>18.154853083333336</v>
      </c>
      <c r="H256" s="12">
        <v>18.399999999999999</v>
      </c>
      <c r="I256" s="31">
        <f t="shared" si="148"/>
        <v>0.24514691666666266</v>
      </c>
      <c r="J256" s="26">
        <v>4</v>
      </c>
      <c r="K256" s="26">
        <v>6</v>
      </c>
      <c r="L256" s="26">
        <v>8</v>
      </c>
      <c r="N256" s="24">
        <v>45264</v>
      </c>
      <c r="O256" s="16" cm="1">
        <f t="array" ref="O256">_xll.BADDPERIODS(N256, "PER=WD", "NUMBEROFPERIODS=2", "BUSDAYADJ=-2", "CDR=GQ", "CDR=P9")</f>
        <v>45266</v>
      </c>
      <c r="P256" s="15" cm="1">
        <f t="array" ref="P256">_xll.BDH("XAG Curncy","PX_LAST",N256,N256)</f>
        <v>24.505500000000001</v>
      </c>
      <c r="Q256" s="15" t="str" cm="1">
        <f t="array" ref="Q256">_xll.BDP("SIH24 Comdty",$M$32)</f>
        <v>01/03/2024</v>
      </c>
      <c r="R256" s="15">
        <f t="shared" si="149"/>
        <v>86</v>
      </c>
      <c r="S256" s="23">
        <v>5.6000000000000001E-2</v>
      </c>
      <c r="T256" s="21">
        <f t="shared" si="150"/>
        <v>0.32782913333333336</v>
      </c>
      <c r="U256" s="12">
        <v>0.33</v>
      </c>
      <c r="V256" s="20">
        <f t="shared" si="151"/>
        <v>0.21708666666666598</v>
      </c>
      <c r="W256" s="15">
        <v>15</v>
      </c>
      <c r="X256" s="15">
        <v>20</v>
      </c>
      <c r="Y256" s="15">
        <v>25</v>
      </c>
      <c r="Z256" s="18">
        <f t="shared" si="152"/>
        <v>32.782913333333333</v>
      </c>
      <c r="AA256" s="18">
        <f t="shared" si="153"/>
        <v>33</v>
      </c>
      <c r="AB256" s="18">
        <f t="shared" si="154"/>
        <v>0.21708666666666598</v>
      </c>
      <c r="AE256" s="44" cm="1">
        <f t="array" ref="AE256">_xll.BDH("COMXGOLD Comdty","PX_Last", N256)</f>
        <v>19997493.603</v>
      </c>
      <c r="AF256" s="15" t="str" cm="1">
        <f t="array" ref="AF256">_xll.BDS("GCA Comdty","FUT_CHAIN", "CHAIN_DATE",A256,"endrow=1")</f>
        <v>GCZ23 Comdty</v>
      </c>
      <c r="AG256" s="44" cm="1">
        <f t="array" ref="AG256">_xll.BDH(AF256,"FUT_AGGTE_OPEN_INT",A256)</f>
        <v>494948</v>
      </c>
      <c r="AH256" s="44">
        <f t="shared" si="123"/>
        <v>49494800</v>
      </c>
      <c r="AI256" s="48">
        <f t="shared" si="124"/>
        <v>0.40403221354566543</v>
      </c>
      <c r="AJ256" s="45"/>
      <c r="AK256" s="44" cm="1">
        <f t="array" ref="AK256">_xll.BDH("COMXSILV Comdty","PX_Last", N256)</f>
        <v>266777.84000000003</v>
      </c>
      <c r="AL256" s="15" t="str" cm="1">
        <f t="array" ref="AL256">_xll.BDS("SIA Comdty","FUT_CHAIN", "CHAIN_DATE",A256,"endrow=1")</f>
        <v>SIZ23 Comdty</v>
      </c>
      <c r="AM256" s="47" cm="1">
        <f t="array" ref="AM256">_xll.BDH(AL256,"FUT_AGGTE_OPEN_INT",A256)</f>
        <v>142826</v>
      </c>
      <c r="AN256" s="45">
        <f t="shared" si="125"/>
        <v>373.57041435032841</v>
      </c>
      <c r="AO256" s="46">
        <f t="shared" si="126"/>
        <v>26677784000.000004</v>
      </c>
      <c r="AP256" s="46">
        <f t="shared" si="127"/>
        <v>714130</v>
      </c>
      <c r="AQ256" s="46"/>
    </row>
    <row r="257" spans="1:43" x14ac:dyDescent="0.2">
      <c r="A257" s="24">
        <v>45265</v>
      </c>
      <c r="B257" s="25" cm="1">
        <f t="array" ref="B257">_xll.BADDPERIODS(A257, "PER=WD", "NUMBEROFPERIODS=2", "BUSDAYADJ=-2", "CDR=GQ", "CDR=P9")</f>
        <v>45267</v>
      </c>
      <c r="C257" s="26" cm="1">
        <f t="array" ref="C257">_xll.BDH("XAU Curncy","PX_LAST",A257,A257)</f>
        <v>2019.36</v>
      </c>
      <c r="D257" s="26" t="str" cm="1">
        <f t="array" ref="D257">_xll.BDP("GCG24 Comdty",$M$32)</f>
        <v>01/02/2024</v>
      </c>
      <c r="E257" s="26">
        <f t="shared" si="146"/>
        <v>56</v>
      </c>
      <c r="F257" s="23">
        <v>5.6500000000000002E-2</v>
      </c>
      <c r="G257" s="28">
        <f t="shared" si="147"/>
        <v>17.747930666666665</v>
      </c>
      <c r="H257" s="12">
        <v>18.3</v>
      </c>
      <c r="I257" s="31">
        <f t="shared" si="148"/>
        <v>0.55206933333333552</v>
      </c>
      <c r="J257" s="26">
        <v>4</v>
      </c>
      <c r="K257" s="26">
        <v>6</v>
      </c>
      <c r="L257" s="26">
        <v>8</v>
      </c>
      <c r="N257" s="24">
        <v>45265</v>
      </c>
      <c r="O257" s="16" cm="1">
        <f t="array" ref="O257">_xll.BADDPERIODS(N257, "PER=WD", "NUMBEROFPERIODS=2", "BUSDAYADJ=-2", "CDR=GQ", "CDR=P9")</f>
        <v>45267</v>
      </c>
      <c r="P257" s="15" cm="1">
        <f t="array" ref="P257">_xll.BDH("XAG Curncy","PX_LAST",N257,N257)</f>
        <v>24.158799999999999</v>
      </c>
      <c r="Q257" s="15" t="str" cm="1">
        <f t="array" ref="Q257">_xll.BDP("SIH24 Comdty",$M$32)</f>
        <v>01/03/2024</v>
      </c>
      <c r="R257" s="15">
        <f t="shared" si="149"/>
        <v>85</v>
      </c>
      <c r="S257" s="23">
        <v>5.6000000000000001E-2</v>
      </c>
      <c r="T257" s="21">
        <f t="shared" si="150"/>
        <v>0.3194330222222222</v>
      </c>
      <c r="U257" s="12">
        <v>0.33</v>
      </c>
      <c r="V257" s="20">
        <f t="shared" si="151"/>
        <v>1.056697777777782</v>
      </c>
      <c r="W257" s="15">
        <v>15</v>
      </c>
      <c r="X257" s="15">
        <v>20</v>
      </c>
      <c r="Y257" s="15">
        <v>25</v>
      </c>
      <c r="Z257" s="18">
        <f t="shared" si="152"/>
        <v>31.943302222222218</v>
      </c>
      <c r="AA257" s="18">
        <f t="shared" si="153"/>
        <v>33</v>
      </c>
      <c r="AB257" s="18">
        <f t="shared" si="154"/>
        <v>1.056697777777782</v>
      </c>
      <c r="AE257" s="44" cm="1">
        <f t="array" ref="AE257">_xll.BDH("COMXGOLD Comdty","PX_Last", N257)</f>
        <v>19997107.791000001</v>
      </c>
      <c r="AF257" s="15" t="str" cm="1">
        <f t="array" ref="AF257">_xll.BDS("GCA Comdty","FUT_CHAIN", "CHAIN_DATE",A257,"endrow=1")</f>
        <v>GCZ23 Comdty</v>
      </c>
      <c r="AG257" s="44" cm="1">
        <f t="array" ref="AG257">_xll.BDH(AF257,"FUT_AGGTE_OPEN_INT",A257)</f>
        <v>487469</v>
      </c>
      <c r="AH257" s="44">
        <f t="shared" si="123"/>
        <v>48746900</v>
      </c>
      <c r="AI257" s="48">
        <f t="shared" si="124"/>
        <v>0.41022316887843124</v>
      </c>
      <c r="AJ257" s="45"/>
      <c r="AK257" s="44" cm="1">
        <f t="array" ref="AK257">_xll.BDH("COMXSILV Comdty","PX_Last", N257)</f>
        <v>266704.75</v>
      </c>
      <c r="AL257" s="15" t="str" cm="1">
        <f t="array" ref="AL257">_xll.BDS("SIA Comdty","FUT_CHAIN", "CHAIN_DATE",A257,"endrow=1")</f>
        <v>SIZ23 Comdty</v>
      </c>
      <c r="AM257" s="47" cm="1">
        <f t="array" ref="AM257">_xll.BDH(AL257,"FUT_AGGTE_OPEN_INT",A257)</f>
        <v>139753</v>
      </c>
      <c r="AN257" s="45">
        <f t="shared" si="125"/>
        <v>381.68017860081716</v>
      </c>
      <c r="AO257" s="46">
        <f t="shared" si="126"/>
        <v>26670475000</v>
      </c>
      <c r="AP257" s="46">
        <f t="shared" si="127"/>
        <v>698765</v>
      </c>
      <c r="AQ257" s="46"/>
    </row>
    <row r="258" spans="1:43" x14ac:dyDescent="0.2">
      <c r="A258" s="24">
        <v>45266</v>
      </c>
      <c r="B258" s="25" cm="1">
        <f t="array" ref="B258">_xll.BADDPERIODS(A258, "PER=WD", "NUMBEROFPERIODS=2", "BUSDAYADJ=-2", "CDR=GQ", "CDR=P9")</f>
        <v>45268</v>
      </c>
      <c r="C258" s="26" cm="1">
        <f t="array" ref="C258">_xll.BDH("XAU Curncy","PX_LAST",A258,A258)</f>
        <v>2025.55</v>
      </c>
      <c r="D258" s="26" t="str" cm="1">
        <f t="array" ref="D258">_xll.BDP("GCG24 Comdty",$M$32)</f>
        <v>01/02/2024</v>
      </c>
      <c r="E258" s="26">
        <f t="shared" si="146"/>
        <v>55</v>
      </c>
      <c r="F258" s="23">
        <v>5.6500000000000002E-2</v>
      </c>
      <c r="G258" s="28">
        <f t="shared" si="147"/>
        <v>17.484435069444448</v>
      </c>
      <c r="H258" s="12">
        <v>18</v>
      </c>
      <c r="I258" s="31">
        <f t="shared" si="148"/>
        <v>0.51556493055555208</v>
      </c>
      <c r="J258" s="26">
        <v>4</v>
      </c>
      <c r="K258" s="26">
        <v>6</v>
      </c>
      <c r="L258" s="26">
        <v>8</v>
      </c>
      <c r="N258" s="24">
        <v>45266</v>
      </c>
      <c r="O258" s="16" cm="1">
        <f t="array" ref="O258">_xll.BADDPERIODS(N258, "PER=WD", "NUMBEROFPERIODS=2", "BUSDAYADJ=-2", "CDR=GQ", "CDR=P9")</f>
        <v>45268</v>
      </c>
      <c r="P258" s="15" cm="1">
        <f t="array" ref="P258">_xll.BDH("XAG Curncy","PX_LAST",N258,N258)</f>
        <v>23.8993</v>
      </c>
      <c r="Q258" s="15" t="str" cm="1">
        <f t="array" ref="Q258">_xll.BDP("SIH24 Comdty",$M$32)</f>
        <v>01/03/2024</v>
      </c>
      <c r="R258" s="15">
        <f t="shared" si="149"/>
        <v>84</v>
      </c>
      <c r="S258" s="23">
        <v>5.6000000000000001E-2</v>
      </c>
      <c r="T258" s="21">
        <f t="shared" si="150"/>
        <v>0.31228418666666669</v>
      </c>
      <c r="U258" s="12">
        <v>0.33500000000000002</v>
      </c>
      <c r="V258" s="20">
        <f t="shared" si="151"/>
        <v>2.2715813333333337</v>
      </c>
      <c r="W258" s="15">
        <v>15</v>
      </c>
      <c r="X258" s="15">
        <v>20</v>
      </c>
      <c r="Y258" s="15">
        <v>25</v>
      </c>
      <c r="Z258" s="18">
        <f t="shared" si="152"/>
        <v>31.22841866666667</v>
      </c>
      <c r="AA258" s="18">
        <f t="shared" si="153"/>
        <v>33.5</v>
      </c>
      <c r="AB258" s="18">
        <f t="shared" si="154"/>
        <v>2.2715813333333337</v>
      </c>
      <c r="AE258" s="44" cm="1">
        <f t="array" ref="AE258">_xll.BDH("COMXGOLD Comdty","PX_Last", N258)</f>
        <v>20046009.057999998</v>
      </c>
      <c r="AF258" s="15" t="str" cm="1">
        <f t="array" ref="AF258">_xll.BDS("GCA Comdty","FUT_CHAIN", "CHAIN_DATE",A258,"endrow=1")</f>
        <v>GCZ23 Comdty</v>
      </c>
      <c r="AG258" s="44" cm="1">
        <f t="array" ref="AG258">_xll.BDH(AF258,"FUT_AGGTE_OPEN_INT",A258)</f>
        <v>486956</v>
      </c>
      <c r="AH258" s="44">
        <f t="shared" si="123"/>
        <v>48695600</v>
      </c>
      <c r="AI258" s="48">
        <f t="shared" si="124"/>
        <v>0.41165955564773815</v>
      </c>
      <c r="AJ258" s="45"/>
      <c r="AK258" s="44" cm="1">
        <f t="array" ref="AK258">_xll.BDH("COMXSILV Comdty","PX_Last", N258)</f>
        <v>266703.65999999997</v>
      </c>
      <c r="AL258" s="15" t="str" cm="1">
        <f t="array" ref="AL258">_xll.BDS("SIA Comdty","FUT_CHAIN", "CHAIN_DATE",A258,"endrow=1")</f>
        <v>SIZ23 Comdty</v>
      </c>
      <c r="AM258" s="47" cm="1">
        <f t="array" ref="AM258">_xll.BDH(AL258,"FUT_AGGTE_OPEN_INT",A258)</f>
        <v>139213</v>
      </c>
      <c r="AN258" s="45">
        <f t="shared" si="125"/>
        <v>383.15913025364006</v>
      </c>
      <c r="AO258" s="46">
        <f t="shared" si="126"/>
        <v>26670365999.999996</v>
      </c>
      <c r="AP258" s="46">
        <f t="shared" si="127"/>
        <v>696065</v>
      </c>
      <c r="AQ258" s="46"/>
    </row>
    <row r="259" spans="1:43" x14ac:dyDescent="0.2">
      <c r="A259" s="24">
        <v>45267</v>
      </c>
      <c r="B259" s="25" cm="1">
        <f t="array" ref="B259">_xll.BADDPERIODS(A259, "PER=WD", "NUMBEROFPERIODS=2", "BUSDAYADJ=-2", "CDR=GQ", "CDR=P9")</f>
        <v>45271</v>
      </c>
      <c r="C259" s="26" cm="1">
        <f t="array" ref="C259">_xll.BDH("XAU Curncy","PX_LAST",A259,A259)</f>
        <v>2028.47</v>
      </c>
      <c r="D259" s="26" t="str" cm="1">
        <f t="array" ref="D259">_xll.BDP("GCG24 Comdty",$M$32)</f>
        <v>01/02/2024</v>
      </c>
      <c r="E259" s="26">
        <f t="shared" si="146"/>
        <v>52</v>
      </c>
      <c r="F259" s="23">
        <v>5.6500000000000002E-2</v>
      </c>
      <c r="G259" s="28">
        <f t="shared" si="147"/>
        <v>16.554569055555557</v>
      </c>
      <c r="H259" s="12">
        <v>17</v>
      </c>
      <c r="I259" s="31">
        <f t="shared" si="148"/>
        <v>0.44543094444444264</v>
      </c>
      <c r="J259" s="26">
        <v>4</v>
      </c>
      <c r="K259" s="26">
        <v>6</v>
      </c>
      <c r="L259" s="26">
        <v>8</v>
      </c>
      <c r="N259" s="24">
        <v>45267</v>
      </c>
      <c r="O259" s="16" cm="1">
        <f t="array" ref="O259">_xll.BADDPERIODS(N259, "PER=WD", "NUMBEROFPERIODS=2", "BUSDAYADJ=-2", "CDR=GQ", "CDR=P9")</f>
        <v>45271</v>
      </c>
      <c r="P259" s="15" cm="1">
        <f t="array" ref="P259">_xll.BDH("XAG Curncy","PX_LAST",N259,N259)</f>
        <v>23.8017</v>
      </c>
      <c r="Q259" s="15" t="str" cm="1">
        <f t="array" ref="Q259">_xll.BDP("SIH24 Comdty",$M$32)</f>
        <v>01/03/2024</v>
      </c>
      <c r="R259" s="15">
        <f t="shared" si="149"/>
        <v>81</v>
      </c>
      <c r="S259" s="23">
        <v>5.6000000000000001E-2</v>
      </c>
      <c r="T259" s="21">
        <f t="shared" si="150"/>
        <v>0.29990142000000003</v>
      </c>
      <c r="U259" s="12">
        <v>0.315</v>
      </c>
      <c r="V259" s="20">
        <f t="shared" si="151"/>
        <v>1.5098579999999973</v>
      </c>
      <c r="W259" s="15">
        <v>15</v>
      </c>
      <c r="X259" s="15">
        <v>20</v>
      </c>
      <c r="Y259" s="15">
        <v>25</v>
      </c>
      <c r="Z259" s="18">
        <f t="shared" si="152"/>
        <v>29.990142000000002</v>
      </c>
      <c r="AA259" s="18">
        <f t="shared" si="153"/>
        <v>31.5</v>
      </c>
      <c r="AB259" s="18">
        <f t="shared" si="154"/>
        <v>1.5098579999999973</v>
      </c>
      <c r="AE259" s="44" cm="1">
        <f t="array" ref="AE259">_xll.BDH("COMXGOLD Comdty","PX_Last", N259)</f>
        <v>20042633.203000002</v>
      </c>
      <c r="AF259" s="15" t="str" cm="1">
        <f t="array" ref="AF259">_xll.BDS("GCA Comdty","FUT_CHAIN", "CHAIN_DATE",A259,"endrow=1")</f>
        <v>GCZ23 Comdty</v>
      </c>
      <c r="AG259" s="44" cm="1">
        <f t="array" ref="AG259">_xll.BDH(AF259,"FUT_AGGTE_OPEN_INT",A259)</f>
        <v>485111</v>
      </c>
      <c r="AH259" s="44">
        <f t="shared" si="123"/>
        <v>48511100</v>
      </c>
      <c r="AI259" s="48">
        <f t="shared" si="124"/>
        <v>0.413155611870273</v>
      </c>
      <c r="AJ259" s="45"/>
      <c r="AK259" s="44" cm="1">
        <f t="array" ref="AK259">_xll.BDH("COMXSILV Comdty","PX_Last", N259)</f>
        <v>266939.63</v>
      </c>
      <c r="AL259" s="15" t="str" cm="1">
        <f t="array" ref="AL259">_xll.BDS("SIA Comdty","FUT_CHAIN", "CHAIN_DATE",A259,"endrow=1")</f>
        <v>SIZ23 Comdty</v>
      </c>
      <c r="AM259" s="47" cm="1">
        <f t="array" ref="AM259">_xll.BDH(AL259,"FUT_AGGTE_OPEN_INT",A259)</f>
        <v>136601</v>
      </c>
      <c r="AN259" s="45">
        <f t="shared" si="125"/>
        <v>390.83115057722853</v>
      </c>
      <c r="AO259" s="46">
        <f t="shared" si="126"/>
        <v>26693963000</v>
      </c>
      <c r="AP259" s="46">
        <f t="shared" si="127"/>
        <v>683005</v>
      </c>
      <c r="AQ259" s="46"/>
    </row>
    <row r="260" spans="1:43" x14ac:dyDescent="0.2">
      <c r="A260" s="24">
        <v>45268</v>
      </c>
      <c r="B260" s="25" cm="1">
        <f t="array" ref="B260">_xll.BADDPERIODS(A260, "PER=WD", "NUMBEROFPERIODS=2", "BUSDAYADJ=-2", "CDR=GQ", "CDR=P9")</f>
        <v>45272</v>
      </c>
      <c r="C260" s="26" cm="1">
        <f t="array" ref="C260">_xll.BDH("XAU Curncy","PX_LAST",A260,A260)</f>
        <v>2004.67</v>
      </c>
      <c r="D260" s="26" t="str" cm="1">
        <f t="array" ref="D260">_xll.BDP("GCG24 Comdty",$M$32)</f>
        <v>01/02/2024</v>
      </c>
      <c r="E260" s="26">
        <f t="shared" si="146"/>
        <v>51</v>
      </c>
      <c r="F260" s="23">
        <v>5.6500000000000002E-2</v>
      </c>
      <c r="G260" s="28">
        <f t="shared" si="147"/>
        <v>16.045712791666666</v>
      </c>
      <c r="H260" s="12">
        <v>16.3</v>
      </c>
      <c r="I260" s="31">
        <f t="shared" si="148"/>
        <v>0.25428720833333429</v>
      </c>
      <c r="J260" s="26">
        <v>4</v>
      </c>
      <c r="K260" s="26">
        <v>6</v>
      </c>
      <c r="L260" s="26">
        <v>8</v>
      </c>
      <c r="N260" s="24">
        <v>45268</v>
      </c>
      <c r="O260" s="16" cm="1">
        <f t="array" ref="O260">_xll.BADDPERIODS(N260, "PER=WD", "NUMBEROFPERIODS=2", "BUSDAYADJ=-2", "CDR=GQ", "CDR=P9")</f>
        <v>45272</v>
      </c>
      <c r="P260" s="15" cm="1">
        <f t="array" ref="P260">_xll.BDH("XAG Curncy","PX_LAST",N260,N260)</f>
        <v>23.000599999999999</v>
      </c>
      <c r="Q260" s="15" t="str" cm="1">
        <f t="array" ref="Q260">_xll.BDP("SIH24 Comdty",$M$32)</f>
        <v>01/03/2024</v>
      </c>
      <c r="R260" s="15">
        <f t="shared" si="149"/>
        <v>80</v>
      </c>
      <c r="S260" s="23">
        <v>5.6000000000000001E-2</v>
      </c>
      <c r="T260" s="21">
        <f t="shared" si="150"/>
        <v>0.28622968888888889</v>
      </c>
      <c r="U260" s="12">
        <v>0.31</v>
      </c>
      <c r="V260" s="20">
        <f t="shared" si="151"/>
        <v>2.3770311111111111</v>
      </c>
      <c r="W260" s="15">
        <v>15</v>
      </c>
      <c r="X260" s="15">
        <v>20</v>
      </c>
      <c r="Y260" s="15">
        <v>25</v>
      </c>
      <c r="Z260" s="18">
        <f t="shared" si="152"/>
        <v>28.622968888888888</v>
      </c>
      <c r="AA260" s="18">
        <f t="shared" si="153"/>
        <v>31</v>
      </c>
      <c r="AB260" s="18">
        <f t="shared" si="154"/>
        <v>2.3770311111111111</v>
      </c>
      <c r="AE260" s="44" cm="1">
        <f t="array" ref="AE260">_xll.BDH("COMXGOLD Comdty","PX_Last", N260)</f>
        <v>20074349.105999999</v>
      </c>
      <c r="AF260" s="15" t="str" cm="1">
        <f t="array" ref="AF260">_xll.BDS("GCA Comdty","FUT_CHAIN", "CHAIN_DATE",A260,"endrow=1")</f>
        <v>GCZ23 Comdty</v>
      </c>
      <c r="AG260" s="44" cm="1">
        <f t="array" ref="AG260">_xll.BDH(AF260,"FUT_AGGTE_OPEN_INT",A260)</f>
        <v>480359</v>
      </c>
      <c r="AH260" s="44">
        <f t="shared" si="123"/>
        <v>48035900</v>
      </c>
      <c r="AI260" s="48">
        <f t="shared" si="124"/>
        <v>0.41790304971906428</v>
      </c>
      <c r="AJ260" s="45"/>
      <c r="AK260" s="44" cm="1">
        <f t="array" ref="AK260">_xll.BDH("COMXSILV Comdty","PX_Last", N260)</f>
        <v>267542.84000000003</v>
      </c>
      <c r="AL260" s="15" t="str" cm="1">
        <f t="array" ref="AL260">_xll.BDS("SIA Comdty","FUT_CHAIN", "CHAIN_DATE",A260,"endrow=1")</f>
        <v>SIZ23 Comdty</v>
      </c>
      <c r="AM260" s="47" cm="1">
        <f t="array" ref="AM260">_xll.BDH(AL260,"FUT_AGGTE_OPEN_INT",A260)</f>
        <v>136799</v>
      </c>
      <c r="AN260" s="45">
        <f t="shared" si="125"/>
        <v>391.14736218832013</v>
      </c>
      <c r="AO260" s="46">
        <f t="shared" si="126"/>
        <v>26754284000.000004</v>
      </c>
      <c r="AP260" s="46">
        <f t="shared" si="127"/>
        <v>683995</v>
      </c>
      <c r="AQ260" s="46"/>
    </row>
    <row r="261" spans="1:43" x14ac:dyDescent="0.2">
      <c r="A261" s="24">
        <v>45271</v>
      </c>
      <c r="B261" s="25" cm="1">
        <f t="array" ref="B261">_xll.BADDPERIODS(A261, "PER=WD", "NUMBEROFPERIODS=2", "BUSDAYADJ=-2", "CDR=GQ", "CDR=P9")</f>
        <v>45273</v>
      </c>
      <c r="C261" s="26" cm="1">
        <f t="array" ref="C261">_xll.BDH("XAU Curncy","PX_LAST",A261,A261)</f>
        <v>1981.95</v>
      </c>
      <c r="D261" s="26" t="str" cm="1">
        <f t="array" ref="D261">_xll.BDP("GCG24 Comdty",$M$32)</f>
        <v>01/02/2024</v>
      </c>
      <c r="E261" s="26">
        <f t="shared" si="146"/>
        <v>50</v>
      </c>
      <c r="F261" s="23">
        <v>5.6300000000000003E-2</v>
      </c>
      <c r="G261" s="28">
        <f t="shared" si="147"/>
        <v>15.49774791666667</v>
      </c>
      <c r="H261" s="22">
        <v>15.3</v>
      </c>
      <c r="I261" s="31">
        <f t="shared" si="148"/>
        <v>-0.19774791666666935</v>
      </c>
      <c r="J261" s="26">
        <v>4</v>
      </c>
      <c r="K261" s="26">
        <v>6</v>
      </c>
      <c r="L261" s="26">
        <v>8</v>
      </c>
      <c r="N261" s="24">
        <v>45271</v>
      </c>
      <c r="O261" s="16" cm="1">
        <f t="array" ref="O261">_xll.BADDPERIODS(N261, "PER=WD", "NUMBEROFPERIODS=2", "BUSDAYADJ=-2", "CDR=GQ", "CDR=P9")</f>
        <v>45273</v>
      </c>
      <c r="P261" s="15" cm="1">
        <f t="array" ref="P261">_xll.BDH("XAG Curncy","PX_LAST",N261,N261)</f>
        <v>22.819500000000001</v>
      </c>
      <c r="Q261" s="15" t="str" cm="1">
        <f t="array" ref="Q261">_xll.BDP("SIH24 Comdty",$M$32)</f>
        <v>01/03/2024</v>
      </c>
      <c r="R261" s="15">
        <f t="shared" si="149"/>
        <v>79</v>
      </c>
      <c r="S261" s="23">
        <v>5.7000000000000002E-2</v>
      </c>
      <c r="T261" s="21">
        <f t="shared" si="150"/>
        <v>0.28543391250000005</v>
      </c>
      <c r="U261" s="22">
        <v>0.31</v>
      </c>
      <c r="V261" s="20">
        <f t="shared" si="151"/>
        <v>2.4566087499999947</v>
      </c>
      <c r="W261" s="15">
        <v>15</v>
      </c>
      <c r="X261" s="15">
        <v>20</v>
      </c>
      <c r="Y261" s="15">
        <v>25</v>
      </c>
      <c r="Z261" s="18">
        <f t="shared" si="152"/>
        <v>28.543391250000006</v>
      </c>
      <c r="AA261" s="18">
        <f t="shared" si="153"/>
        <v>31</v>
      </c>
      <c r="AB261" s="18">
        <f t="shared" si="154"/>
        <v>2.4566087499999947</v>
      </c>
      <c r="AE261" s="44" cm="1">
        <f t="array" ref="AE261">_xll.BDH("COMXGOLD Comdty","PX_Last", N261)</f>
        <v>20074059.747000001</v>
      </c>
      <c r="AF261" s="15" t="str" cm="1">
        <f t="array" ref="AF261">_xll.BDS("GCA Comdty","FUT_CHAIN", "CHAIN_DATE",A261,"endrow=1")</f>
        <v>GCZ23 Comdty</v>
      </c>
      <c r="AG261" s="44" cm="1">
        <f t="array" ref="AG261">_xll.BDH(AF261,"FUT_AGGTE_OPEN_INT",A261)</f>
        <v>473469</v>
      </c>
      <c r="AH261" s="44">
        <f t="shared" si="123"/>
        <v>47346900</v>
      </c>
      <c r="AI261" s="48">
        <f t="shared" si="124"/>
        <v>0.42397833325941087</v>
      </c>
      <c r="AJ261" s="45"/>
      <c r="AK261" s="44" cm="1">
        <f t="array" ref="AK261">_xll.BDH("COMXSILV Comdty","PX_Last", N261)</f>
        <v>267536.71999999997</v>
      </c>
      <c r="AL261" s="15" t="str" cm="1">
        <f t="array" ref="AL261">_xll.BDS("SIA Comdty","FUT_CHAIN", "CHAIN_DATE",A261,"endrow=1")</f>
        <v>SIZ23 Comdty</v>
      </c>
      <c r="AM261" s="47" cm="1">
        <f t="array" ref="AM261">_xll.BDH(AL261,"FUT_AGGTE_OPEN_INT",A261)</f>
        <v>134239</v>
      </c>
      <c r="AN261" s="45">
        <f t="shared" si="125"/>
        <v>398.59760576285572</v>
      </c>
      <c r="AO261" s="46">
        <f t="shared" si="126"/>
        <v>26753671999.999996</v>
      </c>
      <c r="AP261" s="46">
        <f t="shared" si="127"/>
        <v>671195</v>
      </c>
      <c r="AQ261" s="46"/>
    </row>
    <row r="262" spans="1:43" x14ac:dyDescent="0.2">
      <c r="A262" s="24">
        <v>45272</v>
      </c>
      <c r="B262" s="25" cm="1">
        <f t="array" ref="B262">_xll.BADDPERIODS(A262, "PER=WD", "NUMBEROFPERIODS=2", "BUSDAYADJ=-2", "CDR=GQ", "CDR=P9")</f>
        <v>45274</v>
      </c>
      <c r="C262" s="26" cm="1">
        <f t="array" ref="C262">_xll.BDH("XAU Curncy","PX_LAST",A262,A262)</f>
        <v>1979.54</v>
      </c>
      <c r="D262" s="26" t="str" cm="1">
        <f t="array" ref="D262">_xll.BDP("GCG24 Comdty",$M$32)</f>
        <v>01/02/2024</v>
      </c>
      <c r="E262" s="26">
        <f t="shared" si="146"/>
        <v>49</v>
      </c>
      <c r="F262" s="23">
        <v>5.6300000000000003E-2</v>
      </c>
      <c r="G262" s="28">
        <f t="shared" si="147"/>
        <v>15.169324994444443</v>
      </c>
      <c r="H262" s="22">
        <v>15</v>
      </c>
      <c r="I262" s="31">
        <f t="shared" si="148"/>
        <v>-0.16932499444444282</v>
      </c>
      <c r="J262" s="26">
        <v>4</v>
      </c>
      <c r="K262" s="26">
        <v>6</v>
      </c>
      <c r="L262" s="26">
        <v>8</v>
      </c>
      <c r="N262" s="24">
        <v>45272</v>
      </c>
      <c r="O262" s="16" cm="1">
        <f t="array" ref="O262">_xll.BADDPERIODS(N262, "PER=WD", "NUMBEROFPERIODS=2", "BUSDAYADJ=-2", "CDR=GQ", "CDR=P9")</f>
        <v>45274</v>
      </c>
      <c r="P262" s="15" cm="1">
        <f t="array" ref="P262">_xll.BDH("XAG Curncy","PX_LAST",N262,N262)</f>
        <v>22.7743</v>
      </c>
      <c r="Q262" s="15" t="str" cm="1">
        <f t="array" ref="Q262">_xll.BDP("SIH24 Comdty",$M$32)</f>
        <v>01/03/2024</v>
      </c>
      <c r="R262" s="15">
        <f t="shared" si="149"/>
        <v>78</v>
      </c>
      <c r="S262" s="23">
        <v>5.7000000000000002E-2</v>
      </c>
      <c r="T262" s="21">
        <f t="shared" si="150"/>
        <v>0.281262605</v>
      </c>
      <c r="U262" s="22">
        <v>0.31</v>
      </c>
      <c r="V262" s="20">
        <f t="shared" si="151"/>
        <v>2.8737395000000001</v>
      </c>
      <c r="W262" s="15">
        <v>15</v>
      </c>
      <c r="X262" s="15">
        <v>20</v>
      </c>
      <c r="Y262" s="15">
        <v>25</v>
      </c>
      <c r="Z262" s="18">
        <f t="shared" si="152"/>
        <v>28.126260500000001</v>
      </c>
      <c r="AA262" s="18">
        <f t="shared" si="153"/>
        <v>31</v>
      </c>
      <c r="AB262" s="18">
        <f t="shared" si="154"/>
        <v>2.8737395000000001</v>
      </c>
      <c r="AE262" s="44" cm="1">
        <f t="array" ref="AE262">_xll.BDH("COMXGOLD Comdty","PX_Last", N262)</f>
        <v>20074059.747000001</v>
      </c>
      <c r="AF262" s="15" t="str" cm="1">
        <f t="array" ref="AF262">_xll.BDS("GCA Comdty","FUT_CHAIN", "CHAIN_DATE",A262,"endrow=1")</f>
        <v>GCZ23 Comdty</v>
      </c>
      <c r="AG262" s="44" cm="1">
        <f t="array" ref="AG262">_xll.BDH(AF262,"FUT_AGGTE_OPEN_INT",A262)</f>
        <v>469939</v>
      </c>
      <c r="AH262" s="44">
        <f t="shared" si="123"/>
        <v>46993900</v>
      </c>
      <c r="AI262" s="48">
        <f t="shared" si="124"/>
        <v>0.42716309450801065</v>
      </c>
      <c r="AJ262" s="45"/>
      <c r="AK262" s="44" cm="1">
        <f t="array" ref="AK262">_xll.BDH("COMXSILV Comdty","PX_Last", N262)</f>
        <v>268629.90999999997</v>
      </c>
      <c r="AL262" s="15" t="str" cm="1">
        <f t="array" ref="AL262">_xll.BDS("SIA Comdty","FUT_CHAIN", "CHAIN_DATE",A262,"endrow=1")</f>
        <v>SIZ23 Comdty</v>
      </c>
      <c r="AM262" s="47" cm="1">
        <f t="array" ref="AM262">_xll.BDH(AL262,"FUT_AGGTE_OPEN_INT",A262)</f>
        <v>134281</v>
      </c>
      <c r="AN262" s="45">
        <f t="shared" si="125"/>
        <v>400.10114610406526</v>
      </c>
      <c r="AO262" s="46">
        <f t="shared" si="126"/>
        <v>26862990999.999996</v>
      </c>
      <c r="AP262" s="46">
        <f t="shared" si="127"/>
        <v>671405</v>
      </c>
      <c r="AQ262" s="46"/>
    </row>
    <row r="263" spans="1:43" x14ac:dyDescent="0.2">
      <c r="A263" s="24">
        <v>45273</v>
      </c>
      <c r="B263" s="25" cm="1">
        <f t="array" ref="B263">_xll.BADDPERIODS(A263, "PER=WD", "NUMBEROFPERIODS=2", "BUSDAYADJ=-2", "CDR=GQ", "CDR=P9")</f>
        <v>45275</v>
      </c>
      <c r="C263" s="26" cm="1">
        <f t="array" ref="C263">_xll.BDH("XAU Curncy","PX_LAST",A263,A263)</f>
        <v>2027.74</v>
      </c>
      <c r="D263" s="26" t="str" cm="1">
        <f t="array" ref="D263">_xll.BDP("GCG24 Comdty",$M$32)</f>
        <v>01/02/2024</v>
      </c>
      <c r="E263" s="26">
        <f t="shared" si="146"/>
        <v>48</v>
      </c>
      <c r="F263" s="23">
        <v>5.6300000000000003E-2</v>
      </c>
      <c r="G263" s="28">
        <f t="shared" si="147"/>
        <v>15.221568266666669</v>
      </c>
      <c r="H263" s="22">
        <v>14.6</v>
      </c>
      <c r="I263" s="31">
        <f t="shared" si="148"/>
        <v>-0.62156826666666909</v>
      </c>
      <c r="J263" s="26">
        <v>4</v>
      </c>
      <c r="K263" s="26">
        <v>6</v>
      </c>
      <c r="L263" s="26">
        <v>8</v>
      </c>
      <c r="N263" s="24">
        <v>45273</v>
      </c>
      <c r="O263" s="16" cm="1">
        <f t="array" ref="O263">_xll.BADDPERIODS(N263, "PER=WD", "NUMBEROFPERIODS=2", "BUSDAYADJ=-2", "CDR=GQ", "CDR=P9")</f>
        <v>45275</v>
      </c>
      <c r="P263" s="15" cm="1">
        <f t="array" ref="P263">_xll.BDH("XAG Curncy","PX_LAST",N263,N263)</f>
        <v>23.815000000000001</v>
      </c>
      <c r="Q263" s="15" t="str" cm="1">
        <f t="array" ref="Q263">_xll.BDP("SIH24 Comdty",$M$32)</f>
        <v>01/03/2024</v>
      </c>
      <c r="R263" s="15">
        <f t="shared" si="149"/>
        <v>77</v>
      </c>
      <c r="S263" s="23">
        <v>5.7000000000000002E-2</v>
      </c>
      <c r="T263" s="21">
        <v>0.28000000000000003</v>
      </c>
      <c r="U263" s="22">
        <v>0.3</v>
      </c>
      <c r="V263" s="20">
        <f t="shared" si="151"/>
        <v>1.9999999999999962</v>
      </c>
      <c r="W263" s="15">
        <v>15</v>
      </c>
      <c r="X263" s="15">
        <v>20</v>
      </c>
      <c r="Y263" s="15">
        <v>25</v>
      </c>
      <c r="Z263" s="18">
        <f t="shared" si="152"/>
        <v>28.000000000000004</v>
      </c>
      <c r="AA263" s="18">
        <f t="shared" si="153"/>
        <v>30</v>
      </c>
      <c r="AB263" s="18">
        <f t="shared" si="154"/>
        <v>1.9999999999999962</v>
      </c>
      <c r="AE263" s="44" cm="1">
        <f t="array" ref="AE263">_xll.BDH("COMXGOLD Comdty","PX_Last", N263)</f>
        <v>20074059.747000001</v>
      </c>
      <c r="AF263" s="15" t="str" cm="1">
        <f t="array" ref="AF263">_xll.BDS("GCA Comdty","FUT_CHAIN", "CHAIN_DATE",A263,"endrow=1")</f>
        <v>GCZ23 Comdty</v>
      </c>
      <c r="AG263" s="44" cm="1">
        <f t="array" ref="AG263">_xll.BDH(AF263,"FUT_AGGTE_OPEN_INT",A263)</f>
        <v>476125</v>
      </c>
      <c r="AH263" s="44">
        <f t="shared" si="123"/>
        <v>47612500</v>
      </c>
      <c r="AI263" s="48">
        <f t="shared" si="124"/>
        <v>0.42161322650564453</v>
      </c>
      <c r="AJ263" s="45"/>
      <c r="AK263" s="44" cm="1">
        <f t="array" ref="AK263">_xll.BDH("COMXSILV Comdty","PX_Last", N263)</f>
        <v>267905</v>
      </c>
      <c r="AL263" s="15" t="str" cm="1">
        <f t="array" ref="AL263">_xll.BDS("SIA Comdty","FUT_CHAIN", "CHAIN_DATE",A263,"endrow=1")</f>
        <v>SIZ23 Comdty</v>
      </c>
      <c r="AM263" s="47" cm="1">
        <f t="array" ref="AM263">_xll.BDH(AL263,"FUT_AGGTE_OPEN_INT",A263)</f>
        <v>133961</v>
      </c>
      <c r="AN263" s="45">
        <f t="shared" si="125"/>
        <v>399.9746194788035</v>
      </c>
      <c r="AO263" s="46">
        <f t="shared" si="126"/>
        <v>26790500000</v>
      </c>
      <c r="AP263" s="46">
        <f t="shared" si="127"/>
        <v>669805</v>
      </c>
      <c r="AQ263" s="46"/>
    </row>
    <row r="264" spans="1:43" x14ac:dyDescent="0.2">
      <c r="A264" s="24">
        <v>45274</v>
      </c>
      <c r="B264" s="25" cm="1">
        <f t="array" ref="B264">_xll.BADDPERIODS(A264, "PER=WD", "NUMBEROFPERIODS=2", "BUSDAYADJ=-2", "CDR=GQ", "CDR=P9")</f>
        <v>45278</v>
      </c>
      <c r="C264" s="26" cm="1">
        <f t="array" ref="C264">_xll.BDH("XAU Curncy","PX_LAST",A264,A264)</f>
        <v>2036.36</v>
      </c>
      <c r="D264" s="26" t="str" cm="1">
        <f t="array" ref="D264">_xll.BDP("GCG24 Comdty",$M$32)</f>
        <v>01/02/2024</v>
      </c>
      <c r="E264" s="26">
        <f t="shared" si="146"/>
        <v>45</v>
      </c>
      <c r="F264" s="23">
        <v>5.6300000000000003E-2</v>
      </c>
      <c r="G264" s="28">
        <f t="shared" si="147"/>
        <v>14.330883500000001</v>
      </c>
      <c r="H264" s="22">
        <v>14</v>
      </c>
      <c r="I264" s="31">
        <f t="shared" si="148"/>
        <v>-0.33088350000000055</v>
      </c>
      <c r="J264" s="26">
        <v>4</v>
      </c>
      <c r="K264" s="26">
        <v>6</v>
      </c>
      <c r="L264" s="26">
        <v>8</v>
      </c>
      <c r="N264" s="24">
        <v>45274</v>
      </c>
      <c r="O264" s="16" cm="1">
        <f t="array" ref="O264">_xll.BADDPERIODS(N264, "PER=WD", "NUMBEROFPERIODS=2", "BUSDAYADJ=-2", "CDR=GQ", "CDR=P9")</f>
        <v>45278</v>
      </c>
      <c r="P264" s="15" cm="1">
        <f t="array" ref="P264">_xll.BDH("XAG Curncy","PX_LAST",N264,N264)</f>
        <v>24.1844</v>
      </c>
      <c r="Q264" s="15" t="str" cm="1">
        <f t="array" ref="Q264">_xll.BDP("SIH24 Comdty",$M$32)</f>
        <v>01/03/2024</v>
      </c>
      <c r="R264" s="15">
        <f t="shared" si="149"/>
        <v>74</v>
      </c>
      <c r="S264" s="23">
        <v>5.7000000000000002E-2</v>
      </c>
      <c r="T264" s="21">
        <f t="shared" si="150"/>
        <v>0.28336055333333332</v>
      </c>
      <c r="U264" s="22">
        <v>0.28999999999999998</v>
      </c>
      <c r="V264" s="20">
        <f t="shared" si="151"/>
        <v>0.66394466666666596</v>
      </c>
      <c r="W264" s="15">
        <v>15</v>
      </c>
      <c r="X264" s="15">
        <v>20</v>
      </c>
      <c r="Y264" s="15">
        <v>25</v>
      </c>
      <c r="Z264" s="18">
        <f t="shared" si="152"/>
        <v>28.336055333333331</v>
      </c>
      <c r="AA264" s="18">
        <f t="shared" si="153"/>
        <v>28.999999999999996</v>
      </c>
      <c r="AB264" s="18">
        <f t="shared" si="154"/>
        <v>0.66394466666666596</v>
      </c>
      <c r="AE264" s="44" cm="1">
        <f t="array" ref="AE264">_xll.BDH("COMXGOLD Comdty","PX_Last", N264)</f>
        <v>20074059.747000001</v>
      </c>
      <c r="AF264" s="15" t="str" cm="1">
        <f t="array" ref="AF264">_xll.BDS("GCA Comdty","FUT_CHAIN", "CHAIN_DATE",A264,"endrow=1")</f>
        <v>GCZ23 Comdty</v>
      </c>
      <c r="AG264" s="44" cm="1">
        <f t="array" ref="AG264">_xll.BDH(AF264,"FUT_AGGTE_OPEN_INT",A264)</f>
        <v>479925</v>
      </c>
      <c r="AH264" s="44">
        <f t="shared" si="123"/>
        <v>47992500</v>
      </c>
      <c r="AI264" s="48">
        <f t="shared" si="124"/>
        <v>0.41827493352086265</v>
      </c>
      <c r="AJ264" s="45"/>
      <c r="AK264" s="44" cm="1">
        <f t="array" ref="AK264">_xll.BDH("COMXSILV Comdty","PX_Last", N264)</f>
        <v>268519.19</v>
      </c>
      <c r="AL264" s="15" t="str" cm="1">
        <f t="array" ref="AL264">_xll.BDS("SIA Comdty","FUT_CHAIN", "CHAIN_DATE",A264,"endrow=1")</f>
        <v>SIZ23 Comdty</v>
      </c>
      <c r="AM264" s="47" cm="1">
        <f t="array" ref="AM264">_xll.BDH(AL264,"FUT_AGGTE_OPEN_INT",A264)</f>
        <v>128971</v>
      </c>
      <c r="AN264" s="45">
        <f t="shared" si="125"/>
        <v>416.40243155438043</v>
      </c>
      <c r="AO264" s="46">
        <f t="shared" si="126"/>
        <v>26851919000</v>
      </c>
      <c r="AP264" s="46">
        <f t="shared" si="127"/>
        <v>644855</v>
      </c>
      <c r="AQ264" s="46"/>
    </row>
    <row r="265" spans="1:43" x14ac:dyDescent="0.2">
      <c r="A265" s="24">
        <v>45275</v>
      </c>
      <c r="B265" s="25" cm="1">
        <f t="array" ref="B265">_xll.BADDPERIODS(A265, "PER=WD", "NUMBEROFPERIODS=2", "BUSDAYADJ=-2", "CDR=GQ", "CDR=P9")</f>
        <v>45279</v>
      </c>
      <c r="C265" s="26" cm="1">
        <f t="array" ref="C265">_xll.BDH("XAU Curncy","PX_LAST",A265,A265)</f>
        <v>2019.62</v>
      </c>
      <c r="D265" s="26" t="str" cm="1">
        <f t="array" ref="D265">_xll.BDP("GCG24 Comdty",$M$32)</f>
        <v>01/02/2024</v>
      </c>
      <c r="E265" s="26">
        <f t="shared" si="146"/>
        <v>44</v>
      </c>
      <c r="F265" s="23">
        <v>5.6300000000000003E-2</v>
      </c>
      <c r="G265" s="28">
        <f t="shared" si="147"/>
        <v>13.897229622222222</v>
      </c>
      <c r="H265" s="22">
        <v>14</v>
      </c>
      <c r="I265" s="31">
        <f t="shared" si="148"/>
        <v>0.10277037777777842</v>
      </c>
      <c r="J265" s="26">
        <v>4</v>
      </c>
      <c r="K265" s="26">
        <v>6</v>
      </c>
      <c r="L265" s="26">
        <v>8</v>
      </c>
      <c r="N265" s="24">
        <v>45275</v>
      </c>
      <c r="O265" s="16" cm="1">
        <f t="array" ref="O265">_xll.BADDPERIODS(N265, "PER=WD", "NUMBEROFPERIODS=2", "BUSDAYADJ=-2", "CDR=GQ", "CDR=P9")</f>
        <v>45279</v>
      </c>
      <c r="P265" s="15" cm="1">
        <f t="array" ref="P265">_xll.BDH("XAG Curncy","PX_LAST",N265,N265)</f>
        <v>23.855599999999999</v>
      </c>
      <c r="Q265" s="15" t="str" cm="1">
        <f t="array" ref="Q265">_xll.BDP("SIH24 Comdty",$M$32)</f>
        <v>01/03/2024</v>
      </c>
      <c r="R265" s="15">
        <f t="shared" si="149"/>
        <v>73</v>
      </c>
      <c r="S265" s="23">
        <v>5.7000000000000002E-2</v>
      </c>
      <c r="T265" s="21">
        <f t="shared" si="150"/>
        <v>0.27573097666666668</v>
      </c>
      <c r="U265" s="22">
        <v>0.31</v>
      </c>
      <c r="V265" s="20">
        <f t="shared" si="151"/>
        <v>3.4269023333333317</v>
      </c>
      <c r="W265" s="15">
        <v>15</v>
      </c>
      <c r="X265" s="15">
        <v>20</v>
      </c>
      <c r="Y265" s="15">
        <v>25</v>
      </c>
      <c r="Z265" s="18">
        <f t="shared" si="152"/>
        <v>27.573097666666669</v>
      </c>
      <c r="AA265" s="18">
        <f t="shared" si="153"/>
        <v>31</v>
      </c>
      <c r="AB265" s="18">
        <f t="shared" si="154"/>
        <v>3.4269023333333317</v>
      </c>
      <c r="AE265" s="44" cm="1">
        <f t="array" ref="AE265">_xll.BDH("COMXGOLD Comdty","PX_Last", N265)</f>
        <v>20062012.491</v>
      </c>
      <c r="AF265" s="15" t="str" cm="1">
        <f t="array" ref="AF265">_xll.BDS("GCA Comdty","FUT_CHAIN", "CHAIN_DATE",A265,"endrow=1")</f>
        <v>GCZ23 Comdty</v>
      </c>
      <c r="AG265" s="44" cm="1">
        <f t="array" ref="AG265">_xll.BDH(AF265,"FUT_AGGTE_OPEN_INT",A265)</f>
        <v>477506</v>
      </c>
      <c r="AH265" s="44">
        <f t="shared" si="123"/>
        <v>47750600</v>
      </c>
      <c r="AI265" s="48">
        <f t="shared" si="124"/>
        <v>0.42014157918434536</v>
      </c>
      <c r="AJ265" s="45"/>
      <c r="AK265" s="44" cm="1">
        <f t="array" ref="AK265">_xll.BDH("COMXSILV Comdty","PX_Last", N265)</f>
        <v>269695.28000000003</v>
      </c>
      <c r="AL265" s="15" t="str" cm="1">
        <f t="array" ref="AL265">_xll.BDS("SIA Comdty","FUT_CHAIN", "CHAIN_DATE",A265,"endrow=1")</f>
        <v>SIZ23 Comdty</v>
      </c>
      <c r="AM265" s="47" cm="1">
        <f t="array" ref="AM265">_xll.BDH(AL265,"FUT_AGGTE_OPEN_INT",A265)</f>
        <v>127937</v>
      </c>
      <c r="AN265" s="45">
        <f t="shared" si="125"/>
        <v>421.60638439231815</v>
      </c>
      <c r="AO265" s="46">
        <f t="shared" si="126"/>
        <v>26969528000.000004</v>
      </c>
      <c r="AP265" s="46">
        <f t="shared" si="127"/>
        <v>639685</v>
      </c>
      <c r="AQ265" s="46"/>
    </row>
    <row r="266" spans="1:43" x14ac:dyDescent="0.2">
      <c r="A266" s="24">
        <v>45278</v>
      </c>
      <c r="B266" s="25" cm="1">
        <f t="array" ref="B266">_xll.BADDPERIODS(A266, "PER=WD", "NUMBEROFPERIODS=2", "BUSDAYADJ=-2", "CDR=GQ", "CDR=P9")</f>
        <v>45280</v>
      </c>
      <c r="C266" s="26" cm="1">
        <f t="array" ref="C266">_xll.BDH("XAU Curncy","PX_LAST",A266,A266)</f>
        <v>2027.19</v>
      </c>
      <c r="D266" s="26" t="str" cm="1">
        <f t="array" ref="D266">_xll.BDP("GCG24 Comdty",$M$32)</f>
        <v>01/02/2024</v>
      </c>
      <c r="E266" s="26">
        <f t="shared" si="146"/>
        <v>43</v>
      </c>
      <c r="F266" s="23">
        <v>5.6300000000000003E-2</v>
      </c>
      <c r="G266" s="28">
        <f t="shared" si="147"/>
        <v>13.632289641666668</v>
      </c>
      <c r="H266" s="12">
        <v>14</v>
      </c>
      <c r="I266" s="32">
        <f t="shared" si="148"/>
        <v>0.36771035833333165</v>
      </c>
      <c r="J266" s="26">
        <v>4</v>
      </c>
      <c r="K266" s="26">
        <v>6</v>
      </c>
      <c r="L266" s="26">
        <v>8</v>
      </c>
      <c r="N266" s="24">
        <v>45278</v>
      </c>
      <c r="O266" s="16" cm="1">
        <f t="array" ref="O266">_xll.BADDPERIODS(N266, "PER=WD", "NUMBEROFPERIODS=2", "BUSDAYADJ=-2", "CDR=GQ", "CDR=P9")</f>
        <v>45280</v>
      </c>
      <c r="P266" s="15" cm="1">
        <f t="array" ref="P266">_xll.BDH("XAG Curncy","PX_LAST",N266,N266)</f>
        <v>23.804500000000001</v>
      </c>
      <c r="Q266" s="15" t="str" cm="1">
        <f t="array" ref="Q266">_xll.BDP("SIH24 Comdty",$M$32)</f>
        <v>01/03/2024</v>
      </c>
      <c r="R266" s="15">
        <f t="shared" si="149"/>
        <v>72</v>
      </c>
      <c r="S266" s="23">
        <v>5.7000000000000002E-2</v>
      </c>
      <c r="T266" s="21">
        <f t="shared" si="150"/>
        <v>0.27137130000000004</v>
      </c>
      <c r="U266" s="22">
        <v>0.31</v>
      </c>
      <c r="V266" s="20">
        <f t="shared" si="151"/>
        <v>3.862869999999996</v>
      </c>
      <c r="W266" s="15">
        <v>15</v>
      </c>
      <c r="X266" s="15">
        <v>20</v>
      </c>
      <c r="Y266" s="15">
        <v>25</v>
      </c>
      <c r="Z266" s="18">
        <f t="shared" si="152"/>
        <v>27.137130000000003</v>
      </c>
      <c r="AA266" s="18">
        <f t="shared" si="153"/>
        <v>31</v>
      </c>
      <c r="AB266" s="18">
        <f t="shared" si="154"/>
        <v>3.862869999999996</v>
      </c>
      <c r="AE266" s="44" cm="1">
        <f t="array" ref="AE266">_xll.BDH("COMXGOLD Comdty","PX_Last", N266)</f>
        <v>20066011.741</v>
      </c>
      <c r="AF266" s="15" t="str" cm="1">
        <f t="array" ref="AF266">_xll.BDS("GCA Comdty","FUT_CHAIN", "CHAIN_DATE",A266,"endrow=1")</f>
        <v>GCZ23 Comdty</v>
      </c>
      <c r="AG266" s="44" cm="1">
        <f t="array" ref="AG266">_xll.BDH(AF266,"FUT_AGGTE_OPEN_INT",A266)</f>
        <v>477275</v>
      </c>
      <c r="AH266" s="44">
        <f t="shared" si="123"/>
        <v>47727500</v>
      </c>
      <c r="AI266" s="48">
        <f t="shared" si="124"/>
        <v>0.42042872015085642</v>
      </c>
      <c r="AJ266" s="45"/>
      <c r="AK266" s="44" cm="1">
        <f t="array" ref="AK266">_xll.BDH("COMXSILV Comdty","PX_Last", N266)</f>
        <v>270200.63</v>
      </c>
      <c r="AL266" s="15" t="str" cm="1">
        <f t="array" ref="AL266">_xll.BDS("SIA Comdty","FUT_CHAIN", "CHAIN_DATE",A266,"endrow=1")</f>
        <v>SIZ23 Comdty</v>
      </c>
      <c r="AM266" s="47" cm="1">
        <f t="array" ref="AM266">_xll.BDH(AL266,"FUT_AGGTE_OPEN_INT",A266)</f>
        <v>127272</v>
      </c>
      <c r="AN266" s="45">
        <f t="shared" si="125"/>
        <v>424.60341630523601</v>
      </c>
      <c r="AO266" s="46">
        <f t="shared" si="126"/>
        <v>27020063000</v>
      </c>
      <c r="AP266" s="46">
        <f t="shared" si="127"/>
        <v>636360</v>
      </c>
      <c r="AQ266" s="46"/>
    </row>
    <row r="267" spans="1:43" x14ac:dyDescent="0.2">
      <c r="A267" s="24">
        <v>45279</v>
      </c>
      <c r="B267" s="25" cm="1">
        <f t="array" ref="B267">_xll.BADDPERIODS(A267, "PER=WD", "NUMBEROFPERIODS=2", "BUSDAYADJ=-2", "CDR=GQ", "CDR=P9")</f>
        <v>45281</v>
      </c>
      <c r="C267" s="26" cm="1">
        <f t="array" ref="C267">_xll.BDH("XAU Curncy","PX_LAST",A267,A267)</f>
        <v>2040.35</v>
      </c>
      <c r="D267" s="26" t="str" cm="1">
        <f t="array" ref="D267">_xll.BDP("GCG24 Comdty",$M$32)</f>
        <v>01/02/2024</v>
      </c>
      <c r="E267" s="26">
        <f t="shared" si="146"/>
        <v>42</v>
      </c>
      <c r="F267" s="23">
        <v>5.6300000000000003E-2</v>
      </c>
      <c r="G267" s="28">
        <f t="shared" si="147"/>
        <v>13.401698916666668</v>
      </c>
      <c r="H267" s="12">
        <v>13.6</v>
      </c>
      <c r="I267" s="32">
        <f t="shared" si="148"/>
        <v>0.19830108333333207</v>
      </c>
      <c r="J267" s="26">
        <v>4</v>
      </c>
      <c r="K267" s="26">
        <v>6</v>
      </c>
      <c r="L267" s="26">
        <v>8</v>
      </c>
      <c r="N267" s="24">
        <v>45279</v>
      </c>
      <c r="O267" s="16" cm="1">
        <f t="array" ref="O267">_xll.BADDPERIODS(N267, "PER=WD", "NUMBEROFPERIODS=2", "BUSDAYADJ=-2", "CDR=GQ", "CDR=P9")</f>
        <v>45281</v>
      </c>
      <c r="P267" s="15" cm="1">
        <f t="array" ref="P267">_xll.BDH("XAG Curncy","PX_LAST",N267,N267)</f>
        <v>24.051600000000001</v>
      </c>
      <c r="Q267" s="15" t="str" cm="1">
        <f t="array" ref="Q267">_xll.BDP("SIH24 Comdty",$M$32)</f>
        <v>01/03/2024</v>
      </c>
      <c r="R267" s="15">
        <f t="shared" si="149"/>
        <v>71</v>
      </c>
      <c r="S267" s="23">
        <v>5.7000000000000002E-2</v>
      </c>
      <c r="T267" s="21">
        <f t="shared" si="150"/>
        <v>0.27038006999999997</v>
      </c>
      <c r="U267" s="22">
        <v>0.31</v>
      </c>
      <c r="V267" s="20">
        <f t="shared" si="151"/>
        <v>3.9619930000000023</v>
      </c>
      <c r="W267" s="15">
        <v>15</v>
      </c>
      <c r="X267" s="15">
        <v>20</v>
      </c>
      <c r="Y267" s="15">
        <v>25</v>
      </c>
      <c r="Z267" s="18">
        <f t="shared" si="152"/>
        <v>27.038006999999997</v>
      </c>
      <c r="AA267" s="18">
        <f t="shared" si="153"/>
        <v>31</v>
      </c>
      <c r="AB267" s="18">
        <f t="shared" si="154"/>
        <v>3.9619930000000023</v>
      </c>
      <c r="AE267" s="44" cm="1">
        <f t="array" ref="AE267">_xll.BDH("COMXGOLD Comdty","PX_Last", N267)</f>
        <v>20066011.741</v>
      </c>
      <c r="AF267" s="15" t="str" cm="1">
        <f t="array" ref="AF267">_xll.BDS("GCA Comdty","FUT_CHAIN", "CHAIN_DATE",A267,"endrow=1")</f>
        <v>GCZ23 Comdty</v>
      </c>
      <c r="AG267" s="44" cm="1">
        <f t="array" ref="AG267">_xll.BDH(AF267,"FUT_AGGTE_OPEN_INT",A267)</f>
        <v>481203</v>
      </c>
      <c r="AH267" s="44">
        <f t="shared" si="123"/>
        <v>48120300</v>
      </c>
      <c r="AI267" s="48">
        <f t="shared" si="124"/>
        <v>0.41699681300823144</v>
      </c>
      <c r="AJ267" s="45"/>
      <c r="AK267" s="44" cm="1">
        <f t="array" ref="AK267">_xll.BDH("COMXSILV Comdty","PX_Last", N267)</f>
        <v>272017.5</v>
      </c>
      <c r="AL267" s="15" t="str" cm="1">
        <f t="array" ref="AL267">_xll.BDS("SIA Comdty","FUT_CHAIN", "CHAIN_DATE",A267,"endrow=1")</f>
        <v>SIZ23 Comdty</v>
      </c>
      <c r="AM267" s="47" cm="1">
        <f t="array" ref="AM267">_xll.BDH(AL267,"FUT_AGGTE_OPEN_INT",A267)</f>
        <v>127549</v>
      </c>
      <c r="AN267" s="45">
        <f t="shared" si="125"/>
        <v>426.53019623830841</v>
      </c>
      <c r="AO267" s="46">
        <f t="shared" si="126"/>
        <v>27201750000</v>
      </c>
      <c r="AP267" s="46">
        <f t="shared" si="127"/>
        <v>637745</v>
      </c>
      <c r="AQ267" s="46"/>
    </row>
    <row r="268" spans="1:43" x14ac:dyDescent="0.2">
      <c r="A268" s="24">
        <v>45280</v>
      </c>
      <c r="B268" s="25" cm="1">
        <f t="array" ref="B268">_xll.BADDPERIODS(A268, "PER=WD", "NUMBEROFPERIODS=2", "BUSDAYADJ=-2", "CDR=GQ", "CDR=P9")</f>
        <v>45282</v>
      </c>
      <c r="C268" s="26" cm="1">
        <f t="array" ref="C268">_xll.BDH("XAU Curncy","PX_LAST",A268,A268)</f>
        <v>2031.39</v>
      </c>
      <c r="D268" s="26" t="str" cm="1">
        <f t="array" ref="D268">_xll.BDP("GCG24 Comdty",$M$32)</f>
        <v>01/02/2024</v>
      </c>
      <c r="E268" s="26">
        <f t="shared" si="146"/>
        <v>41</v>
      </c>
      <c r="F268" s="23">
        <v>5.5800000000000002E-2</v>
      </c>
      <c r="G268" s="28">
        <f t="shared" si="147"/>
        <v>12.909483450000002</v>
      </c>
      <c r="H268" s="12">
        <v>13.3</v>
      </c>
      <c r="I268" s="32">
        <f t="shared" si="148"/>
        <v>0.39051654999999919</v>
      </c>
      <c r="J268" s="26">
        <v>4</v>
      </c>
      <c r="K268" s="26">
        <v>6</v>
      </c>
      <c r="L268" s="26">
        <v>8</v>
      </c>
      <c r="N268" s="24">
        <v>45280</v>
      </c>
      <c r="O268" s="16" cm="1">
        <f t="array" ref="O268">_xll.BADDPERIODS(N268, "PER=WD", "NUMBEROFPERIODS=2", "BUSDAYADJ=-2", "CDR=GQ", "CDR=P9")</f>
        <v>45282</v>
      </c>
      <c r="P268" s="15" cm="1">
        <f t="array" ref="P268">_xll.BDH("XAG Curncy","PX_LAST",N268,N268)</f>
        <v>24.147300000000001</v>
      </c>
      <c r="Q268" s="15" t="str" cm="1">
        <f t="array" ref="Q268">_xll.BDP("SIH24 Comdty",$M$32)</f>
        <v>01/03/2024</v>
      </c>
      <c r="R268" s="15">
        <f t="shared" si="149"/>
        <v>70</v>
      </c>
      <c r="S268" s="23">
        <v>5.7000000000000002E-2</v>
      </c>
      <c r="T268" s="21">
        <f t="shared" si="150"/>
        <v>0.26763257500000004</v>
      </c>
      <c r="U268" s="22">
        <v>0.31</v>
      </c>
      <c r="V268" s="20">
        <f t="shared" si="151"/>
        <v>4.2367424999999956</v>
      </c>
      <c r="W268" s="15">
        <v>15</v>
      </c>
      <c r="X268" s="15">
        <v>20</v>
      </c>
      <c r="Y268" s="15">
        <v>25</v>
      </c>
      <c r="Z268" s="18">
        <f t="shared" si="152"/>
        <v>26.763257500000005</v>
      </c>
      <c r="AA268" s="18">
        <f t="shared" si="153"/>
        <v>31</v>
      </c>
      <c r="AB268" s="18">
        <f t="shared" si="154"/>
        <v>4.2367424999999956</v>
      </c>
      <c r="AE268" s="44" cm="1">
        <f t="array" ref="AE268">_xll.BDH("COMXGOLD Comdty","PX_Last", N268)</f>
        <v>20065605.090999998</v>
      </c>
      <c r="AF268" s="15" t="str" cm="1">
        <f t="array" ref="AF268">_xll.BDS("GCA Comdty","FUT_CHAIN", "CHAIN_DATE",A268,"endrow=1")</f>
        <v>GCZ23 Comdty</v>
      </c>
      <c r="AG268" s="44" cm="1">
        <f t="array" ref="AG268">_xll.BDH(AF268,"FUT_AGGTE_OPEN_INT",A268)</f>
        <v>478775</v>
      </c>
      <c r="AH268" s="44">
        <f t="shared" si="123"/>
        <v>47877500</v>
      </c>
      <c r="AI268" s="48">
        <f t="shared" si="124"/>
        <v>0.41910302524150173</v>
      </c>
      <c r="AJ268" s="45"/>
      <c r="AK268" s="44" cm="1">
        <f t="array" ref="AK268">_xll.BDH("COMXSILV Comdty","PX_Last", N268)</f>
        <v>274629.03000000003</v>
      </c>
      <c r="AL268" s="15" t="str" cm="1">
        <f t="array" ref="AL268">_xll.BDS("SIA Comdty","FUT_CHAIN", "CHAIN_DATE",A268,"endrow=1")</f>
        <v>SIZ23 Comdty</v>
      </c>
      <c r="AM268" s="47" cm="1">
        <f t="array" ref="AM268">_xll.BDH(AL268,"FUT_AGGTE_OPEN_INT",A268)</f>
        <v>130403</v>
      </c>
      <c r="AN268" s="45">
        <f t="shared" si="125"/>
        <v>421.20047851659859</v>
      </c>
      <c r="AO268" s="46">
        <f t="shared" si="126"/>
        <v>27462903000.000004</v>
      </c>
      <c r="AP268" s="46">
        <f t="shared" si="127"/>
        <v>652015</v>
      </c>
      <c r="AQ268" s="46"/>
    </row>
    <row r="269" spans="1:43" x14ac:dyDescent="0.2">
      <c r="A269" s="24">
        <v>45281</v>
      </c>
      <c r="B269" s="25" cm="1">
        <f t="array" ref="B269">_xll.BADDPERIODS(A269, "PER=WD", "NUMBEROFPERIODS=2", "BUSDAYADJ=-2", "CDR=GQ", "CDR=P9")</f>
        <v>45287</v>
      </c>
      <c r="C269" s="26" cm="1">
        <f t="array" ref="C269">_xll.BDH("XAU Curncy","PX_LAST",A269,A269)</f>
        <v>2045.95</v>
      </c>
      <c r="D269" s="26" t="str" cm="1">
        <f t="array" ref="D269">_xll.BDP("GCG24 Comdty",$M$32)</f>
        <v>01/02/2024</v>
      </c>
      <c r="E269" s="26">
        <f t="shared" si="146"/>
        <v>36</v>
      </c>
      <c r="F269" s="23">
        <v>5.5800000000000002E-2</v>
      </c>
      <c r="G269" s="28">
        <f t="shared" si="147"/>
        <v>11.416401000000002</v>
      </c>
      <c r="H269" s="12">
        <v>12</v>
      </c>
      <c r="I269" s="32">
        <f t="shared" si="148"/>
        <v>0.58359899999999776</v>
      </c>
      <c r="J269" s="26">
        <v>4</v>
      </c>
      <c r="K269" s="26">
        <v>6</v>
      </c>
      <c r="L269" s="26">
        <v>8</v>
      </c>
      <c r="N269" s="24">
        <v>45281</v>
      </c>
      <c r="O269" s="16" cm="1">
        <f t="array" ref="O269">_xll.BADDPERIODS(N269, "PER=WD", "NUMBEROFPERIODS=2", "BUSDAYADJ=-2", "CDR=GQ", "CDR=P9")</f>
        <v>45287</v>
      </c>
      <c r="P269" s="15" cm="1">
        <f t="array" ref="P269">_xll.BDH("XAG Curncy","PX_LAST",N269,N269)</f>
        <v>24.405000000000001</v>
      </c>
      <c r="Q269" s="15" t="str" cm="1">
        <f t="array" ref="Q269">_xll.BDP("SIH24 Comdty",$M$32)</f>
        <v>01/03/2024</v>
      </c>
      <c r="R269" s="15">
        <f t="shared" si="149"/>
        <v>65</v>
      </c>
      <c r="S269" s="23">
        <v>5.7000000000000002E-2</v>
      </c>
      <c r="T269" s="21">
        <f t="shared" si="150"/>
        <v>0.25116812500000002</v>
      </c>
      <c r="U269" s="22">
        <v>0.31</v>
      </c>
      <c r="V269" s="20">
        <f t="shared" si="151"/>
        <v>5.8831874999999982</v>
      </c>
      <c r="W269" s="15">
        <v>15</v>
      </c>
      <c r="X269" s="15">
        <v>20</v>
      </c>
      <c r="Y269" s="15">
        <v>25</v>
      </c>
      <c r="Z269" s="18">
        <f t="shared" si="152"/>
        <v>25.116812500000002</v>
      </c>
      <c r="AA269" s="18">
        <f t="shared" si="153"/>
        <v>31</v>
      </c>
      <c r="AB269" s="18">
        <f t="shared" si="154"/>
        <v>5.8831874999999982</v>
      </c>
      <c r="AE269" s="44" cm="1">
        <f t="array" ref="AE269">_xll.BDH("COMXGOLD Comdty","PX_Last", N269)</f>
        <v>20046555.173</v>
      </c>
      <c r="AF269" s="15" t="str" cm="1">
        <f t="array" ref="AF269">_xll.BDS("GCA Comdty","FUT_CHAIN", "CHAIN_DATE",A269,"endrow=1")</f>
        <v>GCZ23 Comdty</v>
      </c>
      <c r="AG269" s="44" cm="1">
        <f t="array" ref="AG269">_xll.BDH(AF269,"FUT_AGGTE_OPEN_INT",A269)</f>
        <v>481866</v>
      </c>
      <c r="AH269" s="44">
        <f t="shared" si="123"/>
        <v>48186600</v>
      </c>
      <c r="AI269" s="48">
        <f t="shared" si="124"/>
        <v>0.41601929110997665</v>
      </c>
      <c r="AJ269" s="45"/>
      <c r="AK269" s="44" cm="1">
        <f t="array" ref="AK269">_xll.BDH("COMXSILV Comdty","PX_Last", N269)</f>
        <v>274022.53000000003</v>
      </c>
      <c r="AL269" s="15" t="str" cm="1">
        <f t="array" ref="AL269">_xll.BDS("SIA Comdty","FUT_CHAIN", "CHAIN_DATE",A269,"endrow=1")</f>
        <v>SIZ23 Comdty</v>
      </c>
      <c r="AM269" s="47" cm="1">
        <f t="array" ref="AM269">_xll.BDH(AL269,"FUT_AGGTE_OPEN_INT",A269)</f>
        <v>130959</v>
      </c>
      <c r="AN269" s="45">
        <f t="shared" si="125"/>
        <v>418.48598416298233</v>
      </c>
      <c r="AO269" s="46">
        <f t="shared" si="126"/>
        <v>27402253000.000004</v>
      </c>
      <c r="AP269" s="46">
        <f t="shared" si="127"/>
        <v>654795</v>
      </c>
      <c r="AQ269" s="46"/>
    </row>
    <row r="270" spans="1:43" x14ac:dyDescent="0.2">
      <c r="A270" s="24">
        <v>45282</v>
      </c>
      <c r="B270" s="25" cm="1">
        <f t="array" ref="B270">_xll.BADDPERIODS(A270, "PER=WD", "NUMBEROFPERIODS=2", "BUSDAYADJ=-2", "CDR=GQ", "CDR=P9")</f>
        <v>45288</v>
      </c>
      <c r="C270" s="26" cm="1">
        <f t="array" ref="C270">_xll.BDH("XAU Curncy","PX_LAST",A270,A270)</f>
        <v>2053.08</v>
      </c>
      <c r="D270" s="26" t="str" cm="1">
        <f t="array" ref="D270">_xll.BDP("GCG24 Comdty",$M$32)</f>
        <v>01/02/2024</v>
      </c>
      <c r="E270" s="26">
        <f t="shared" si="146"/>
        <v>35</v>
      </c>
      <c r="F270" s="23">
        <v>5.7500000000000002E-2</v>
      </c>
      <c r="G270" s="28">
        <f t="shared" si="147"/>
        <v>11.477287499999999</v>
      </c>
      <c r="H270" s="12">
        <v>12.1</v>
      </c>
      <c r="I270" s="32">
        <f t="shared" si="148"/>
        <v>0.62271250000000045</v>
      </c>
      <c r="J270" s="26">
        <v>4</v>
      </c>
      <c r="K270" s="26">
        <v>6</v>
      </c>
      <c r="L270" s="26">
        <v>8</v>
      </c>
      <c r="N270" s="24">
        <v>45282</v>
      </c>
      <c r="O270" s="16" cm="1">
        <f t="array" ref="O270">_xll.BADDPERIODS(N270, "PER=WD", "NUMBEROFPERIODS=2", "BUSDAYADJ=-2", "CDR=GQ", "CDR=P9")</f>
        <v>45288</v>
      </c>
      <c r="P270" s="15" cm="1">
        <f t="array" ref="P270">_xll.BDH("XAG Curncy","PX_LAST",N270,N270)</f>
        <v>24.188300000000002</v>
      </c>
      <c r="Q270" s="15" t="str" cm="1">
        <f t="array" ref="Q270">_xll.BDP("SIH24 Comdty",$M$32)</f>
        <v>01/03/2024</v>
      </c>
      <c r="R270" s="15">
        <f t="shared" si="149"/>
        <v>64</v>
      </c>
      <c r="S270" s="23">
        <v>5.7000000000000002E-2</v>
      </c>
      <c r="T270" s="21">
        <f t="shared" si="150"/>
        <v>0.24510810666666671</v>
      </c>
      <c r="U270" s="22">
        <v>0.31</v>
      </c>
      <c r="V270" s="20">
        <f t="shared" si="151"/>
        <v>6.4891893333333286</v>
      </c>
      <c r="W270" s="15">
        <v>15</v>
      </c>
      <c r="X270" s="15">
        <v>20</v>
      </c>
      <c r="Y270" s="15">
        <v>25</v>
      </c>
      <c r="Z270" s="18">
        <f t="shared" si="152"/>
        <v>24.510810666666671</v>
      </c>
      <c r="AA270" s="18">
        <f t="shared" si="153"/>
        <v>31</v>
      </c>
      <c r="AB270" s="18">
        <f t="shared" si="154"/>
        <v>6.4891893333333286</v>
      </c>
      <c r="AE270" s="44" cm="1">
        <f t="array" ref="AE270">_xll.BDH("COMXGOLD Comdty","PX_Last", N270)</f>
        <v>20041014.732000001</v>
      </c>
      <c r="AF270" s="15" t="str" cm="1">
        <f t="array" ref="AF270">_xll.BDS("GCA Comdty","FUT_CHAIN", "CHAIN_DATE",A270,"endrow=1")</f>
        <v>GCZ23 Comdty</v>
      </c>
      <c r="AG270" s="44" cm="1">
        <f t="array" ref="AG270">_xll.BDH(AF270,"FUT_AGGTE_OPEN_INT",A270)</f>
        <v>492305</v>
      </c>
      <c r="AH270" s="44">
        <f t="shared" si="123"/>
        <v>49230500</v>
      </c>
      <c r="AI270" s="48">
        <f t="shared" si="124"/>
        <v>0.40708533799169216</v>
      </c>
      <c r="AJ270" s="45"/>
      <c r="AK270" s="44" cm="1">
        <f t="array" ref="AK270">_xll.BDH("COMXSILV Comdty","PX_Last", N270)</f>
        <v>274929.59000000003</v>
      </c>
      <c r="AL270" s="15" t="str" cm="1">
        <f t="array" ref="AL270">_xll.BDS("SIA Comdty","FUT_CHAIN", "CHAIN_DATE",A270,"endrow=1")</f>
        <v>SIZ23 Comdty</v>
      </c>
      <c r="AM270" s="47" cm="1">
        <f t="array" ref="AM270">_xll.BDH(AL270,"FUT_AGGTE_OPEN_INT",A270)</f>
        <v>131024</v>
      </c>
      <c r="AN270" s="45">
        <f t="shared" si="125"/>
        <v>419.66294724630609</v>
      </c>
      <c r="AO270" s="46">
        <f t="shared" si="126"/>
        <v>27492959000.000004</v>
      </c>
      <c r="AP270" s="46">
        <f t="shared" si="127"/>
        <v>655120</v>
      </c>
      <c r="AQ270" s="46"/>
    </row>
    <row r="271" spans="1:43" x14ac:dyDescent="0.2">
      <c r="A271" s="24">
        <v>45286</v>
      </c>
      <c r="B271" s="25" cm="1">
        <f t="array" ref="B271">_xll.BADDPERIODS(A271, "PER=WD", "NUMBEROFPERIODS=2", "BUSDAYADJ=-2", "CDR=GQ", "CDR=P9")</f>
        <v>45288</v>
      </c>
      <c r="C271" s="26" cm="1">
        <f t="array" ref="C271">_xll.BDH("XAU Curncy","PX_LAST",A271,A271)</f>
        <v>2067.81</v>
      </c>
      <c r="D271" s="26" t="str" cm="1">
        <f t="array" ref="D271">_xll.BDP("GCG24 Comdty",$M$32)</f>
        <v>01/02/2024</v>
      </c>
      <c r="E271" s="26">
        <f t="shared" si="146"/>
        <v>35</v>
      </c>
      <c r="F271" s="23">
        <v>5.7500000000000002E-2</v>
      </c>
      <c r="G271" s="28">
        <f t="shared" si="147"/>
        <v>11.559632291666667</v>
      </c>
      <c r="H271" s="22">
        <v>11.5</v>
      </c>
      <c r="I271" s="32">
        <f t="shared" si="148"/>
        <v>-5.9632291666666504E-2</v>
      </c>
      <c r="J271" s="26">
        <v>4</v>
      </c>
      <c r="K271" s="26">
        <v>6</v>
      </c>
      <c r="L271" s="26">
        <v>8</v>
      </c>
      <c r="N271" s="24">
        <v>45286</v>
      </c>
      <c r="O271" s="16" cm="1">
        <f t="array" ref="O271">_xll.BADDPERIODS(N271, "PER=WD", "NUMBEROFPERIODS=2", "BUSDAYADJ=-2", "CDR=GQ", "CDR=P9")</f>
        <v>45288</v>
      </c>
      <c r="P271" s="15" cm="1">
        <f t="array" ref="P271">_xll.BDH("XAG Curncy","PX_LAST",N271,N271)</f>
        <v>24.2258</v>
      </c>
      <c r="Q271" s="15" t="str" cm="1">
        <f t="array" ref="Q271">_xll.BDP("SIH24 Comdty",$M$32)</f>
        <v>01/03/2024</v>
      </c>
      <c r="R271" s="15">
        <f t="shared" si="149"/>
        <v>64</v>
      </c>
      <c r="S271" s="23">
        <v>5.7000000000000002E-2</v>
      </c>
      <c r="T271" s="21">
        <f t="shared" si="150"/>
        <v>0.24548810666666668</v>
      </c>
      <c r="U271" s="12">
        <v>0.25</v>
      </c>
      <c r="V271" s="20">
        <f t="shared" si="151"/>
        <v>0.45118933333333222</v>
      </c>
      <c r="W271" s="15">
        <v>15</v>
      </c>
      <c r="X271" s="15">
        <v>20</v>
      </c>
      <c r="Y271" s="15">
        <v>25</v>
      </c>
      <c r="Z271" s="18">
        <f t="shared" si="152"/>
        <v>24.548810666666668</v>
      </c>
      <c r="AA271" s="18">
        <f t="shared" si="153"/>
        <v>25</v>
      </c>
      <c r="AB271" s="18">
        <f t="shared" si="154"/>
        <v>0.45118933333333222</v>
      </c>
      <c r="AE271" s="44" cm="1">
        <f t="array" ref="AE271">_xll.BDH("COMXGOLD Comdty","PX_Last", N271)</f>
        <v>20041014.732000001</v>
      </c>
      <c r="AF271" s="15" t="str" cm="1">
        <f t="array" ref="AF271">_xll.BDS("GCA Comdty","FUT_CHAIN", "CHAIN_DATE",A271,"endrow=1")</f>
        <v>GCZ23 Comdty</v>
      </c>
      <c r="AG271" s="44" cm="1">
        <f t="array" ref="AG271">_xll.BDH(AF271,"FUT_AGGTE_OPEN_INT",A271)</f>
        <v>491343</v>
      </c>
      <c r="AH271" s="44">
        <f t="shared" si="123"/>
        <v>49134300</v>
      </c>
      <c r="AI271" s="48">
        <f t="shared" si="124"/>
        <v>0.40788236999407745</v>
      </c>
      <c r="AJ271" s="45"/>
      <c r="AK271" s="44" cm="1">
        <f t="array" ref="AK271">_xll.BDH("COMXSILV Comdty","PX_Last", N271)</f>
        <v>275551.59000000003</v>
      </c>
      <c r="AL271" s="15" t="str" cm="1">
        <f t="array" ref="AL271">_xll.BDS("SIA Comdty","FUT_CHAIN", "CHAIN_DATE",A271,"endrow=1")</f>
        <v>SIZ23 Comdty</v>
      </c>
      <c r="AM271" s="47" cm="1">
        <f t="array" ref="AM271">_xll.BDH(AL271,"FUT_AGGTE_OPEN_INT",A271)</f>
        <v>131408</v>
      </c>
      <c r="AN271" s="45">
        <f t="shared" si="125"/>
        <v>419.38327955680029</v>
      </c>
      <c r="AO271" s="46">
        <f t="shared" si="126"/>
        <v>27555159000.000004</v>
      </c>
      <c r="AP271" s="46">
        <f t="shared" si="127"/>
        <v>657040</v>
      </c>
      <c r="AQ271" s="46"/>
    </row>
    <row r="272" spans="1:43" x14ac:dyDescent="0.2">
      <c r="A272" s="24">
        <v>45287</v>
      </c>
      <c r="B272" s="25" cm="1">
        <f t="array" ref="B272">_xll.BADDPERIODS(A272, "PER=WD", "NUMBEROFPERIODS=2", "BUSDAYADJ=-2", "CDR=GQ", "CDR=P9")</f>
        <v>45289</v>
      </c>
      <c r="C272" s="26" cm="1">
        <f t="array" ref="C272">_xll.BDH("XAU Curncy","PX_LAST",A272,A272)</f>
        <v>2077.4899999999998</v>
      </c>
      <c r="D272" s="26" t="str" cm="1">
        <f t="array" ref="D272">_xll.BDP("GCG24 Comdty",$M$32)</f>
        <v>01/02/2024</v>
      </c>
      <c r="E272" s="26">
        <f t="shared" si="146"/>
        <v>34</v>
      </c>
      <c r="F272" s="23">
        <v>5.6500000000000002E-2</v>
      </c>
      <c r="G272" s="28">
        <f t="shared" si="147"/>
        <v>11.085717472222221</v>
      </c>
      <c r="H272" s="22">
        <v>11.4</v>
      </c>
      <c r="I272" s="32">
        <f t="shared" si="148"/>
        <v>0.31428252777777921</v>
      </c>
      <c r="J272" s="26">
        <v>4</v>
      </c>
      <c r="K272" s="26">
        <v>6</v>
      </c>
      <c r="L272" s="26">
        <v>8</v>
      </c>
      <c r="N272" s="24">
        <v>45287</v>
      </c>
      <c r="O272" s="16" cm="1">
        <f t="array" ref="O272">_xll.BADDPERIODS(N272, "PER=WD", "NUMBEROFPERIODS=2", "BUSDAYADJ=-2", "CDR=GQ", "CDR=P9")</f>
        <v>45289</v>
      </c>
      <c r="P272" s="15" cm="1">
        <f t="array" ref="P272">_xll.BDH("XAG Curncy","PX_LAST",N272,N272)</f>
        <v>24.265999999999998</v>
      </c>
      <c r="Q272" s="15" t="str" cm="1">
        <f t="array" ref="Q272">_xll.BDP("SIH24 Comdty",$M$32)</f>
        <v>01/03/2024</v>
      </c>
      <c r="R272" s="15">
        <f t="shared" si="149"/>
        <v>63</v>
      </c>
      <c r="S272" s="23">
        <v>5.7000000000000002E-2</v>
      </c>
      <c r="T272" s="21">
        <f t="shared" si="150"/>
        <v>0.24205334999999997</v>
      </c>
      <c r="U272" s="12">
        <v>0.24</v>
      </c>
      <c r="V272" s="20">
        <f t="shared" si="151"/>
        <v>-0.20533499999999816</v>
      </c>
      <c r="W272" s="15">
        <v>15</v>
      </c>
      <c r="X272" s="15">
        <v>20</v>
      </c>
      <c r="Y272" s="15">
        <v>25</v>
      </c>
      <c r="Z272" s="18">
        <f t="shared" si="152"/>
        <v>24.205334999999998</v>
      </c>
      <c r="AA272" s="18">
        <f t="shared" si="153"/>
        <v>24</v>
      </c>
      <c r="AB272" s="18">
        <f t="shared" si="154"/>
        <v>-0.20533499999999816</v>
      </c>
      <c r="AE272" s="44" cm="1">
        <f t="array" ref="AE272">_xll.BDH("COMXGOLD Comdty","PX_Last", N272)</f>
        <v>20041014.732000001</v>
      </c>
      <c r="AF272" s="15" t="str" cm="1">
        <f t="array" ref="AF272">_xll.BDS("GCA Comdty","FUT_CHAIN", "CHAIN_DATE",A272,"endrow=1")</f>
        <v>GCZ23 Comdty</v>
      </c>
      <c r="AG272" s="44" cm="1">
        <f t="array" ref="AG272">_xll.BDH(AF272,"FUT_AGGTE_OPEN_INT",A272)</f>
        <v>501113</v>
      </c>
      <c r="AH272" s="44">
        <f t="shared" si="123"/>
        <v>50111300</v>
      </c>
      <c r="AI272" s="48">
        <f t="shared" si="124"/>
        <v>0.39993005034792556</v>
      </c>
      <c r="AJ272" s="45"/>
      <c r="AK272" s="44" cm="1">
        <f t="array" ref="AK272">_xll.BDH("COMXSILV Comdty","PX_Last", N272)</f>
        <v>275543.44</v>
      </c>
      <c r="AL272" s="15" t="str" cm="1">
        <f t="array" ref="AL272">_xll.BDS("SIA Comdty","FUT_CHAIN", "CHAIN_DATE",A272,"endrow=1")</f>
        <v>SIZ23 Comdty</v>
      </c>
      <c r="AM272" s="47" cm="1">
        <f t="array" ref="AM272">_xll.BDH(AL272,"FUT_AGGTE_OPEN_INT",A272)</f>
        <v>133103</v>
      </c>
      <c r="AN272" s="45">
        <f t="shared" si="125"/>
        <v>414.03039751170144</v>
      </c>
      <c r="AO272" s="46">
        <f t="shared" si="126"/>
        <v>27554344000</v>
      </c>
      <c r="AP272" s="46">
        <f t="shared" si="127"/>
        <v>665515</v>
      </c>
      <c r="AQ272" s="46"/>
    </row>
    <row r="273" spans="1:43" x14ac:dyDescent="0.2">
      <c r="A273" s="24">
        <v>45288</v>
      </c>
      <c r="B273" s="25" cm="1">
        <f t="array" ref="B273">_xll.BADDPERIODS(A273, "PER=WD", "NUMBEROFPERIODS=2", "BUSDAYADJ=-2", "CDR=GQ", "CDR=P9")</f>
        <v>45293</v>
      </c>
      <c r="C273" s="26" cm="1">
        <f t="array" ref="C273">_xll.BDH("XAU Curncy","PX_LAST",A273,A273)</f>
        <v>2065.61</v>
      </c>
      <c r="D273" s="26" t="str" cm="1">
        <f t="array" ref="D273">_xll.BDP("GCG24 Comdty",$M$32)</f>
        <v>01/02/2024</v>
      </c>
      <c r="E273" s="26">
        <f t="shared" si="146"/>
        <v>30</v>
      </c>
      <c r="F273" s="23">
        <v>5.5800000000000002E-2</v>
      </c>
      <c r="G273" s="28">
        <f t="shared" si="147"/>
        <v>9.6050865000000005</v>
      </c>
      <c r="H273" s="22">
        <v>10</v>
      </c>
      <c r="I273" s="32">
        <f t="shared" si="148"/>
        <v>0.39491349999999947</v>
      </c>
      <c r="J273" s="26">
        <v>4</v>
      </c>
      <c r="K273" s="26">
        <v>6</v>
      </c>
      <c r="L273" s="26">
        <v>8</v>
      </c>
      <c r="N273" s="24">
        <v>45288</v>
      </c>
      <c r="O273" s="16" cm="1">
        <f t="array" ref="O273">_xll.BADDPERIODS(N273, "PER=WD", "NUMBEROFPERIODS=2", "BUSDAYADJ=-2", "CDR=GQ", "CDR=P9")</f>
        <v>45293</v>
      </c>
      <c r="P273" s="15" cm="1">
        <f t="array" ref="P273">_xll.BDH("XAG Curncy","PX_LAST",N273,N273)</f>
        <v>23.974299999999999</v>
      </c>
      <c r="Q273" s="15" t="str" cm="1">
        <f t="array" ref="Q273">_xll.BDP("SIH24 Comdty",$M$32)</f>
        <v>01/03/2024</v>
      </c>
      <c r="R273" s="15">
        <f t="shared" si="149"/>
        <v>59</v>
      </c>
      <c r="S273" s="23">
        <v>5.7000000000000002E-2</v>
      </c>
      <c r="T273" s="21">
        <f t="shared" si="150"/>
        <v>0.22395991916666669</v>
      </c>
      <c r="U273" s="12">
        <v>0.23</v>
      </c>
      <c r="V273" s="20">
        <f t="shared" si="151"/>
        <v>0.60400808333333222</v>
      </c>
      <c r="W273" s="15">
        <v>15</v>
      </c>
      <c r="X273" s="15">
        <v>20</v>
      </c>
      <c r="Y273" s="15">
        <v>25</v>
      </c>
      <c r="Z273" s="18">
        <f t="shared" si="152"/>
        <v>22.39599191666667</v>
      </c>
      <c r="AA273" s="18">
        <f t="shared" si="153"/>
        <v>23</v>
      </c>
      <c r="AB273" s="18">
        <f t="shared" si="154"/>
        <v>0.60400808333333222</v>
      </c>
      <c r="AE273" s="44" cm="1">
        <f t="array" ref="AE273">_xll.BDH("COMXGOLD Comdty","PX_Last", N273)</f>
        <v>20041014.732000001</v>
      </c>
      <c r="AF273" s="15" t="str" cm="1">
        <f t="array" ref="AF273">_xll.BDS("GCA Comdty","FUT_CHAIN", "CHAIN_DATE",A273,"endrow=1")</f>
        <v>GCF24 Comdty</v>
      </c>
      <c r="AG273" s="44" cm="1">
        <f t="array" ref="AG273">_xll.BDH(AF273,"FUT_AGGTE_OPEN_INT",A273)</f>
        <v>500162</v>
      </c>
      <c r="AH273" s="44">
        <f t="shared" si="123"/>
        <v>50016200</v>
      </c>
      <c r="AI273" s="48">
        <f t="shared" si="124"/>
        <v>0.40069047092741955</v>
      </c>
      <c r="AJ273" s="45"/>
      <c r="AK273" s="44" cm="1">
        <f t="array" ref="AK273">_xll.BDH("COMXSILV Comdty","PX_Last", N273)</f>
        <v>276802.25</v>
      </c>
      <c r="AL273" s="15" t="str" cm="1">
        <f t="array" ref="AL273">_xll.BDS("SIA Comdty","FUT_CHAIN", "CHAIN_DATE",A273,"endrow=1")</f>
        <v>SIF24 Comdty</v>
      </c>
      <c r="AM273" s="47" cm="1">
        <f t="array" ref="AM273">_xll.BDH(AL273,"FUT_AGGTE_OPEN_INT",A273)</f>
        <v>133987</v>
      </c>
      <c r="AN273" s="45">
        <f t="shared" si="125"/>
        <v>413.17777097778139</v>
      </c>
      <c r="AO273" s="46">
        <f t="shared" si="126"/>
        <v>27680225000</v>
      </c>
      <c r="AP273" s="46">
        <f t="shared" si="127"/>
        <v>669935</v>
      </c>
      <c r="AQ273" s="46"/>
    </row>
    <row r="274" spans="1:43" x14ac:dyDescent="0.2">
      <c r="A274" s="24">
        <v>45289</v>
      </c>
      <c r="B274" s="25" cm="1">
        <f t="array" ref="B274">_xll.BADDPERIODS(A274, "PER=WD", "NUMBEROFPERIODS=2", "BUSDAYADJ=-2", "CDR=GQ", "CDR=P9")</f>
        <v>45294</v>
      </c>
      <c r="C274" s="26" cm="1">
        <f t="array" ref="C274">_xll.BDH("XAU Curncy","PX_LAST",A274,A274)</f>
        <v>2062.98</v>
      </c>
      <c r="D274" s="26" t="str" cm="1">
        <f t="array" ref="D274">_xll.BDP("GCG24 Comdty",$M$32)</f>
        <v>01/02/2024</v>
      </c>
      <c r="E274" s="26">
        <f t="shared" si="146"/>
        <v>29</v>
      </c>
      <c r="F274" s="23">
        <v>5.6000000000000001E-2</v>
      </c>
      <c r="G274" s="28">
        <f t="shared" si="147"/>
        <v>9.3063320000000012</v>
      </c>
      <c r="H274" s="22">
        <v>9.4</v>
      </c>
      <c r="I274" s="32">
        <f t="shared" si="148"/>
        <v>9.3667999999999196E-2</v>
      </c>
      <c r="J274" s="26">
        <v>4</v>
      </c>
      <c r="K274" s="26">
        <v>6</v>
      </c>
      <c r="L274" s="26">
        <v>8</v>
      </c>
      <c r="N274" s="24">
        <v>45289</v>
      </c>
      <c r="O274" s="16" cm="1">
        <f t="array" ref="O274">_xll.BADDPERIODS(N274, "PER=WD", "NUMBEROFPERIODS=2", "BUSDAYADJ=-2", "CDR=GQ", "CDR=P9")</f>
        <v>45294</v>
      </c>
      <c r="P274" s="15" cm="1">
        <f t="array" ref="P274">_xll.BDH("XAG Curncy","PX_LAST",N274,N274)</f>
        <v>23.795300000000001</v>
      </c>
      <c r="Q274" s="15" t="str" cm="1">
        <f t="array" ref="Q274">_xll.BDP("SIH24 Comdty",$M$32)</f>
        <v>01/03/2024</v>
      </c>
      <c r="R274" s="15">
        <f t="shared" si="149"/>
        <v>58</v>
      </c>
      <c r="S274" s="23">
        <v>5.7000000000000002E-2</v>
      </c>
      <c r="T274" s="21">
        <f t="shared" si="150"/>
        <v>0.21852017166666671</v>
      </c>
      <c r="U274" s="12">
        <v>0.23</v>
      </c>
      <c r="V274" s="20">
        <f t="shared" si="151"/>
        <v>1.1479828333333302</v>
      </c>
      <c r="W274" s="15">
        <v>15</v>
      </c>
      <c r="X274" s="15">
        <v>20</v>
      </c>
      <c r="Y274" s="15">
        <v>25</v>
      </c>
      <c r="Z274" s="18">
        <f t="shared" si="152"/>
        <v>21.85201716666667</v>
      </c>
      <c r="AA274" s="18">
        <f t="shared" si="153"/>
        <v>23</v>
      </c>
      <c r="AB274" s="18">
        <f t="shared" si="154"/>
        <v>1.1479828333333302</v>
      </c>
      <c r="AE274" s="44" cm="1">
        <f t="array" ref="AE274">_xll.BDH("COMXGOLD Comdty","PX_Last", N274)</f>
        <v>20041014.732000001</v>
      </c>
      <c r="AF274" s="15" t="str" cm="1">
        <f t="array" ref="AF274">_xll.BDS("GCA Comdty","FUT_CHAIN", "CHAIN_DATE",A274,"endrow=1")</f>
        <v>GCF24 Comdty</v>
      </c>
      <c r="AG274" s="44" cm="1">
        <f t="array" ref="AG274">_xll.BDH(AF274,"FUT_AGGTE_OPEN_INT",A274)</f>
        <v>498118</v>
      </c>
      <c r="AH274" s="44">
        <f t="shared" si="123"/>
        <v>49811800</v>
      </c>
      <c r="AI274" s="48">
        <f t="shared" si="124"/>
        <v>0.40233468238449527</v>
      </c>
      <c r="AJ274" s="45"/>
      <c r="AK274" s="44" cm="1">
        <f t="array" ref="AK274">_xll.BDH("COMXSILV Comdty","PX_Last", N274)</f>
        <v>277869.75</v>
      </c>
      <c r="AL274" s="15" t="str" cm="1">
        <f t="array" ref="AL274">_xll.BDS("SIA Comdty","FUT_CHAIN", "CHAIN_DATE",A274,"endrow=1")</f>
        <v>SIF24 Comdty</v>
      </c>
      <c r="AM274" s="47" cm="1">
        <f t="array" ref="AM274">_xll.BDH(AL274,"FUT_AGGTE_OPEN_INT",A274)</f>
        <v>134218</v>
      </c>
      <c r="AN274" s="45">
        <f t="shared" si="125"/>
        <v>414.057354453203</v>
      </c>
      <c r="AO274" s="46">
        <f t="shared" si="126"/>
        <v>27786975000</v>
      </c>
      <c r="AP274" s="46">
        <f t="shared" si="127"/>
        <v>671090</v>
      </c>
      <c r="AQ274" s="46"/>
    </row>
    <row r="275" spans="1:43" x14ac:dyDescent="0.2">
      <c r="A275" s="24">
        <v>45293</v>
      </c>
      <c r="B275" s="25" cm="1">
        <f t="array" ref="B275">_xll.BADDPERIODS(A275, "PER=WD", "NUMBEROFPERIODS=2", "BUSDAYADJ=-2", "CDR=GQ", "CDR=P9")</f>
        <v>45295</v>
      </c>
      <c r="C275" s="26" cm="1">
        <f t="array" ref="C275">_xll.BDH("XAU Curncy","PX_LAST",A275,A275)</f>
        <v>2058.96</v>
      </c>
      <c r="D275" s="26" t="str" cm="1">
        <f t="array" ref="D275">_xll.BDP("GCG24 Comdty",$M$32)</f>
        <v>01/02/2024</v>
      </c>
      <c r="E275" s="26">
        <f t="shared" si="146"/>
        <v>28</v>
      </c>
      <c r="F275" s="23">
        <v>5.6000000000000001E-2</v>
      </c>
      <c r="G275" s="28">
        <f t="shared" si="147"/>
        <v>8.9679146666666671</v>
      </c>
      <c r="H275" s="22">
        <v>8.9</v>
      </c>
      <c r="I275" s="32">
        <f t="shared" si="148"/>
        <v>-6.791466666666679E-2</v>
      </c>
      <c r="J275" s="26">
        <v>4</v>
      </c>
      <c r="K275" s="26">
        <v>6</v>
      </c>
      <c r="L275" s="26">
        <v>8</v>
      </c>
      <c r="N275" s="24">
        <v>45293</v>
      </c>
      <c r="O275" s="16" cm="1">
        <f t="array" ref="O275">_xll.BADDPERIODS(N275, "PER=WD", "NUMBEROFPERIODS=2", "BUSDAYADJ=-2", "CDR=GQ", "CDR=P9")</f>
        <v>45295</v>
      </c>
      <c r="P275" s="15" cm="1">
        <f t="array" ref="P275">_xll.BDH("XAG Curncy","PX_LAST",N275,N275)</f>
        <v>23.663799999999998</v>
      </c>
      <c r="Q275" s="15" t="str" cm="1">
        <f t="array" ref="Q275">_xll.BDP("SIH24 Comdty",$M$32)</f>
        <v>01/03/2024</v>
      </c>
      <c r="R275" s="15">
        <f t="shared" si="149"/>
        <v>57</v>
      </c>
      <c r="S275" s="23">
        <v>5.7000000000000002E-2</v>
      </c>
      <c r="T275" s="21">
        <f t="shared" si="150"/>
        <v>0.21356579499999997</v>
      </c>
      <c r="U275" s="12">
        <v>0.24</v>
      </c>
      <c r="V275" s="20">
        <f t="shared" si="151"/>
        <v>2.6434205000000017</v>
      </c>
      <c r="W275" s="15">
        <v>15</v>
      </c>
      <c r="X275" s="15">
        <v>20</v>
      </c>
      <c r="Y275" s="15">
        <v>25</v>
      </c>
      <c r="Z275" s="18">
        <f t="shared" si="152"/>
        <v>21.356579499999999</v>
      </c>
      <c r="AA275" s="18">
        <f t="shared" si="153"/>
        <v>24</v>
      </c>
      <c r="AB275" s="18">
        <f t="shared" si="154"/>
        <v>2.6434205000000017</v>
      </c>
      <c r="AE275" s="44" cm="1">
        <f t="array" ref="AE275">_xll.BDH("COMXGOLD Comdty","PX_Last", N275)</f>
        <v>20040436.013999999</v>
      </c>
      <c r="AF275" s="15" t="str" cm="1">
        <f t="array" ref="AF275">_xll.BDS("GCA Comdty","FUT_CHAIN", "CHAIN_DATE",A275,"endrow=1")</f>
        <v>GCF24 Comdty</v>
      </c>
      <c r="AG275" s="44" cm="1">
        <f t="array" ref="AG275">_xll.BDH(AF275,"FUT_AGGTE_OPEN_INT",A275)</f>
        <v>500364</v>
      </c>
      <c r="AH275" s="44">
        <f t="shared" si="123"/>
        <v>50036400</v>
      </c>
      <c r="AI275" s="48">
        <f t="shared" si="124"/>
        <v>0.40051714379931408</v>
      </c>
      <c r="AJ275" s="45"/>
      <c r="AK275" s="44" cm="1">
        <f t="array" ref="AK275">_xll.BDH("COMXSILV Comdty","PX_Last", N275)</f>
        <v>278453.44</v>
      </c>
      <c r="AL275" s="15" t="str" cm="1">
        <f t="array" ref="AL275">_xll.BDS("SIA Comdty","FUT_CHAIN", "CHAIN_DATE",A275,"endrow=1")</f>
        <v>SIF24 Comdty</v>
      </c>
      <c r="AM275" s="47" cm="1">
        <f t="array" ref="AM275">_xll.BDH(AL275,"FUT_AGGTE_OPEN_INT",A275)</f>
        <v>134725</v>
      </c>
      <c r="AN275" s="45">
        <f t="shared" si="125"/>
        <v>413.36565596585638</v>
      </c>
      <c r="AO275" s="46">
        <f t="shared" si="126"/>
        <v>27845344000</v>
      </c>
      <c r="AP275" s="46">
        <f t="shared" si="127"/>
        <v>673625</v>
      </c>
      <c r="AQ275" s="46"/>
    </row>
    <row r="276" spans="1:43" x14ac:dyDescent="0.2">
      <c r="A276" s="24">
        <v>45294</v>
      </c>
      <c r="B276" s="25" cm="1">
        <f t="array" ref="B276">_xll.BADDPERIODS(A276, "PER=WD", "NUMBEROFPERIODS=2", "BUSDAYADJ=-2", "CDR=GQ", "CDR=P9")</f>
        <v>45296</v>
      </c>
      <c r="C276" s="26" cm="1">
        <f t="array" ref="C276">_xll.BDH("XAU Curncy","PX_LAST",A276,A276)</f>
        <v>2041.49</v>
      </c>
      <c r="D276" s="26" t="str" cm="1">
        <f t="array" ref="D276">_xll.BDP("GCG24 Comdty",$M$32)</f>
        <v>01/02/2024</v>
      </c>
      <c r="E276" s="26">
        <f t="shared" si="146"/>
        <v>27</v>
      </c>
      <c r="F276" s="23">
        <v>5.6000000000000001E-2</v>
      </c>
      <c r="G276" s="28">
        <f t="shared" si="147"/>
        <v>8.5742580000000004</v>
      </c>
      <c r="H276" s="22">
        <v>8.3000000000000007</v>
      </c>
      <c r="I276" s="32">
        <f t="shared" si="148"/>
        <v>-0.27425799999999967</v>
      </c>
      <c r="J276" s="26">
        <v>4</v>
      </c>
      <c r="K276" s="26">
        <v>6</v>
      </c>
      <c r="L276" s="26">
        <v>8</v>
      </c>
      <c r="N276" s="24">
        <v>45294</v>
      </c>
      <c r="O276" s="16" cm="1">
        <f t="array" ref="O276">_xll.BADDPERIODS(N276, "PER=WD", "NUMBEROFPERIODS=2", "BUSDAYADJ=-2", "CDR=GQ", "CDR=P9")</f>
        <v>45296</v>
      </c>
      <c r="P276" s="15" cm="1">
        <f t="array" ref="P276">_xll.BDH("XAG Curncy","PX_LAST",N276,N276)</f>
        <v>22.9895</v>
      </c>
      <c r="Q276" s="15" t="str" cm="1">
        <f t="array" ref="Q276">_xll.BDP("SIH24 Comdty",$M$32)</f>
        <v>01/03/2024</v>
      </c>
      <c r="R276" s="15">
        <f t="shared" si="149"/>
        <v>56</v>
      </c>
      <c r="S276" s="23">
        <v>5.7000000000000002E-2</v>
      </c>
      <c r="T276" s="21">
        <f t="shared" si="150"/>
        <v>0.20384023333333334</v>
      </c>
      <c r="U276" s="12">
        <v>0.23</v>
      </c>
      <c r="V276" s="20">
        <f t="shared" si="151"/>
        <v>2.6159766666666666</v>
      </c>
      <c r="W276" s="15">
        <v>15</v>
      </c>
      <c r="X276" s="15">
        <v>20</v>
      </c>
      <c r="Y276" s="15">
        <v>25</v>
      </c>
      <c r="Z276" s="18">
        <f t="shared" si="152"/>
        <v>20.384023333333335</v>
      </c>
      <c r="AA276" s="18">
        <f t="shared" si="153"/>
        <v>23</v>
      </c>
      <c r="AB276" s="18">
        <f t="shared" si="154"/>
        <v>2.6159766666666666</v>
      </c>
      <c r="AE276" s="44" cm="1">
        <f t="array" ref="AE276">_xll.BDH("COMXGOLD Comdty","PX_Last", N276)</f>
        <v>20035709.723999999</v>
      </c>
      <c r="AF276" s="15" t="str" cm="1">
        <f t="array" ref="AF276">_xll.BDS("GCA Comdty","FUT_CHAIN", "CHAIN_DATE",A276,"endrow=1")</f>
        <v>GCF24 Comdty</v>
      </c>
      <c r="AG276" s="44" cm="1">
        <f t="array" ref="AG276">_xll.BDH(AF276,"FUT_AGGTE_OPEN_INT",A276)</f>
        <v>497089</v>
      </c>
      <c r="AH276" s="44">
        <f t="shared" si="123"/>
        <v>49708900</v>
      </c>
      <c r="AI276" s="48">
        <f t="shared" si="124"/>
        <v>0.40306081454226506</v>
      </c>
      <c r="AJ276" s="45"/>
      <c r="AK276" s="44" cm="1">
        <f t="array" ref="AK276">_xll.BDH("COMXSILV Comdty","PX_Last", N276)</f>
        <v>279959.13</v>
      </c>
      <c r="AL276" s="15" t="str" cm="1">
        <f t="array" ref="AL276">_xll.BDS("SIA Comdty","FUT_CHAIN", "CHAIN_DATE",A276,"endrow=1")</f>
        <v>SIF24 Comdty</v>
      </c>
      <c r="AM276" s="47" cm="1">
        <f t="array" ref="AM276">_xll.BDH(AL276,"FUT_AGGTE_OPEN_INT",A276)</f>
        <v>134736</v>
      </c>
      <c r="AN276" s="45">
        <f t="shared" si="125"/>
        <v>415.566930887068</v>
      </c>
      <c r="AO276" s="46">
        <f t="shared" si="126"/>
        <v>27995913000</v>
      </c>
      <c r="AP276" s="46">
        <f t="shared" si="127"/>
        <v>673680</v>
      </c>
      <c r="AQ276" s="46"/>
    </row>
    <row r="277" spans="1:43" x14ac:dyDescent="0.2">
      <c r="A277" s="24">
        <v>45295</v>
      </c>
      <c r="B277" s="25" cm="1">
        <f t="array" ref="B277">_xll.BADDPERIODS(A277, "PER=WD", "NUMBEROFPERIODS=2", "BUSDAYADJ=-2", "CDR=GQ", "CDR=P9")</f>
        <v>45299</v>
      </c>
      <c r="C277" s="26" cm="1">
        <f t="array" ref="C277">_xll.BDH("XAU Curncy","PX_LAST",A277,A277)</f>
        <v>2043.65</v>
      </c>
      <c r="D277" s="26" t="str" cm="1">
        <f t="array" ref="D277">_xll.BDP("GCG24 Comdty",$M$32)</f>
        <v>01/02/2024</v>
      </c>
      <c r="E277" s="26">
        <f t="shared" si="146"/>
        <v>24</v>
      </c>
      <c r="F277" s="23">
        <v>5.6000000000000001E-2</v>
      </c>
      <c r="G277" s="28">
        <f t="shared" si="147"/>
        <v>7.6296266666666668</v>
      </c>
      <c r="H277" s="22">
        <v>7.2</v>
      </c>
      <c r="I277" s="32">
        <f t="shared" si="148"/>
        <v>-0.4296266666666666</v>
      </c>
      <c r="J277" s="26">
        <v>4</v>
      </c>
      <c r="K277" s="26">
        <v>6</v>
      </c>
      <c r="L277" s="26">
        <v>8</v>
      </c>
      <c r="N277" s="24">
        <v>45295</v>
      </c>
      <c r="O277" s="16" cm="1">
        <f t="array" ref="O277">_xll.BADDPERIODS(N277, "PER=WD", "NUMBEROFPERIODS=2", "BUSDAYADJ=-2", "CDR=GQ", "CDR=P9")</f>
        <v>45299</v>
      </c>
      <c r="P277" s="15" cm="1">
        <f t="array" ref="P277">_xll.BDH("XAG Curncy","PX_LAST",N277,N277)</f>
        <v>23.0108</v>
      </c>
      <c r="Q277" s="15" t="str" cm="1">
        <f t="array" ref="Q277">_xll.BDP("SIH24 Comdty",$M$32)</f>
        <v>01/03/2024</v>
      </c>
      <c r="R277" s="15">
        <f t="shared" si="149"/>
        <v>53</v>
      </c>
      <c r="S277" s="23">
        <v>5.7000000000000002E-2</v>
      </c>
      <c r="T277" s="21">
        <f t="shared" si="150"/>
        <v>0.19309896333333335</v>
      </c>
      <c r="U277" s="12">
        <v>0.23</v>
      </c>
      <c r="V277" s="20">
        <f t="shared" si="151"/>
        <v>3.6901036666666664</v>
      </c>
      <c r="W277" s="15">
        <v>15</v>
      </c>
      <c r="X277" s="15">
        <v>20</v>
      </c>
      <c r="Y277" s="15">
        <v>25</v>
      </c>
      <c r="Z277" s="18">
        <f t="shared" si="152"/>
        <v>19.309896333333334</v>
      </c>
      <c r="AA277" s="18">
        <f t="shared" si="153"/>
        <v>23</v>
      </c>
      <c r="AB277" s="18">
        <f t="shared" si="154"/>
        <v>3.6901036666666664</v>
      </c>
      <c r="AE277" s="44" cm="1">
        <f t="array" ref="AE277">_xll.BDH("COMXGOLD Comdty","PX_Last", N277)</f>
        <v>20036481.348000001</v>
      </c>
      <c r="AF277" s="15" t="str" cm="1">
        <f t="array" ref="AF277">_xll.BDS("GCA Comdty","FUT_CHAIN", "CHAIN_DATE",A277,"endrow=1")</f>
        <v>GCF24 Comdty</v>
      </c>
      <c r="AG277" s="44" cm="1">
        <f t="array" ref="AG277">_xll.BDH(AF277,"FUT_AGGTE_OPEN_INT",A277)</f>
        <v>496045</v>
      </c>
      <c r="AH277" s="44">
        <f t="shared" si="123"/>
        <v>49604500</v>
      </c>
      <c r="AI277" s="48">
        <f t="shared" si="124"/>
        <v>0.40392467110846803</v>
      </c>
      <c r="AJ277" s="45"/>
      <c r="AK277" s="44" cm="1">
        <f t="array" ref="AK277">_xll.BDH("COMXSILV Comdty","PX_Last", N277)</f>
        <v>280532.46999999997</v>
      </c>
      <c r="AL277" s="15" t="str" cm="1">
        <f t="array" ref="AL277">_xll.BDS("SIA Comdty","FUT_CHAIN", "CHAIN_DATE",A277,"endrow=1")</f>
        <v>SIF24 Comdty</v>
      </c>
      <c r="AM277" s="47" cm="1">
        <f t="array" ref="AM277">_xll.BDH(AL277,"FUT_AGGTE_OPEN_INT",A277)</f>
        <v>132256</v>
      </c>
      <c r="AN277" s="45">
        <f t="shared" si="125"/>
        <v>424.22645475441561</v>
      </c>
      <c r="AO277" s="46">
        <f t="shared" si="126"/>
        <v>28053246999.999996</v>
      </c>
      <c r="AP277" s="46">
        <f t="shared" si="127"/>
        <v>661280</v>
      </c>
      <c r="AQ277" s="46"/>
    </row>
    <row r="278" spans="1:43" x14ac:dyDescent="0.2">
      <c r="A278" s="24">
        <v>45296</v>
      </c>
      <c r="B278" s="25" cm="1">
        <f t="array" ref="B278">_xll.BADDPERIODS(A278, "PER=WD", "NUMBEROFPERIODS=2", "BUSDAYADJ=-2", "CDR=GQ", "CDR=P9")</f>
        <v>45300</v>
      </c>
      <c r="C278" s="26" cm="1">
        <f t="array" ref="C278">_xll.BDH("XAU Curncy","PX_LAST",A278,A278)</f>
        <v>2045.45</v>
      </c>
      <c r="D278" s="26" t="str" cm="1">
        <f t="array" ref="D278">_xll.BDP("GCG24 Comdty",$M$32)</f>
        <v>01/02/2024</v>
      </c>
      <c r="E278" s="26">
        <f t="shared" si="146"/>
        <v>23</v>
      </c>
      <c r="F278" s="23">
        <v>5.6000000000000001E-2</v>
      </c>
      <c r="G278" s="28">
        <f t="shared" si="147"/>
        <v>7.3181655555555558</v>
      </c>
      <c r="H278" s="22">
        <v>7</v>
      </c>
      <c r="I278" s="32">
        <f t="shared" si="148"/>
        <v>-0.31816555555555581</v>
      </c>
      <c r="J278" s="26">
        <v>4</v>
      </c>
      <c r="K278" s="26">
        <v>6</v>
      </c>
      <c r="L278" s="26">
        <v>8</v>
      </c>
      <c r="N278" s="24">
        <v>45296</v>
      </c>
      <c r="O278" s="16" cm="1">
        <f t="array" ref="O278">_xll.BADDPERIODS(N278, "PER=WD", "NUMBEROFPERIODS=2", "BUSDAYADJ=-2", "CDR=GQ", "CDR=P9")</f>
        <v>45300</v>
      </c>
      <c r="P278" s="15" cm="1">
        <f t="array" ref="P278">_xll.BDH("XAG Curncy","PX_LAST",N278,N278)</f>
        <v>23.192</v>
      </c>
      <c r="Q278" s="15" t="str" cm="1">
        <f t="array" ref="Q278">_xll.BDP("SIH24 Comdty",$M$32)</f>
        <v>01/03/2024</v>
      </c>
      <c r="R278" s="15">
        <f t="shared" si="149"/>
        <v>52</v>
      </c>
      <c r="S278" s="23">
        <v>5.7000000000000002E-2</v>
      </c>
      <c r="T278" s="21">
        <f t="shared" si="150"/>
        <v>0.19094746666666665</v>
      </c>
      <c r="U278" s="12">
        <v>0.19</v>
      </c>
      <c r="V278" s="20">
        <f t="shared" si="151"/>
        <v>-9.4746666666664647E-2</v>
      </c>
      <c r="W278" s="15">
        <v>15</v>
      </c>
      <c r="X278" s="15">
        <v>20</v>
      </c>
      <c r="Y278" s="15">
        <v>25</v>
      </c>
      <c r="Z278" s="18">
        <f t="shared" si="152"/>
        <v>19.094746666666666</v>
      </c>
      <c r="AA278" s="18">
        <f t="shared" si="153"/>
        <v>19</v>
      </c>
      <c r="AB278" s="18">
        <f t="shared" si="154"/>
        <v>-9.4746666666664647E-2</v>
      </c>
      <c r="AE278" s="44" cm="1">
        <f t="array" ref="AE278">_xll.BDH("COMXGOLD Comdty","PX_Last", N278)</f>
        <v>20036481.348000001</v>
      </c>
      <c r="AF278" s="15" t="str" cm="1">
        <f t="array" ref="AF278">_xll.BDS("GCA Comdty","FUT_CHAIN", "CHAIN_DATE",A278,"endrow=1")</f>
        <v>GCF24 Comdty</v>
      </c>
      <c r="AG278" s="44" cm="1">
        <f t="array" ref="AG278">_xll.BDH(AF278,"FUT_AGGTE_OPEN_INT",A278)</f>
        <v>494673</v>
      </c>
      <c r="AH278" s="44">
        <f t="shared" si="123"/>
        <v>49467300</v>
      </c>
      <c r="AI278" s="48">
        <f t="shared" si="124"/>
        <v>0.4050449761357503</v>
      </c>
      <c r="AJ278" s="45"/>
      <c r="AK278" s="44" cm="1">
        <f t="array" ref="AK278">_xll.BDH("COMXSILV Comdty","PX_Last", N278)</f>
        <v>281148.38</v>
      </c>
      <c r="AL278" s="15" t="str" cm="1">
        <f t="array" ref="AL278">_xll.BDS("SIA Comdty","FUT_CHAIN", "CHAIN_DATE",A278,"endrow=1")</f>
        <v>SIF24 Comdty</v>
      </c>
      <c r="AM278" s="47" cm="1">
        <f t="array" ref="AM278">_xll.BDH(AL278,"FUT_AGGTE_OPEN_INT",A278)</f>
        <v>131074</v>
      </c>
      <c r="AN278" s="45">
        <f t="shared" si="125"/>
        <v>428.99183667241408</v>
      </c>
      <c r="AO278" s="46">
        <f t="shared" si="126"/>
        <v>28114838000</v>
      </c>
      <c r="AP278" s="46">
        <f t="shared" si="127"/>
        <v>655370</v>
      </c>
      <c r="AQ278" s="46"/>
    </row>
    <row r="279" spans="1:43" x14ac:dyDescent="0.2">
      <c r="A279" s="24">
        <v>45299</v>
      </c>
      <c r="B279" s="25" cm="1">
        <f t="array" ref="B279">_xll.BADDPERIODS(A279, "PER=WD", "NUMBEROFPERIODS=2", "BUSDAYADJ=-2", "CDR=GQ", "CDR=P9")</f>
        <v>45301</v>
      </c>
      <c r="C279" s="26" cm="1">
        <f t="array" ref="C279">_xll.BDH("XAU Curncy","PX_LAST",A279,A279)</f>
        <v>2028.07</v>
      </c>
      <c r="D279" s="26" t="str" cm="1">
        <f t="array" ref="D279">_xll.BDP("GCG24 Comdty",$M$32)</f>
        <v>01/02/2024</v>
      </c>
      <c r="E279" s="26">
        <f t="shared" si="146"/>
        <v>22</v>
      </c>
      <c r="F279" s="23">
        <v>5.6500000000000002E-2</v>
      </c>
      <c r="G279" s="28">
        <f t="shared" si="147"/>
        <v>7.0024750277777779</v>
      </c>
      <c r="H279" s="22">
        <v>6.35</v>
      </c>
      <c r="I279" s="32">
        <f t="shared" si="148"/>
        <v>-0.65247502777777822</v>
      </c>
      <c r="J279" s="26">
        <v>4</v>
      </c>
      <c r="K279" s="26">
        <v>6</v>
      </c>
      <c r="L279" s="26">
        <v>8</v>
      </c>
      <c r="N279" s="24">
        <v>45299</v>
      </c>
      <c r="O279" s="16" cm="1">
        <f t="array" ref="O279">_xll.BADDPERIODS(N279, "PER=WD", "NUMBEROFPERIODS=2", "BUSDAYADJ=-2", "CDR=GQ", "CDR=P9")</f>
        <v>45301</v>
      </c>
      <c r="P279" s="15" cm="1">
        <f t="array" ref="P279">_xll.BDH("XAG Curncy","PX_LAST",N279,N279)</f>
        <v>23.110099999999999</v>
      </c>
      <c r="Q279" s="15" t="str" cm="1">
        <f t="array" ref="Q279">_xll.BDP("SIH24 Comdty",$M$32)</f>
        <v>01/03/2024</v>
      </c>
      <c r="R279" s="15">
        <f t="shared" si="149"/>
        <v>51</v>
      </c>
      <c r="S279" s="23">
        <v>5.7000000000000002E-2</v>
      </c>
      <c r="T279" s="21">
        <f t="shared" si="150"/>
        <v>0.18661405749999999</v>
      </c>
      <c r="U279" s="12">
        <v>0.19</v>
      </c>
      <c r="V279" s="20">
        <f t="shared" si="151"/>
        <v>0.33859425000000165</v>
      </c>
      <c r="W279" s="15">
        <v>15</v>
      </c>
      <c r="X279" s="15">
        <v>20</v>
      </c>
      <c r="Y279" s="15">
        <v>25</v>
      </c>
      <c r="Z279" s="18">
        <f t="shared" si="152"/>
        <v>18.66140575</v>
      </c>
      <c r="AA279" s="18">
        <f t="shared" si="153"/>
        <v>19</v>
      </c>
      <c r="AB279" s="18">
        <f t="shared" si="154"/>
        <v>0.33859425000000165</v>
      </c>
      <c r="AE279" s="44" cm="1">
        <f t="array" ref="AE279">_xll.BDH("COMXGOLD Comdty","PX_Last", N279)</f>
        <v>20029150.920000002</v>
      </c>
      <c r="AF279" s="15" t="str" cm="1">
        <f t="array" ref="AF279">_xll.BDS("GCA Comdty","FUT_CHAIN", "CHAIN_DATE",A279,"endrow=1")</f>
        <v>GCF24 Comdty</v>
      </c>
      <c r="AG279" s="44" cm="1">
        <f t="array" ref="AG279">_xll.BDH(AF279,"FUT_AGGTE_OPEN_INT",A279)</f>
        <v>491455</v>
      </c>
      <c r="AH279" s="44">
        <f t="shared" si="123"/>
        <v>49145500</v>
      </c>
      <c r="AI279" s="48">
        <f t="shared" si="124"/>
        <v>0.40754801395855167</v>
      </c>
      <c r="AJ279" s="45"/>
      <c r="AK279" s="44" cm="1">
        <f t="array" ref="AK279">_xll.BDH("COMXSILV Comdty","PX_Last", N279)</f>
        <v>281312.69</v>
      </c>
      <c r="AL279" s="15" t="str" cm="1">
        <f t="array" ref="AL279">_xll.BDS("SIA Comdty","FUT_CHAIN", "CHAIN_DATE",A279,"endrow=1")</f>
        <v>SIF24 Comdty</v>
      </c>
      <c r="AM279" s="47" cm="1">
        <f t="array" ref="AM279">_xll.BDH(AL279,"FUT_AGGTE_OPEN_INT",A279)</f>
        <v>130904</v>
      </c>
      <c r="AN279" s="45">
        <f t="shared" si="125"/>
        <v>429.79999083297685</v>
      </c>
      <c r="AO279" s="46">
        <f t="shared" si="126"/>
        <v>28131269000</v>
      </c>
      <c r="AP279" s="46">
        <f t="shared" si="127"/>
        <v>654520</v>
      </c>
      <c r="AQ279" s="46"/>
    </row>
    <row r="280" spans="1:43" x14ac:dyDescent="0.2">
      <c r="A280" s="24">
        <v>45300</v>
      </c>
      <c r="B280" s="25" cm="1">
        <f t="array" ref="B280">_xll.BADDPERIODS(A280, "PER=WD", "NUMBEROFPERIODS=2", "BUSDAYADJ=-2", "CDR=GQ", "CDR=P9")</f>
        <v>45302</v>
      </c>
      <c r="C280" s="26" cm="1">
        <f t="array" ref="C280">_xll.BDH("XAU Curncy","PX_LAST",A280,A280)</f>
        <v>2030.2</v>
      </c>
      <c r="D280" s="26" t="str" cm="1">
        <f t="array" ref="D280">_xll.BDP("GCG24 Comdty",$M$32)</f>
        <v>01/02/2024</v>
      </c>
      <c r="E280" s="26">
        <f t="shared" si="146"/>
        <v>21</v>
      </c>
      <c r="F280" s="23">
        <v>5.6800000000000003E-2</v>
      </c>
      <c r="G280" s="28">
        <f t="shared" si="147"/>
        <v>6.726729333333334</v>
      </c>
      <c r="H280" s="22">
        <v>6.1</v>
      </c>
      <c r="I280" s="32">
        <f t="shared" si="148"/>
        <v>-0.62672933333333436</v>
      </c>
      <c r="J280" s="26">
        <v>4</v>
      </c>
      <c r="K280" s="26">
        <v>6</v>
      </c>
      <c r="L280" s="26">
        <v>8</v>
      </c>
      <c r="N280" s="24">
        <v>45300</v>
      </c>
      <c r="O280" s="16" cm="1">
        <f t="array" ref="O280">_xll.BADDPERIODS(N280, "PER=WD", "NUMBEROFPERIODS=2", "BUSDAYADJ=-2", "CDR=GQ", "CDR=P9")</f>
        <v>45302</v>
      </c>
      <c r="P280" s="15" cm="1">
        <f t="array" ref="P280">_xll.BDH("XAG Curncy","PX_LAST",N280,N280)</f>
        <v>22.9818</v>
      </c>
      <c r="Q280" s="15" t="str" cm="1">
        <f t="array" ref="Q280">_xll.BDP("SIH24 Comdty",$M$32)</f>
        <v>01/03/2024</v>
      </c>
      <c r="R280" s="15">
        <f t="shared" si="149"/>
        <v>50</v>
      </c>
      <c r="S280" s="23">
        <v>5.7000000000000002E-2</v>
      </c>
      <c r="T280" s="21">
        <f t="shared" si="150"/>
        <v>0.18193925</v>
      </c>
      <c r="U280" s="12">
        <v>0.18</v>
      </c>
      <c r="V280" s="20">
        <f t="shared" si="151"/>
        <v>-0.19392500000000035</v>
      </c>
      <c r="W280" s="15">
        <v>15</v>
      </c>
      <c r="X280" s="15">
        <v>20</v>
      </c>
      <c r="Y280" s="15">
        <v>25</v>
      </c>
      <c r="Z280" s="18">
        <f t="shared" si="152"/>
        <v>18.193925</v>
      </c>
      <c r="AA280" s="18">
        <f t="shared" si="153"/>
        <v>18</v>
      </c>
      <c r="AB280" s="18">
        <f t="shared" si="154"/>
        <v>-0.19392500000000035</v>
      </c>
      <c r="AE280" s="44" cm="1">
        <f t="array" ref="AE280">_xll.BDH("COMXGOLD Comdty","PX_Last", N280)</f>
        <v>20029150.920000002</v>
      </c>
      <c r="AF280" s="15" t="str" cm="1">
        <f t="array" ref="AF280">_xll.BDS("GCA Comdty","FUT_CHAIN", "CHAIN_DATE",A280,"endrow=1")</f>
        <v>GCF24 Comdty</v>
      </c>
      <c r="AG280" s="44" cm="1">
        <f t="array" ref="AG280">_xll.BDH(AF280,"FUT_AGGTE_OPEN_INT",A280)</f>
        <v>489849</v>
      </c>
      <c r="AH280" s="44">
        <f t="shared" si="123"/>
        <v>48984900</v>
      </c>
      <c r="AI280" s="48">
        <f t="shared" si="124"/>
        <v>0.40888418512643698</v>
      </c>
      <c r="AJ280" s="45"/>
      <c r="AK280" s="44" cm="1">
        <f t="array" ref="AK280">_xll.BDH("COMXSILV Comdty","PX_Last", N280)</f>
        <v>280763.28000000003</v>
      </c>
      <c r="AL280" s="15" t="str" cm="1">
        <f t="array" ref="AL280">_xll.BDS("SIA Comdty","FUT_CHAIN", "CHAIN_DATE",A280,"endrow=1")</f>
        <v>SIF24 Comdty</v>
      </c>
      <c r="AM280" s="47" cm="1">
        <f t="array" ref="AM280">_xll.BDH(AL280,"FUT_AGGTE_OPEN_INT",A280)</f>
        <v>131992</v>
      </c>
      <c r="AN280" s="45">
        <f t="shared" si="125"/>
        <v>425.42469240560035</v>
      </c>
      <c r="AO280" s="46">
        <f t="shared" si="126"/>
        <v>28076328000.000004</v>
      </c>
      <c r="AP280" s="46">
        <f t="shared" si="127"/>
        <v>659960</v>
      </c>
      <c r="AQ280" s="46"/>
    </row>
    <row r="281" spans="1:43" x14ac:dyDescent="0.2">
      <c r="A281" s="24">
        <v>45301</v>
      </c>
      <c r="B281" s="25" cm="1">
        <f t="array" ref="B281">_xll.BADDPERIODS(A281, "PER=WD", "NUMBEROFPERIODS=2", "BUSDAYADJ=-2", "CDR=GQ", "CDR=P9")</f>
        <v>45303</v>
      </c>
      <c r="C281" s="26" cm="1">
        <f t="array" ref="C281">_xll.BDH("XAU Curncy","PX_LAST",A281,A281)</f>
        <v>2024.41</v>
      </c>
      <c r="D281" s="26" t="str" cm="1">
        <f t="array" ref="D281">_xll.BDP("GCG24 Comdty",$M$32)</f>
        <v>01/02/2024</v>
      </c>
      <c r="E281" s="26">
        <f t="shared" si="146"/>
        <v>20</v>
      </c>
      <c r="F281" s="23">
        <v>5.6800000000000003E-2</v>
      </c>
      <c r="G281" s="28">
        <f t="shared" si="147"/>
        <v>6.3881382222222225</v>
      </c>
      <c r="H281" s="12">
        <v>5.8</v>
      </c>
      <c r="I281" s="32">
        <f t="shared" si="148"/>
        <v>-0.58813822222222267</v>
      </c>
      <c r="J281" s="26">
        <v>4</v>
      </c>
      <c r="K281" s="26">
        <v>6</v>
      </c>
      <c r="L281" s="26">
        <v>8</v>
      </c>
      <c r="N281" s="24">
        <v>45301</v>
      </c>
      <c r="O281" s="16" cm="1">
        <f t="array" ref="O281">_xll.BADDPERIODS(N281, "PER=WD", "NUMBEROFPERIODS=2", "BUSDAYADJ=-2", "CDR=GQ", "CDR=P9")</f>
        <v>45303</v>
      </c>
      <c r="P281" s="15" cm="1">
        <f t="array" ref="P281">_xll.BDH("XAG Curncy","PX_LAST",N281,N281)</f>
        <v>22.900500000000001</v>
      </c>
      <c r="Q281" s="15" t="str" cm="1">
        <f t="array" ref="Q281">_xll.BDP("SIH24 Comdty",$M$32)</f>
        <v>01/03/2024</v>
      </c>
      <c r="R281" s="15">
        <f t="shared" si="149"/>
        <v>49</v>
      </c>
      <c r="S281" s="23">
        <v>5.7000000000000002E-2</v>
      </c>
      <c r="T281" s="21">
        <f t="shared" si="150"/>
        <v>0.17766971249999999</v>
      </c>
      <c r="U281" s="22">
        <v>0.18</v>
      </c>
      <c r="V281" s="20">
        <f t="shared" si="151"/>
        <v>0.23302875000000001</v>
      </c>
      <c r="W281" s="15">
        <v>15</v>
      </c>
      <c r="X281" s="15">
        <v>20</v>
      </c>
      <c r="Y281" s="15">
        <v>25</v>
      </c>
      <c r="Z281" s="18">
        <f t="shared" si="152"/>
        <v>17.766971250000001</v>
      </c>
      <c r="AA281" s="18">
        <f t="shared" si="153"/>
        <v>18</v>
      </c>
      <c r="AB281" s="18">
        <f t="shared" si="154"/>
        <v>0.23302875000000001</v>
      </c>
      <c r="AE281" s="44" cm="1">
        <f t="array" ref="AE281">_xll.BDH("COMXGOLD Comdty","PX_Last", N281)</f>
        <v>20029150.920000002</v>
      </c>
      <c r="AF281" s="15" t="str" cm="1">
        <f t="array" ref="AF281">_xll.BDS("GCA Comdty","FUT_CHAIN", "CHAIN_DATE",A281,"endrow=1")</f>
        <v>GCF24 Comdty</v>
      </c>
      <c r="AG281" s="44" cm="1">
        <f t="array" ref="AG281">_xll.BDH(AF281,"FUT_AGGTE_OPEN_INT",A281)</f>
        <v>486446</v>
      </c>
      <c r="AH281" s="44">
        <f t="shared" ref="AH281:AH332" si="155">AG281*$AG$17</f>
        <v>48644600</v>
      </c>
      <c r="AI281" s="48">
        <f t="shared" ref="AI281:AI332" si="156">AE281/AH281</f>
        <v>0.41174459076649828</v>
      </c>
      <c r="AJ281" s="45"/>
      <c r="AK281" s="44" cm="1">
        <f t="array" ref="AK281">_xll.BDH("COMXSILV Comdty","PX_Last", N281)</f>
        <v>280677.78000000003</v>
      </c>
      <c r="AL281" s="15" t="str" cm="1">
        <f t="array" ref="AL281">_xll.BDS("SIA Comdty","FUT_CHAIN", "CHAIN_DATE",A281,"endrow=1")</f>
        <v>SIF24 Comdty</v>
      </c>
      <c r="AM281" s="47" cm="1">
        <f t="array" ref="AM281">_xll.BDH(AL281,"FUT_AGGTE_OPEN_INT",A281)</f>
        <v>131760</v>
      </c>
      <c r="AN281" s="45">
        <f t="shared" ref="AN281:AN328" si="157">(AO281/AP281)/100</f>
        <v>426.04398907103831</v>
      </c>
      <c r="AO281" s="46">
        <f t="shared" ref="AO281:AO328" si="158">AK281*100000</f>
        <v>28067778000.000004</v>
      </c>
      <c r="AP281" s="46">
        <f t="shared" ref="AP281:AP328" si="159">(AM281*5000)/1000</f>
        <v>658800</v>
      </c>
      <c r="AQ281" s="46"/>
    </row>
    <row r="282" spans="1:43" x14ac:dyDescent="0.2">
      <c r="A282" s="24">
        <v>45302</v>
      </c>
      <c r="B282" s="25" cm="1">
        <f t="array" ref="B282">_xll.BADDPERIODS(A282, "PER=WD", "NUMBEROFPERIODS=2", "BUSDAYADJ=-2", "CDR=GQ", "CDR=P9")</f>
        <v>45307</v>
      </c>
      <c r="C282" s="26" cm="1">
        <f t="array" ref="C282">_xll.BDH("XAU Curncy","PX_LAST",A282,A282)</f>
        <v>2028.91</v>
      </c>
      <c r="D282" s="26" t="str" cm="1">
        <f t="array" ref="D282">_xll.BDP("GCG24 Comdty",$M$32)</f>
        <v>01/02/2024</v>
      </c>
      <c r="E282" s="26">
        <f t="shared" si="146"/>
        <v>16</v>
      </c>
      <c r="F282" s="23">
        <v>5.6000000000000001E-2</v>
      </c>
      <c r="G282" s="28">
        <f t="shared" si="147"/>
        <v>5.0497315555555558</v>
      </c>
      <c r="H282" s="12">
        <v>4.5</v>
      </c>
      <c r="I282" s="32">
        <f t="shared" si="148"/>
        <v>-0.54973155555555575</v>
      </c>
      <c r="J282" s="26">
        <v>4</v>
      </c>
      <c r="K282" s="26">
        <v>6</v>
      </c>
      <c r="L282" s="26">
        <v>8</v>
      </c>
      <c r="N282" s="24">
        <v>45302</v>
      </c>
      <c r="O282" s="16" cm="1">
        <f t="array" ref="O282">_xll.BADDPERIODS(N282, "PER=WD", "NUMBEROFPERIODS=2", "BUSDAYADJ=-2", "CDR=GQ", "CDR=P9")</f>
        <v>45307</v>
      </c>
      <c r="P282" s="15" cm="1">
        <f t="array" ref="P282">_xll.BDH("XAG Curncy","PX_LAST",N282,N282)</f>
        <v>22.750900000000001</v>
      </c>
      <c r="Q282" s="15" t="str" cm="1">
        <f t="array" ref="Q282">_xll.BDP("SIH24 Comdty",$M$32)</f>
        <v>01/03/2024</v>
      </c>
      <c r="R282" s="15">
        <f t="shared" si="149"/>
        <v>45</v>
      </c>
      <c r="S282" s="23">
        <v>5.6500000000000002E-2</v>
      </c>
      <c r="T282" s="21">
        <f t="shared" si="150"/>
        <v>0.16067823125000003</v>
      </c>
      <c r="U282" s="22">
        <v>0.18</v>
      </c>
      <c r="V282" s="20">
        <f t="shared" si="151"/>
        <v>1.9321768749999968</v>
      </c>
      <c r="W282" s="15">
        <v>15</v>
      </c>
      <c r="X282" s="15">
        <v>20</v>
      </c>
      <c r="Y282" s="15">
        <v>25</v>
      </c>
      <c r="Z282" s="18">
        <f t="shared" si="152"/>
        <v>16.067823125000004</v>
      </c>
      <c r="AA282" s="18">
        <f t="shared" si="153"/>
        <v>18</v>
      </c>
      <c r="AB282" s="18">
        <f t="shared" si="154"/>
        <v>1.9321768749999968</v>
      </c>
      <c r="AE282" s="44" cm="1">
        <f t="array" ref="AE282">_xll.BDH("COMXGOLD Comdty","PX_Last", N282)</f>
        <v>20029150.920000002</v>
      </c>
      <c r="AF282" s="15" t="str" cm="1">
        <f t="array" ref="AF282">_xll.BDS("GCA Comdty","FUT_CHAIN", "CHAIN_DATE",A282,"endrow=1")</f>
        <v>GCF24 Comdty</v>
      </c>
      <c r="AG282" s="44" cm="1">
        <f t="array" ref="AG282">_xll.BDH(AF282,"FUT_AGGTE_OPEN_INT",A282)</f>
        <v>478244</v>
      </c>
      <c r="AH282" s="44">
        <f t="shared" si="155"/>
        <v>47824400</v>
      </c>
      <c r="AI282" s="48">
        <f t="shared" si="156"/>
        <v>0.41880610985187483</v>
      </c>
      <c r="AJ282" s="45"/>
      <c r="AK282" s="44" cm="1">
        <f t="array" ref="AK282">_xll.BDH("COMXSILV Comdty","PX_Last", N282)</f>
        <v>281083.46999999997</v>
      </c>
      <c r="AL282" s="15" t="str" cm="1">
        <f t="array" ref="AL282">_xll.BDS("SIA Comdty","FUT_CHAIN", "CHAIN_DATE",A282,"endrow=1")</f>
        <v>SIF24 Comdty</v>
      </c>
      <c r="AM282" s="47" cm="1">
        <f t="array" ref="AM282">_xll.BDH(AL282,"FUT_AGGTE_OPEN_INT",A282)</f>
        <v>134088</v>
      </c>
      <c r="AN282" s="45">
        <f t="shared" si="157"/>
        <v>419.2522373366744</v>
      </c>
      <c r="AO282" s="46">
        <f t="shared" si="158"/>
        <v>28108346999.999996</v>
      </c>
      <c r="AP282" s="46">
        <f t="shared" si="159"/>
        <v>670440</v>
      </c>
      <c r="AQ282" s="46"/>
    </row>
    <row r="283" spans="1:43" x14ac:dyDescent="0.2">
      <c r="A283" s="24">
        <v>45303</v>
      </c>
      <c r="B283" s="25" cm="1">
        <f t="array" ref="B283">_xll.BADDPERIODS(A283, "PER=WD", "NUMBEROFPERIODS=2", "BUSDAYADJ=-2", "CDR=GQ", "CDR=P9")</f>
        <v>45308</v>
      </c>
      <c r="C283" s="26" cm="1">
        <f t="array" ref="C283">_xll.BDH("XAU Curncy","PX_LAST",A283,A283)</f>
        <v>2049.06</v>
      </c>
      <c r="D283" s="26" t="str" cm="1">
        <f t="array" ref="D283">_xll.BDP("GCG24 Comdty",$M$32)</f>
        <v>01/02/2024</v>
      </c>
      <c r="E283" s="26">
        <f t="shared" si="146"/>
        <v>15</v>
      </c>
      <c r="F283" s="23">
        <v>5.6000000000000001E-2</v>
      </c>
      <c r="G283" s="28">
        <f t="shared" si="147"/>
        <v>4.7811399999999997</v>
      </c>
      <c r="H283" s="12">
        <v>4.7</v>
      </c>
      <c r="I283" s="32">
        <f t="shared" si="148"/>
        <v>-8.1139999999999546E-2</v>
      </c>
      <c r="J283" s="26">
        <v>4</v>
      </c>
      <c r="K283" s="26">
        <v>6</v>
      </c>
      <c r="L283" s="26">
        <v>8</v>
      </c>
      <c r="N283" s="24">
        <v>45303</v>
      </c>
      <c r="O283" s="16" cm="1">
        <f t="array" ref="O283">_xll.BADDPERIODS(N283, "PER=WD", "NUMBEROFPERIODS=2", "BUSDAYADJ=-2", "CDR=GQ", "CDR=P9")</f>
        <v>45308</v>
      </c>
      <c r="P283" s="15" cm="1">
        <f t="array" ref="P283">_xll.BDH("XAG Curncy","PX_LAST",N283,N283)</f>
        <v>23.194700000000001</v>
      </c>
      <c r="Q283" s="15" t="str" cm="1">
        <f t="array" ref="Q283">_xll.BDP("SIH24 Comdty",$M$32)</f>
        <v>01/03/2024</v>
      </c>
      <c r="R283" s="15">
        <f t="shared" si="149"/>
        <v>44</v>
      </c>
      <c r="S283" s="23">
        <v>5.6500000000000002E-2</v>
      </c>
      <c r="T283" s="21">
        <f t="shared" si="150"/>
        <v>0.16017228944444448</v>
      </c>
      <c r="U283" s="22">
        <v>0.18</v>
      </c>
      <c r="V283" s="20">
        <f t="shared" si="151"/>
        <v>1.9827710555555518</v>
      </c>
      <c r="W283" s="15">
        <v>15</v>
      </c>
      <c r="X283" s="15">
        <v>20</v>
      </c>
      <c r="Y283" s="15">
        <v>25</v>
      </c>
      <c r="Z283" s="18">
        <f t="shared" si="152"/>
        <v>16.017228944444447</v>
      </c>
      <c r="AA283" s="18">
        <f t="shared" si="153"/>
        <v>18</v>
      </c>
      <c r="AB283" s="18">
        <f t="shared" si="154"/>
        <v>1.9827710555555518</v>
      </c>
      <c r="AE283" s="44" cm="1">
        <f t="array" ref="AE283">_xll.BDH("COMXGOLD Comdty","PX_Last", N283)</f>
        <v>20025614.309999999</v>
      </c>
      <c r="AF283" s="15" t="str" cm="1">
        <f t="array" ref="AF283">_xll.BDS("GCA Comdty","FUT_CHAIN", "CHAIN_DATE",A283,"endrow=1")</f>
        <v>GCF24 Comdty</v>
      </c>
      <c r="AG283" s="44" cm="1">
        <f t="array" ref="AG283">_xll.BDH(AF283,"FUT_AGGTE_OPEN_INT",A283)</f>
        <v>498334</v>
      </c>
      <c r="AH283" s="44">
        <f t="shared" si="155"/>
        <v>49833400</v>
      </c>
      <c r="AI283" s="48">
        <f t="shared" si="156"/>
        <v>0.40185125458026139</v>
      </c>
      <c r="AJ283" s="45"/>
      <c r="AK283" s="44" cm="1">
        <f t="array" ref="AK283">_xll.BDH("COMXSILV Comdty","PX_Last", N283)</f>
        <v>280456.90999999997</v>
      </c>
      <c r="AL283" s="15" t="str" cm="1">
        <f t="array" ref="AL283">_xll.BDS("SIA Comdty","FUT_CHAIN", "CHAIN_DATE",A283,"endrow=1")</f>
        <v>SIF24 Comdty</v>
      </c>
      <c r="AM283" s="47" cm="1">
        <f t="array" ref="AM283">_xll.BDH(AL283,"FUT_AGGTE_OPEN_INT",A283)</f>
        <v>132548</v>
      </c>
      <c r="AN283" s="45">
        <f t="shared" si="157"/>
        <v>423.17788272927538</v>
      </c>
      <c r="AO283" s="46">
        <f t="shared" si="158"/>
        <v>28045690999.999996</v>
      </c>
      <c r="AP283" s="46">
        <f t="shared" si="159"/>
        <v>662740</v>
      </c>
      <c r="AQ283" s="46"/>
    </row>
    <row r="284" spans="1:43" x14ac:dyDescent="0.2">
      <c r="A284" s="24">
        <v>45306</v>
      </c>
      <c r="B284" s="25" cm="1">
        <f t="array" ref="B284">_xll.BADDPERIODS(A284, "PER=WD", "NUMBEROFPERIODS=2", "BUSDAYADJ=-2", "CDR=GQ", "CDR=P9")</f>
        <v>45308</v>
      </c>
      <c r="C284" s="26" cm="1">
        <f t="array" ref="C284">_xll.BDH("XAU Curncy","PX_LAST",A284,A284)</f>
        <v>2056.5500000000002</v>
      </c>
      <c r="D284" s="26" t="str" cm="1">
        <f t="array" ref="D284">_xll.BDP("GCG24 Comdty",$M$32)</f>
        <v>01/02/2024</v>
      </c>
      <c r="E284" s="26">
        <f t="shared" si="146"/>
        <v>15</v>
      </c>
      <c r="F284" s="23">
        <v>5.6000000000000001E-2</v>
      </c>
      <c r="G284" s="28">
        <f t="shared" si="147"/>
        <v>4.7986166666666668</v>
      </c>
      <c r="H284" s="12">
        <v>4.7</v>
      </c>
      <c r="I284" s="32">
        <f t="shared" si="148"/>
        <v>-9.8616666666666575E-2</v>
      </c>
      <c r="J284" s="26">
        <v>4</v>
      </c>
      <c r="K284" s="26">
        <v>6</v>
      </c>
      <c r="L284" s="26">
        <v>8</v>
      </c>
      <c r="N284" s="24">
        <v>45306</v>
      </c>
      <c r="O284" s="16" cm="1">
        <f t="array" ref="O284">_xll.BADDPERIODS(N284, "PER=WD", "NUMBEROFPERIODS=2", "BUSDAYADJ=-2", "CDR=GQ", "CDR=P9")</f>
        <v>45308</v>
      </c>
      <c r="P284" s="15" cm="1">
        <f t="array" ref="P284">_xll.BDH("XAG Curncy","PX_LAST",N284,N284)</f>
        <v>23.2212</v>
      </c>
      <c r="Q284" s="15" t="str" cm="1">
        <f t="array" ref="Q284">_xll.BDP("SIH24 Comdty",$M$32)</f>
        <v>01/03/2024</v>
      </c>
      <c r="R284" s="15">
        <f t="shared" si="149"/>
        <v>44</v>
      </c>
      <c r="S284" s="23">
        <v>5.6500000000000002E-2</v>
      </c>
      <c r="T284" s="21">
        <f t="shared" si="150"/>
        <v>0.16035528666666665</v>
      </c>
      <c r="U284" s="12">
        <v>0.17499999999999999</v>
      </c>
      <c r="V284" s="20">
        <f t="shared" si="151"/>
        <v>1.4644713333333337</v>
      </c>
      <c r="W284" s="15">
        <v>15</v>
      </c>
      <c r="X284" s="15">
        <v>20</v>
      </c>
      <c r="Y284" s="15">
        <v>25</v>
      </c>
      <c r="Z284" s="18">
        <f t="shared" si="152"/>
        <v>16.035528666666664</v>
      </c>
      <c r="AA284" s="18">
        <f t="shared" si="153"/>
        <v>17.5</v>
      </c>
      <c r="AB284" s="18">
        <f t="shared" si="154"/>
        <v>1.4644713333333337</v>
      </c>
      <c r="AE284" s="44" cm="1">
        <f t="array" ref="AE284">_xll.BDH("COMXGOLD Comdty","PX_Last", N283)</f>
        <v>20025614.309999999</v>
      </c>
      <c r="AF284" s="15" t="str" cm="1">
        <f t="array" ref="AF284">_xll.BDS("GCA Comdty","FUT_CHAIN", "CHAIN_DATE",A284,"endrow=1")</f>
        <v>GCF24 Comdty</v>
      </c>
      <c r="AG284" s="44">
        <v>498334</v>
      </c>
      <c r="AH284" s="44">
        <f>AG284*$AG$17</f>
        <v>49833400</v>
      </c>
      <c r="AI284" s="48">
        <f t="shared" si="156"/>
        <v>0.40185125458026139</v>
      </c>
      <c r="AJ284" s="45"/>
      <c r="AK284" s="44">
        <v>280456.90999999997</v>
      </c>
      <c r="AL284" s="15" t="str" cm="1">
        <f t="array" ref="AL284">_xll.BDS("SIA Comdty","FUT_CHAIN", "CHAIN_DATE",A284,"endrow=1")</f>
        <v>SIF24 Comdty</v>
      </c>
      <c r="AM284" s="47">
        <v>132548</v>
      </c>
      <c r="AN284" s="45">
        <f t="shared" si="157"/>
        <v>423.17788272927538</v>
      </c>
      <c r="AO284" s="46">
        <f t="shared" si="158"/>
        <v>28045690999.999996</v>
      </c>
      <c r="AP284" s="46">
        <f t="shared" si="159"/>
        <v>662740</v>
      </c>
      <c r="AQ284" s="46"/>
    </row>
    <row r="285" spans="1:43" x14ac:dyDescent="0.2">
      <c r="A285" s="24">
        <v>45307</v>
      </c>
      <c r="B285" s="25" cm="1">
        <f t="array" ref="B285">_xll.BADDPERIODS(A285, "PER=WD", "NUMBEROFPERIODS=2", "BUSDAYADJ=-2", "CDR=GQ", "CDR=P9")</f>
        <v>45309</v>
      </c>
      <c r="C285" s="26" cm="1">
        <f t="array" ref="C285">_xll.BDH("XAU Curncy","PX_LAST",A285,A285)</f>
        <v>2028.44</v>
      </c>
      <c r="D285" s="26" t="str" cm="1">
        <f t="array" ref="D285">_xll.BDP("GCG24 Comdty",$M$32)</f>
        <v>01/02/2024</v>
      </c>
      <c r="E285" s="26">
        <f t="shared" si="146"/>
        <v>14</v>
      </c>
      <c r="F285" s="23">
        <v>5.45E-2</v>
      </c>
      <c r="G285" s="28">
        <f t="shared" si="147"/>
        <v>4.2991658888888891</v>
      </c>
      <c r="H285" s="12">
        <v>3.8</v>
      </c>
      <c r="I285" s="32">
        <f t="shared" si="148"/>
        <v>-0.49916588888888924</v>
      </c>
      <c r="J285" s="26">
        <v>4</v>
      </c>
      <c r="K285" s="26">
        <v>6</v>
      </c>
      <c r="L285" s="26">
        <v>8</v>
      </c>
      <c r="N285" s="24">
        <v>45307</v>
      </c>
      <c r="O285" s="16" cm="1">
        <f t="array" ref="O285">_xll.BADDPERIODS(N285, "PER=WD", "NUMBEROFPERIODS=2", "BUSDAYADJ=-2", "CDR=GQ", "CDR=P9")</f>
        <v>45309</v>
      </c>
      <c r="P285" s="15" cm="1">
        <f t="array" ref="P285">_xll.BDH("XAG Curncy","PX_LAST",N285,N285)</f>
        <v>22.9193</v>
      </c>
      <c r="Q285" s="15" t="str" cm="1">
        <f t="array" ref="Q285">_xll.BDP("SIH24 Comdty",$M$32)</f>
        <v>01/03/2024</v>
      </c>
      <c r="R285" s="15">
        <f t="shared" si="149"/>
        <v>43</v>
      </c>
      <c r="S285" s="23">
        <v>5.6500000000000002E-2</v>
      </c>
      <c r="T285" s="21">
        <f t="shared" si="150"/>
        <v>0.15467344263888891</v>
      </c>
      <c r="U285" s="12">
        <v>0.16500000000000001</v>
      </c>
      <c r="V285" s="20">
        <f t="shared" si="151"/>
        <v>1.0326557361111099</v>
      </c>
      <c r="W285" s="15">
        <v>15</v>
      </c>
      <c r="X285" s="15">
        <v>20</v>
      </c>
      <c r="Y285" s="15">
        <v>25</v>
      </c>
      <c r="Z285" s="18">
        <f t="shared" si="152"/>
        <v>15.46734426388889</v>
      </c>
      <c r="AA285" s="18">
        <f t="shared" si="153"/>
        <v>16.5</v>
      </c>
      <c r="AB285" s="18">
        <f t="shared" si="154"/>
        <v>1.0326557361111099</v>
      </c>
      <c r="AE285" s="44" cm="1">
        <f t="array" ref="AE285">_xll.BDH("COMXGOLD Comdty","PX_Last", N285)</f>
        <v>20025132.045000002</v>
      </c>
      <c r="AF285" s="15" t="str" cm="1">
        <f t="array" ref="AF285">_xll.BDS("GCA Comdty","FUT_CHAIN", "CHAIN_DATE",A285,"endrow=1")</f>
        <v>GCF24 Comdty</v>
      </c>
      <c r="AG285" s="44" cm="1">
        <f t="array" ref="AG285">_xll.BDH(AF285,"FUT_AGGTE_OPEN_INT",A285)</f>
        <v>489334</v>
      </c>
      <c r="AH285" s="44">
        <f t="shared" si="155"/>
        <v>48933400</v>
      </c>
      <c r="AI285" s="48">
        <f t="shared" si="156"/>
        <v>0.40923238616159929</v>
      </c>
      <c r="AJ285" s="45"/>
      <c r="AK285" s="44" cm="1">
        <f t="array" ref="AK285">_xll.BDH("COMXSILV Comdty","PX_Last", N285)</f>
        <v>280977.63</v>
      </c>
      <c r="AL285" s="15" t="str" cm="1">
        <f t="array" ref="AL285">_xll.BDS("SIA Comdty","FUT_CHAIN", "CHAIN_DATE",A285,"endrow=1")</f>
        <v>SIF24 Comdty</v>
      </c>
      <c r="AM285" s="47" cm="1">
        <f t="array" ref="AM285">_xll.BDH(AL285,"FUT_AGGTE_OPEN_INT",A285)</f>
        <v>131956</v>
      </c>
      <c r="AN285" s="45">
        <f t="shared" si="157"/>
        <v>425.86563703052531</v>
      </c>
      <c r="AO285" s="46">
        <f t="shared" si="158"/>
        <v>28097763000</v>
      </c>
      <c r="AP285" s="46">
        <f t="shared" si="159"/>
        <v>659780</v>
      </c>
      <c r="AQ285" s="46"/>
    </row>
    <row r="286" spans="1:43" x14ac:dyDescent="0.2">
      <c r="A286" s="24">
        <v>45308</v>
      </c>
      <c r="B286" s="25" cm="1">
        <f t="array" ref="B286">_xll.BADDPERIODS(A286, "PER=WD", "NUMBEROFPERIODS=2", "BUSDAYADJ=-2", "CDR=GQ", "CDR=P9")</f>
        <v>45310</v>
      </c>
      <c r="C286" s="26" cm="1">
        <f t="array" ref="C286">_xll.BDH("XAU Curncy","PX_LAST",A286,A286)</f>
        <v>2006.25</v>
      </c>
      <c r="D286" s="26" t="str" cm="1">
        <f t="array" ref="D286">_xll.BDP("GCG24 Comdty",$M$32)</f>
        <v>01/02/2024</v>
      </c>
      <c r="E286" s="26">
        <f t="shared" si="146"/>
        <v>13</v>
      </c>
      <c r="F286" s="23">
        <v>5.45E-2</v>
      </c>
      <c r="G286" s="28">
        <f t="shared" si="147"/>
        <v>3.9484114583333327</v>
      </c>
      <c r="H286" s="22">
        <v>3.3</v>
      </c>
      <c r="I286" s="32">
        <f t="shared" si="148"/>
        <v>-0.64841145833333291</v>
      </c>
      <c r="J286" s="26">
        <v>4</v>
      </c>
      <c r="K286" s="26">
        <v>6</v>
      </c>
      <c r="L286" s="26">
        <v>8</v>
      </c>
      <c r="N286" s="24">
        <v>45308</v>
      </c>
      <c r="O286" s="16" cm="1">
        <f t="array" ref="O286">_xll.BADDPERIODS(N286, "PER=WD", "NUMBEROFPERIODS=2", "BUSDAYADJ=-2", "CDR=GQ", "CDR=P9")</f>
        <v>45310</v>
      </c>
      <c r="P286" s="15" cm="1">
        <f t="array" ref="P286">_xll.BDH("XAG Curncy","PX_LAST",N286,N286)</f>
        <v>22.5565</v>
      </c>
      <c r="Q286" s="15" t="str" cm="1">
        <f t="array" ref="Q286">_xll.BDP("SIH24 Comdty",$M$32)</f>
        <v>01/03/2024</v>
      </c>
      <c r="R286" s="15">
        <f t="shared" si="149"/>
        <v>42</v>
      </c>
      <c r="S286" s="23">
        <v>5.6000000000000001E-2</v>
      </c>
      <c r="T286" s="21">
        <f t="shared" si="150"/>
        <v>0.14736913333333332</v>
      </c>
      <c r="U286" s="12">
        <v>0.15</v>
      </c>
      <c r="V286" s="20">
        <f t="shared" si="151"/>
        <v>0.26308666666666758</v>
      </c>
      <c r="W286" s="15">
        <v>15</v>
      </c>
      <c r="X286" s="15">
        <v>20</v>
      </c>
      <c r="Y286" s="15">
        <v>25</v>
      </c>
      <c r="Z286" s="18">
        <f t="shared" si="152"/>
        <v>14.736913333333332</v>
      </c>
      <c r="AA286" s="18">
        <f t="shared" si="153"/>
        <v>15</v>
      </c>
      <c r="AB286" s="18">
        <f t="shared" si="154"/>
        <v>0.26308666666666758</v>
      </c>
      <c r="AE286" s="44" cm="1">
        <f t="array" ref="AE286">_xll.BDH("COMXGOLD Comdty","PX_Last", N286)</f>
        <v>20092349.294</v>
      </c>
      <c r="AF286" s="15" t="str" cm="1">
        <f t="array" ref="AF286">_xll.BDS("GCA Comdty","FUT_CHAIN", "CHAIN_DATE",A286,"endrow=1")</f>
        <v>GCF24 Comdty</v>
      </c>
      <c r="AG286" s="44" cm="1">
        <f t="array" ref="AG286">_xll.BDH(AF286,"FUT_AGGTE_OPEN_INT",A286)</f>
        <v>482068</v>
      </c>
      <c r="AH286" s="44">
        <f t="shared" si="155"/>
        <v>48206800</v>
      </c>
      <c r="AI286" s="48">
        <f t="shared" si="156"/>
        <v>0.41679491884962289</v>
      </c>
      <c r="AJ286" s="45"/>
      <c r="AK286" s="44" cm="1">
        <f t="array" ref="AK286">_xll.BDH("COMXSILV Comdty","PX_Last", N286)</f>
        <v>280976.40999999997</v>
      </c>
      <c r="AL286" s="15" t="str" cm="1">
        <f t="array" ref="AL286">_xll.BDS("SIA Comdty","FUT_CHAIN", "CHAIN_DATE",A286,"endrow=1")</f>
        <v>SIF24 Comdty</v>
      </c>
      <c r="AM286" s="47" cm="1">
        <f t="array" ref="AM286">_xll.BDH(AL286,"FUT_AGGTE_OPEN_INT",A286)</f>
        <v>132403</v>
      </c>
      <c r="AN286" s="45">
        <f t="shared" si="157"/>
        <v>424.42604774816277</v>
      </c>
      <c r="AO286" s="46">
        <f t="shared" si="158"/>
        <v>28097640999.999996</v>
      </c>
      <c r="AP286" s="46">
        <f t="shared" si="159"/>
        <v>662015</v>
      </c>
      <c r="AQ286" s="46"/>
    </row>
    <row r="287" spans="1:43" x14ac:dyDescent="0.2">
      <c r="A287" s="24">
        <v>45309</v>
      </c>
      <c r="B287" s="25" cm="1">
        <f t="array" ref="B287">_xll.BADDPERIODS(A287, "PER=WD", "NUMBEROFPERIODS=2", "BUSDAYADJ=-2", "CDR=GQ", "CDR=P9")</f>
        <v>45313</v>
      </c>
      <c r="C287" s="26" cm="1">
        <f t="array" ref="C287">_xll.BDH("XAU Curncy","PX_LAST",A287,A287)</f>
        <v>2023.34</v>
      </c>
      <c r="D287" s="26" t="str" cm="1">
        <f t="array" ref="D287">_xll.BDP("GCG24 Comdty",$M$32)</f>
        <v>01/02/2024</v>
      </c>
      <c r="E287" s="26">
        <f t="shared" si="146"/>
        <v>10</v>
      </c>
      <c r="F287" s="23">
        <v>5.5E-2</v>
      </c>
      <c r="G287" s="28">
        <f t="shared" si="147"/>
        <v>3.0912138888888885</v>
      </c>
      <c r="H287" s="22">
        <v>2.2000000000000002</v>
      </c>
      <c r="I287" s="32">
        <f t="shared" si="148"/>
        <v>-0.89121388888888831</v>
      </c>
      <c r="J287" s="26">
        <v>4</v>
      </c>
      <c r="K287" s="26">
        <v>6</v>
      </c>
      <c r="L287" s="26">
        <v>8</v>
      </c>
      <c r="N287" s="24">
        <v>45309</v>
      </c>
      <c r="O287" s="16" cm="1">
        <f t="array" ref="O287">_xll.BADDPERIODS(N287, "PER=WD", "NUMBEROFPERIODS=2", "BUSDAYADJ=-2", "CDR=GQ", "CDR=P9")</f>
        <v>45313</v>
      </c>
      <c r="P287" s="15" cm="1">
        <f t="array" ref="P287">_xll.BDH("XAG Curncy","PX_LAST",N287,N287)</f>
        <v>22.7409</v>
      </c>
      <c r="Q287" s="15" t="str" cm="1">
        <f t="array" ref="Q287">_xll.BDP("SIH24 Comdty",$M$32)</f>
        <v>01/03/2024</v>
      </c>
      <c r="R287" s="15">
        <f t="shared" si="149"/>
        <v>39</v>
      </c>
      <c r="S287" s="23">
        <v>5.5500000000000001E-2</v>
      </c>
      <c r="T287" s="21">
        <f t="shared" si="150"/>
        <v>0.13672966125</v>
      </c>
      <c r="U287" s="22">
        <v>0.15</v>
      </c>
      <c r="V287" s="20">
        <f t="shared" si="151"/>
        <v>1.3270338749999999</v>
      </c>
      <c r="W287" s="15">
        <v>15</v>
      </c>
      <c r="X287" s="15">
        <v>20</v>
      </c>
      <c r="Y287" s="15">
        <v>25</v>
      </c>
      <c r="Z287" s="18">
        <f t="shared" si="152"/>
        <v>13.672966125</v>
      </c>
      <c r="AA287" s="18">
        <f t="shared" si="153"/>
        <v>15</v>
      </c>
      <c r="AB287" s="18">
        <f t="shared" si="154"/>
        <v>1.3270338749999999</v>
      </c>
      <c r="AE287" s="44" cm="1">
        <f t="array" ref="AE287">_xll.BDH("COMXGOLD Comdty","PX_Last", N287)</f>
        <v>19990691.682999998</v>
      </c>
      <c r="AF287" s="15" t="str" cm="1">
        <f t="array" ref="AF287">_xll.BDS("GCA Comdty","FUT_CHAIN", "CHAIN_DATE",A287,"endrow=1")</f>
        <v>GCF24 Comdty</v>
      </c>
      <c r="AG287" s="44" cm="1">
        <f t="array" ref="AG287">_xll.BDH(AF287,"FUT_AGGTE_OPEN_INT",A287)</f>
        <v>474472</v>
      </c>
      <c r="AH287" s="44">
        <f t="shared" si="155"/>
        <v>47447200</v>
      </c>
      <c r="AI287" s="48">
        <f t="shared" si="156"/>
        <v>0.42132500301387643</v>
      </c>
      <c r="AJ287" s="45"/>
      <c r="AK287" s="44" cm="1">
        <f t="array" ref="AK287">_xll.BDH("COMXSILV Comdty","PX_Last", N287)</f>
        <v>280379.96999999997</v>
      </c>
      <c r="AL287" s="15" t="str" cm="1">
        <f t="array" ref="AL287">_xll.BDS("SIA Comdty","FUT_CHAIN", "CHAIN_DATE",A287,"endrow=1")</f>
        <v>SIF24 Comdty</v>
      </c>
      <c r="AM287" s="47" cm="1">
        <f t="array" ref="AM287">_xll.BDH(AL287,"FUT_AGGTE_OPEN_INT",A287)</f>
        <v>133243</v>
      </c>
      <c r="AN287" s="45">
        <f t="shared" si="157"/>
        <v>420.85508431962649</v>
      </c>
      <c r="AO287" s="46">
        <f t="shared" si="158"/>
        <v>28037996999.999996</v>
      </c>
      <c r="AP287" s="46">
        <f t="shared" si="159"/>
        <v>666215</v>
      </c>
      <c r="AQ287" s="46"/>
    </row>
    <row r="288" spans="1:43" x14ac:dyDescent="0.2">
      <c r="A288" s="24">
        <v>45310</v>
      </c>
      <c r="B288" s="25" cm="1">
        <f t="array" ref="B288">_xll.BADDPERIODS(A288, "PER=WD", "NUMBEROFPERIODS=2", "BUSDAYADJ=-2", "CDR=GQ", "CDR=P9")</f>
        <v>45314</v>
      </c>
      <c r="C288" s="26" cm="1">
        <f t="array" ref="C288">_xll.BDH("XAU Curncy","PX_LAST",A288,A288)</f>
        <v>2029.49</v>
      </c>
      <c r="D288" s="26" t="str" cm="1">
        <f t="array" ref="D288">_xll.BDP("GCG24 Comdty",$M$32)</f>
        <v>01/02/2024</v>
      </c>
      <c r="E288" s="26">
        <f t="shared" si="146"/>
        <v>9</v>
      </c>
      <c r="F288" s="23">
        <v>5.2999999999999999E-2</v>
      </c>
      <c r="G288" s="28">
        <f t="shared" si="147"/>
        <v>2.68907425</v>
      </c>
      <c r="H288" s="22">
        <v>2.25</v>
      </c>
      <c r="I288" s="32">
        <f t="shared" si="148"/>
        <v>-0.43907425</v>
      </c>
      <c r="J288" s="26">
        <v>4</v>
      </c>
      <c r="K288" s="26">
        <v>6</v>
      </c>
      <c r="L288" s="26">
        <v>8</v>
      </c>
      <c r="N288" s="24">
        <v>45310</v>
      </c>
      <c r="O288" s="16" cm="1">
        <f t="array" ref="O288">_xll.BADDPERIODS(N288, "PER=WD", "NUMBEROFPERIODS=2", "BUSDAYADJ=-2", "CDR=GQ", "CDR=P9")</f>
        <v>45314</v>
      </c>
      <c r="P288" s="15" cm="1">
        <f t="array" ref="P288">_xll.BDH("XAG Curncy","PX_LAST",N288,N288)</f>
        <v>22.621600000000001</v>
      </c>
      <c r="Q288" s="15" t="str" cm="1">
        <f t="array" ref="Q288">_xll.BDP("SIH24 Comdty",$M$32)</f>
        <v>01/03/2024</v>
      </c>
      <c r="R288" s="15">
        <f t="shared" si="149"/>
        <v>38</v>
      </c>
      <c r="S288" s="23">
        <v>5.5500000000000001E-2</v>
      </c>
      <c r="T288" s="21">
        <f t="shared" si="150"/>
        <v>0.13252487333333335</v>
      </c>
      <c r="U288" s="22">
        <v>0.15</v>
      </c>
      <c r="V288" s="20">
        <f t="shared" si="151"/>
        <v>1.7475126666666645</v>
      </c>
      <c r="W288" s="15">
        <v>15</v>
      </c>
      <c r="X288" s="15">
        <v>20</v>
      </c>
      <c r="Y288" s="15">
        <v>25</v>
      </c>
      <c r="Z288" s="18">
        <f t="shared" si="152"/>
        <v>13.252487333333335</v>
      </c>
      <c r="AA288" s="18">
        <f t="shared" si="153"/>
        <v>15</v>
      </c>
      <c r="AB288" s="18">
        <f t="shared" si="154"/>
        <v>1.7475126666666645</v>
      </c>
      <c r="AE288" s="44" cm="1">
        <f t="array" ref="AE288">_xll.BDH("COMXGOLD Comdty","PX_Last", N288)</f>
        <v>19961540.592999998</v>
      </c>
      <c r="AF288" s="15" t="str" cm="1">
        <f t="array" ref="AF288">_xll.BDS("GCA Comdty","FUT_CHAIN", "CHAIN_DATE",A288,"endrow=1")</f>
        <v>GCF24 Comdty</v>
      </c>
      <c r="AG288" s="44" cm="1">
        <f t="array" ref="AG288">_xll.BDH(AF288,"FUT_AGGTE_OPEN_INT",A288)</f>
        <v>465860</v>
      </c>
      <c r="AH288" s="44">
        <f t="shared" si="155"/>
        <v>46586000</v>
      </c>
      <c r="AI288" s="48">
        <f t="shared" si="156"/>
        <v>0.42848797048469495</v>
      </c>
      <c r="AJ288" s="45"/>
      <c r="AK288" s="44" cm="1">
        <f t="array" ref="AK288">_xll.BDH("COMXSILV Comdty","PX_Last", N288)</f>
        <v>280297.06</v>
      </c>
      <c r="AL288" s="15" t="str" cm="1">
        <f t="array" ref="AL288">_xll.BDS("SIA Comdty","FUT_CHAIN", "CHAIN_DATE",A288,"endrow=1")</f>
        <v>SIF24 Comdty</v>
      </c>
      <c r="AM288" s="47" cm="1">
        <f t="array" ref="AM288">_xll.BDH(AL288,"FUT_AGGTE_OPEN_INT",A288)</f>
        <v>135626</v>
      </c>
      <c r="AN288" s="45">
        <f t="shared" si="157"/>
        <v>413.33823898072637</v>
      </c>
      <c r="AO288" s="46">
        <f t="shared" si="158"/>
        <v>28029706000</v>
      </c>
      <c r="AP288" s="46">
        <f t="shared" si="159"/>
        <v>678130</v>
      </c>
      <c r="AQ288" s="46"/>
    </row>
    <row r="289" spans="1:43" x14ac:dyDescent="0.2">
      <c r="A289" s="24">
        <v>45313</v>
      </c>
      <c r="B289" s="25" cm="1">
        <f t="array" ref="B289">_xll.BADDPERIODS(A289, "PER=WD", "NUMBEROFPERIODS=2", "BUSDAYADJ=-2", "CDR=GQ", "CDR=P9")</f>
        <v>45315</v>
      </c>
      <c r="C289" s="26" cm="1">
        <f t="array" ref="C289">_xll.BDH("XAU Curncy","PX_LAST",A289,A289)</f>
        <v>2021.7</v>
      </c>
      <c r="D289" s="26" t="str" cm="1">
        <f t="array" ref="D289">_xll.BDP("GCG24 Comdty",$M$32)</f>
        <v>01/02/2024</v>
      </c>
      <c r="E289" s="26">
        <f t="shared" si="146"/>
        <v>8</v>
      </c>
      <c r="F289" s="23">
        <v>5.3499999999999999E-2</v>
      </c>
      <c r="G289" s="28">
        <f t="shared" si="147"/>
        <v>2.4035766666666669</v>
      </c>
      <c r="H289" s="12">
        <v>1.7</v>
      </c>
      <c r="I289" s="33">
        <f t="shared" si="148"/>
        <v>-0.70357666666666696</v>
      </c>
      <c r="J289" s="26">
        <v>4</v>
      </c>
      <c r="K289" s="26">
        <v>6</v>
      </c>
      <c r="L289" s="26">
        <v>8</v>
      </c>
      <c r="N289" s="24">
        <v>45313</v>
      </c>
      <c r="O289" s="16" cm="1">
        <f t="array" ref="O289">_xll.BADDPERIODS(N289, "PER=WD", "NUMBEROFPERIODS=2", "BUSDAYADJ=-2", "CDR=GQ", "CDR=P9")</f>
        <v>45315</v>
      </c>
      <c r="P289" s="15" cm="1">
        <f t="array" ref="P289">_xll.BDH("XAG Curncy","PX_LAST",N289,N289)</f>
        <v>22.096</v>
      </c>
      <c r="Q289" s="15" t="str" cm="1">
        <f t="array" ref="Q289">_xll.BDP("SIH24 Comdty",$M$32)</f>
        <v>01/03/2024</v>
      </c>
      <c r="R289" s="15">
        <f t="shared" si="149"/>
        <v>37</v>
      </c>
      <c r="S289" s="23">
        <v>5.45E-2</v>
      </c>
      <c r="T289" s="21">
        <f t="shared" si="150"/>
        <v>0.12376828888888887</v>
      </c>
      <c r="U289" s="12">
        <v>0.12</v>
      </c>
      <c r="V289" s="20">
        <f t="shared" si="151"/>
        <v>-0.37682888888888738</v>
      </c>
      <c r="W289" s="15">
        <v>15</v>
      </c>
      <c r="X289" s="15">
        <v>20</v>
      </c>
      <c r="Y289" s="15">
        <v>25</v>
      </c>
      <c r="Z289" s="18">
        <f t="shared" si="152"/>
        <v>12.376828888888888</v>
      </c>
      <c r="AA289" s="18">
        <f t="shared" si="153"/>
        <v>12</v>
      </c>
      <c r="AB289" s="18">
        <f t="shared" si="154"/>
        <v>-0.37682888888888738</v>
      </c>
      <c r="AE289" s="44" cm="1">
        <f t="array" ref="AE289">_xll.BDH("COMXGOLD Comdty","PX_Last", N289)</f>
        <v>19961283.385000002</v>
      </c>
      <c r="AF289" s="15" t="str" cm="1">
        <f t="array" ref="AF289">_xll.BDS("GCA Comdty","FUT_CHAIN", "CHAIN_DATE",A289,"endrow=1")</f>
        <v>GCF24 Comdty</v>
      </c>
      <c r="AG289" s="44" cm="1">
        <f t="array" ref="AG289">_xll.BDH(AF289,"FUT_AGGTE_OPEN_INT",A289)</f>
        <v>467069</v>
      </c>
      <c r="AH289" s="44">
        <f t="shared" si="155"/>
        <v>46706900</v>
      </c>
      <c r="AI289" s="48">
        <f t="shared" si="156"/>
        <v>0.42737332995767224</v>
      </c>
      <c r="AJ289" s="45"/>
      <c r="AK289" s="44" cm="1">
        <f t="array" ref="AK289">_xll.BDH("COMXSILV Comdty","PX_Last", N289)</f>
        <v>278315.56</v>
      </c>
      <c r="AL289" s="15" t="str" cm="1">
        <f t="array" ref="AL289">_xll.BDS("SIA Comdty","FUT_CHAIN", "CHAIN_DATE",A289,"endrow=1")</f>
        <v>SIF24 Comdty</v>
      </c>
      <c r="AM289" s="47" cm="1">
        <f t="array" ref="AM289">_xll.BDH(AL289,"FUT_AGGTE_OPEN_INT",A289)</f>
        <v>138868</v>
      </c>
      <c r="AN289" s="45">
        <f t="shared" si="157"/>
        <v>400.83469193766746</v>
      </c>
      <c r="AO289" s="46">
        <f t="shared" si="158"/>
        <v>27831556000</v>
      </c>
      <c r="AP289" s="46">
        <f t="shared" si="159"/>
        <v>694340</v>
      </c>
      <c r="AQ289" s="46"/>
    </row>
    <row r="290" spans="1:43" x14ac:dyDescent="0.2">
      <c r="A290" s="24">
        <v>45314</v>
      </c>
      <c r="B290" s="25" cm="1">
        <f t="array" ref="B290">_xll.BADDPERIODS(A290, "PER=WD", "NUMBEROFPERIODS=2", "BUSDAYADJ=-2", "CDR=GQ", "CDR=P9")</f>
        <v>45316</v>
      </c>
      <c r="C290" s="26" cm="1">
        <f t="array" ref="C290">_xll.BDH("XAU Curncy","PX_LAST",A290,A290)</f>
        <v>2029.28</v>
      </c>
      <c r="D290" s="26" t="str" cm="1">
        <f t="array" ref="D290">_xll.BDP("GCG24 Comdty",$M$32)</f>
        <v>01/02/2024</v>
      </c>
      <c r="E290" s="26">
        <f t="shared" si="146"/>
        <v>7</v>
      </c>
      <c r="F290" s="23">
        <v>5.3499999999999999E-2</v>
      </c>
      <c r="G290" s="28">
        <f t="shared" si="147"/>
        <v>2.1110148888888891</v>
      </c>
      <c r="H290" s="12">
        <v>1.5</v>
      </c>
      <c r="I290" s="33">
        <f t="shared" si="148"/>
        <v>-0.61101488888888911</v>
      </c>
      <c r="J290" s="26">
        <v>4</v>
      </c>
      <c r="K290" s="26">
        <v>6</v>
      </c>
      <c r="L290" s="26">
        <v>8</v>
      </c>
      <c r="N290" s="24">
        <v>45314</v>
      </c>
      <c r="O290" s="16" cm="1">
        <f t="array" ref="O290">_xll.BADDPERIODS(N290, "PER=WD", "NUMBEROFPERIODS=2", "BUSDAYADJ=-2", "CDR=GQ", "CDR=P9")</f>
        <v>45316</v>
      </c>
      <c r="P290" s="15" cm="1">
        <f t="array" ref="P290">_xll.BDH("XAG Curncy","PX_LAST",N290,N290)</f>
        <v>22.443999999999999</v>
      </c>
      <c r="Q290" s="15" t="str" cm="1">
        <f t="array" ref="Q290">_xll.BDP("SIH24 Comdty",$M$32)</f>
        <v>01/03/2024</v>
      </c>
      <c r="R290" s="15">
        <f t="shared" si="149"/>
        <v>36</v>
      </c>
      <c r="S290" s="23">
        <v>5.45E-2</v>
      </c>
      <c r="T290" s="21">
        <f t="shared" si="150"/>
        <v>0.12231980000000001</v>
      </c>
      <c r="U290" s="12">
        <v>0.1225</v>
      </c>
      <c r="V290" s="20">
        <f t="shared" si="151"/>
        <v>1.8019999999999148E-2</v>
      </c>
      <c r="W290" s="15">
        <v>15</v>
      </c>
      <c r="X290" s="15">
        <v>20</v>
      </c>
      <c r="Y290" s="15">
        <v>25</v>
      </c>
      <c r="Z290" s="18">
        <f t="shared" si="152"/>
        <v>12.23198</v>
      </c>
      <c r="AA290" s="18">
        <f t="shared" si="153"/>
        <v>12.25</v>
      </c>
      <c r="AB290" s="18">
        <f t="shared" si="154"/>
        <v>1.8019999999999148E-2</v>
      </c>
      <c r="AE290" s="44" cm="1">
        <f t="array" ref="AE290">_xll.BDH("COMXGOLD Comdty","PX_Last", N290)</f>
        <v>19918297.504999999</v>
      </c>
      <c r="AF290" s="15" t="str" cm="1">
        <f t="array" ref="AF290">_xll.BDS("GCA Comdty","FUT_CHAIN", "CHAIN_DATE",A290,"endrow=1")</f>
        <v>GCF24 Comdty</v>
      </c>
      <c r="AG290" s="44" cm="1">
        <f t="array" ref="AG290">_xll.BDH(AF290,"FUT_AGGTE_OPEN_INT",A290)</f>
        <v>465872</v>
      </c>
      <c r="AH290" s="44">
        <f t="shared" si="155"/>
        <v>46587200</v>
      </c>
      <c r="AI290" s="48">
        <f t="shared" si="156"/>
        <v>0.42754871520503485</v>
      </c>
      <c r="AJ290" s="45"/>
      <c r="AK290" s="44" cm="1">
        <f t="array" ref="AK290">_xll.BDH("COMXSILV Comdty","PX_Last", N290)</f>
        <v>277720.69</v>
      </c>
      <c r="AL290" s="15" t="str" cm="1">
        <f t="array" ref="AL290">_xll.BDS("SIA Comdty","FUT_CHAIN", "CHAIN_DATE",A290,"endrow=1")</f>
        <v>SIF24 Comdty</v>
      </c>
      <c r="AM290" s="47" cm="1">
        <f t="array" ref="AM290">_xll.BDH(AL290,"FUT_AGGTE_OPEN_INT",A290)</f>
        <v>138617</v>
      </c>
      <c r="AN290" s="45">
        <f t="shared" si="157"/>
        <v>400.70220824285622</v>
      </c>
      <c r="AO290" s="46">
        <f t="shared" si="158"/>
        <v>27772069000</v>
      </c>
      <c r="AP290" s="46">
        <f t="shared" si="159"/>
        <v>693085</v>
      </c>
      <c r="AQ290" s="46"/>
    </row>
    <row r="291" spans="1:43" x14ac:dyDescent="0.2">
      <c r="A291" s="24">
        <v>45315</v>
      </c>
      <c r="B291" s="25" cm="1">
        <f t="array" ref="B291">_xll.BADDPERIODS(A291, "PER=WD", "NUMBEROFPERIODS=2", "BUSDAYADJ=-2", "CDR=GQ", "CDR=P9")</f>
        <v>45317</v>
      </c>
      <c r="C291" s="26" cm="1">
        <f t="array" ref="C291">_xll.BDH("XAU Curncy","PX_LAST",A291,A291)</f>
        <v>2013.89</v>
      </c>
      <c r="D291" s="26" t="str" cm="1">
        <f t="array" ref="D291">_xll.BDP("GCG24 Comdty",$M$32)</f>
        <v>01/02/2024</v>
      </c>
      <c r="E291" s="26">
        <f t="shared" si="146"/>
        <v>6</v>
      </c>
      <c r="F291" s="23">
        <v>5.3499999999999999E-2</v>
      </c>
      <c r="G291" s="28">
        <f t="shared" si="147"/>
        <v>1.7957185833333333</v>
      </c>
      <c r="H291" s="12">
        <v>1</v>
      </c>
      <c r="I291" s="33">
        <f t="shared" si="148"/>
        <v>-0.79571858333333334</v>
      </c>
      <c r="J291" s="26">
        <v>4</v>
      </c>
      <c r="K291" s="26">
        <v>6</v>
      </c>
      <c r="L291" s="26">
        <v>8</v>
      </c>
      <c r="N291" s="24">
        <v>45315</v>
      </c>
      <c r="O291" s="16" cm="1">
        <f t="array" ref="O291">_xll.BADDPERIODS(N291, "PER=WD", "NUMBEROFPERIODS=2", "BUSDAYADJ=-2", "CDR=GQ", "CDR=P9")</f>
        <v>45317</v>
      </c>
      <c r="P291" s="15" cm="1">
        <f t="array" ref="P291">_xll.BDH("XAG Curncy","PX_LAST",N291,N291)</f>
        <v>22.6675</v>
      </c>
      <c r="Q291" s="15" t="str" cm="1">
        <f t="array" ref="Q291">_xll.BDP("SIH24 Comdty",$M$32)</f>
        <v>01/03/2024</v>
      </c>
      <c r="R291" s="15">
        <f t="shared" si="149"/>
        <v>35</v>
      </c>
      <c r="S291" s="23">
        <v>5.45E-2</v>
      </c>
      <c r="T291" s="21">
        <f t="shared" si="150"/>
        <v>0.12010626736111112</v>
      </c>
      <c r="U291" s="12">
        <v>0.1225</v>
      </c>
      <c r="V291" s="20">
        <f t="shared" si="151"/>
        <v>0.23937326388888819</v>
      </c>
      <c r="W291" s="15">
        <v>15</v>
      </c>
      <c r="X291" s="15">
        <v>20</v>
      </c>
      <c r="Y291" s="15">
        <v>25</v>
      </c>
      <c r="Z291" s="18">
        <f t="shared" si="152"/>
        <v>12.010626736111112</v>
      </c>
      <c r="AA291" s="18">
        <f t="shared" si="153"/>
        <v>12.25</v>
      </c>
      <c r="AB291" s="18">
        <f t="shared" si="154"/>
        <v>0.23937326388888819</v>
      </c>
      <c r="AE291" s="44" cm="1">
        <f t="array" ref="AE291">_xll.BDH("COMXGOLD Comdty","PX_Last", N291)</f>
        <v>19917108.754999999</v>
      </c>
      <c r="AF291" s="15" t="str" cm="1">
        <f t="array" ref="AF291">_xll.BDS("GCA Comdty","FUT_CHAIN", "CHAIN_DATE",A291,"endrow=1")</f>
        <v>GCF24 Comdty</v>
      </c>
      <c r="AG291" s="44" cm="1">
        <f t="array" ref="AG291">_xll.BDH(AF291,"FUT_AGGTE_OPEN_INT",A291)</f>
        <v>467205</v>
      </c>
      <c r="AH291" s="44">
        <f t="shared" si="155"/>
        <v>46720500</v>
      </c>
      <c r="AI291" s="48">
        <f t="shared" si="156"/>
        <v>0.42630341616635092</v>
      </c>
      <c r="AJ291" s="45"/>
      <c r="AK291" s="44" cm="1">
        <f t="array" ref="AK291">_xll.BDH("COMXSILV Comdty","PX_Last", N291)</f>
        <v>276785.44</v>
      </c>
      <c r="AL291" s="15" t="str" cm="1">
        <f t="array" ref="AL291">_xll.BDS("SIA Comdty","FUT_CHAIN", "CHAIN_DATE",A291,"endrow=1")</f>
        <v>SIF24 Comdty</v>
      </c>
      <c r="AM291" s="47" cm="1">
        <f t="array" ref="AM291">_xll.BDH(AL291,"FUT_AGGTE_OPEN_INT",A291)</f>
        <v>137226</v>
      </c>
      <c r="AN291" s="45">
        <f t="shared" si="157"/>
        <v>403.40087155495314</v>
      </c>
      <c r="AO291" s="46">
        <f t="shared" si="158"/>
        <v>27678544000</v>
      </c>
      <c r="AP291" s="46">
        <f t="shared" si="159"/>
        <v>686130</v>
      </c>
      <c r="AQ291" s="46"/>
    </row>
    <row r="292" spans="1:43" x14ac:dyDescent="0.2">
      <c r="A292" s="24">
        <v>45316</v>
      </c>
      <c r="B292" s="25" cm="1">
        <f t="array" ref="B292">_xll.BADDPERIODS(A292, "PER=WD", "NUMBEROFPERIODS=2", "BUSDAYADJ=-2", "CDR=GQ", "CDR=P9")</f>
        <v>45320</v>
      </c>
      <c r="C292" s="26" cm="1">
        <f t="array" ref="C292">_xll.BDH("XAU Curncy","PX_LAST",A292,A292)</f>
        <v>2020.84</v>
      </c>
      <c r="D292" s="26" t="str" cm="1">
        <f t="array" ref="D292">_xll.BDP("GCG24 Comdty",$M$32)</f>
        <v>01/02/2024</v>
      </c>
      <c r="E292" s="26">
        <f t="shared" si="146"/>
        <v>3</v>
      </c>
      <c r="F292" s="23">
        <v>5.3499999999999999E-2</v>
      </c>
      <c r="G292" s="28">
        <f t="shared" si="147"/>
        <v>0.90095783333333335</v>
      </c>
      <c r="H292" s="12">
        <v>0.1</v>
      </c>
      <c r="I292" s="33">
        <f t="shared" si="148"/>
        <v>-0.80095783333333337</v>
      </c>
      <c r="J292" s="26">
        <v>4</v>
      </c>
      <c r="K292" s="26">
        <v>6</v>
      </c>
      <c r="L292" s="26">
        <v>8</v>
      </c>
      <c r="N292" s="24">
        <v>45316</v>
      </c>
      <c r="O292" s="16" cm="1">
        <f t="array" ref="O292">_xll.BADDPERIODS(N292, "PER=WD", "NUMBEROFPERIODS=2", "BUSDAYADJ=-2", "CDR=GQ", "CDR=P9")</f>
        <v>45320</v>
      </c>
      <c r="P292" s="15" cm="1">
        <f t="array" ref="P292">_xll.BDH("XAG Curncy","PX_LAST",N292,N292)</f>
        <v>22.913499999999999</v>
      </c>
      <c r="Q292" s="15" t="str" cm="1">
        <f t="array" ref="Q292">_xll.BDP("SIH24 Comdty",$M$32)</f>
        <v>01/03/2024</v>
      </c>
      <c r="R292" s="15">
        <f t="shared" si="149"/>
        <v>32</v>
      </c>
      <c r="S292" s="23">
        <v>5.45E-2</v>
      </c>
      <c r="T292" s="21">
        <f t="shared" si="150"/>
        <v>0.11100317777777778</v>
      </c>
      <c r="U292" s="12">
        <v>0.115</v>
      </c>
      <c r="V292" s="20">
        <f t="shared" si="151"/>
        <v>0.39968222222222238</v>
      </c>
      <c r="W292" s="15">
        <v>15</v>
      </c>
      <c r="X292" s="15">
        <v>20</v>
      </c>
      <c r="Y292" s="15">
        <v>25</v>
      </c>
      <c r="Z292" s="18">
        <f t="shared" si="152"/>
        <v>11.100317777777779</v>
      </c>
      <c r="AA292" s="18">
        <f t="shared" si="153"/>
        <v>11.5</v>
      </c>
      <c r="AB292" s="18">
        <f t="shared" si="154"/>
        <v>0.39968222222222238</v>
      </c>
      <c r="AE292" s="44" cm="1">
        <f t="array" ref="AE292">_xll.BDH("COMXGOLD Comdty","PX_Last", N292)</f>
        <v>19620150.805</v>
      </c>
      <c r="AF292" s="15" t="str" cm="1">
        <f t="array" ref="AF292">_xll.BDS("GCA Comdty","FUT_CHAIN", "CHAIN_DATE",A292,"endrow=1")</f>
        <v>GCF24 Comdty</v>
      </c>
      <c r="AG292" s="44" cm="1">
        <f t="array" ref="AG292">_xll.BDH(AF292,"FUT_AGGTE_OPEN_INT",A292)</f>
        <v>461324</v>
      </c>
      <c r="AH292" s="44">
        <f t="shared" si="155"/>
        <v>46132400</v>
      </c>
      <c r="AI292" s="48">
        <f t="shared" si="156"/>
        <v>0.42530089058882692</v>
      </c>
      <c r="AJ292" s="45"/>
      <c r="AK292" s="44" cm="1">
        <f t="array" ref="AK292">_xll.BDH("COMXSILV Comdty","PX_Last", N292)</f>
        <v>277263.59000000003</v>
      </c>
      <c r="AL292" s="15" t="str" cm="1">
        <f t="array" ref="AL292">_xll.BDS("SIA Comdty","FUT_CHAIN", "CHAIN_DATE",A292,"endrow=1")</f>
        <v>SIF24 Comdty</v>
      </c>
      <c r="AM292" s="47" cm="1">
        <f t="array" ref="AM292">_xll.BDH(AL292,"FUT_AGGTE_OPEN_INT",A292)</f>
        <v>136513</v>
      </c>
      <c r="AN292" s="45">
        <f t="shared" si="157"/>
        <v>406.20833180722724</v>
      </c>
      <c r="AO292" s="46">
        <f t="shared" si="158"/>
        <v>27726359000.000004</v>
      </c>
      <c r="AP292" s="46">
        <f t="shared" si="159"/>
        <v>682565</v>
      </c>
      <c r="AQ292" s="46"/>
    </row>
    <row r="293" spans="1:43" x14ac:dyDescent="0.2">
      <c r="A293" s="24">
        <v>45317</v>
      </c>
      <c r="B293" s="25" cm="1">
        <f t="array" ref="B293">_xll.BADDPERIODS(A293, "PER=WD", "NUMBEROFPERIODS=2", "BUSDAYADJ=-2", "CDR=GQ", "CDR=P9")</f>
        <v>45321</v>
      </c>
      <c r="C293" s="26" cm="1">
        <f t="array" ref="C293">_xll.BDH("XAU Curncy","PX_LAST",A293,A293)</f>
        <v>2018.52</v>
      </c>
      <c r="D293" s="26" t="str" cm="1">
        <f t="array" ref="D293">_xll.BDP("GCG24 Comdty",$M$32)</f>
        <v>01/02/2024</v>
      </c>
      <c r="E293" s="26">
        <f t="shared" si="146"/>
        <v>2</v>
      </c>
      <c r="F293" s="23">
        <v>5.3499999999999999E-2</v>
      </c>
      <c r="G293" s="28">
        <f t="shared" si="147"/>
        <v>0.59994900000000007</v>
      </c>
      <c r="H293" s="12">
        <v>-0.1</v>
      </c>
      <c r="I293" s="33">
        <f t="shared" si="148"/>
        <v>-0.69994900000000004</v>
      </c>
      <c r="J293" s="26">
        <v>4</v>
      </c>
      <c r="K293" s="26">
        <v>6</v>
      </c>
      <c r="L293" s="26">
        <v>8</v>
      </c>
      <c r="N293" s="24">
        <v>45317</v>
      </c>
      <c r="O293" s="16" cm="1">
        <f t="array" ref="O293">_xll.BADDPERIODS(N293, "PER=WD", "NUMBEROFPERIODS=2", "BUSDAYADJ=-2", "CDR=GQ", "CDR=P9")</f>
        <v>45321</v>
      </c>
      <c r="P293" s="15" cm="1">
        <f t="array" ref="P293">_xll.BDH("XAG Curncy","PX_LAST",N293,N293)</f>
        <v>22.802</v>
      </c>
      <c r="Q293" s="15" t="str" cm="1">
        <f t="array" ref="Q293">_xll.BDP("SIH24 Comdty",$M$32)</f>
        <v>01/03/2024</v>
      </c>
      <c r="R293" s="15">
        <f t="shared" si="149"/>
        <v>31</v>
      </c>
      <c r="S293" s="23">
        <v>5.45E-2</v>
      </c>
      <c r="T293" s="21">
        <f t="shared" si="150"/>
        <v>0.10701105277777778</v>
      </c>
      <c r="U293" s="12">
        <v>0.115</v>
      </c>
      <c r="V293" s="20">
        <f t="shared" si="151"/>
        <v>0.79889472222222224</v>
      </c>
      <c r="W293" s="15">
        <v>15</v>
      </c>
      <c r="X293" s="15">
        <v>20</v>
      </c>
      <c r="Y293" s="15">
        <v>25</v>
      </c>
      <c r="Z293" s="18">
        <f t="shared" si="152"/>
        <v>10.701105277777778</v>
      </c>
      <c r="AA293" s="18">
        <f t="shared" si="153"/>
        <v>11.5</v>
      </c>
      <c r="AB293" s="18">
        <f t="shared" si="154"/>
        <v>0.79889472222222224</v>
      </c>
      <c r="AE293" s="44" cm="1">
        <f t="array" ref="AE293">_xll.BDH("COMXGOLD Comdty","PX_Last", N293)</f>
        <v>19598245.765000001</v>
      </c>
      <c r="AF293" s="15" t="str" cm="1">
        <f t="array" ref="AF293">_xll.BDS("GCA Comdty","FUT_CHAIN", "CHAIN_DATE",A293,"endrow=1")</f>
        <v>GCF24 Comdty</v>
      </c>
      <c r="AG293" s="44" cm="1">
        <f t="array" ref="AG293">_xll.BDH(AF293,"FUT_AGGTE_OPEN_INT",A293)</f>
        <v>453014</v>
      </c>
      <c r="AH293" s="44">
        <f t="shared" si="155"/>
        <v>45301400</v>
      </c>
      <c r="AI293" s="48">
        <f t="shared" si="156"/>
        <v>0.43261898672005722</v>
      </c>
      <c r="AJ293" s="45"/>
      <c r="AK293" s="44" cm="1">
        <f t="array" ref="AK293">_xll.BDH("COMXSILV Comdty","PX_Last", N293)</f>
        <v>276217</v>
      </c>
      <c r="AL293" s="15" t="str" cm="1">
        <f t="array" ref="AL293">_xll.BDS("SIA Comdty","FUT_CHAIN", "CHAIN_DATE",A293,"endrow=1")</f>
        <v>SIF24 Comdty</v>
      </c>
      <c r="AM293" s="47" cm="1">
        <f t="array" ref="AM293">_xll.BDH(AL293,"FUT_AGGTE_OPEN_INT",A293)</f>
        <v>136561</v>
      </c>
      <c r="AN293" s="45">
        <f t="shared" si="157"/>
        <v>404.53277290002268</v>
      </c>
      <c r="AO293" s="46">
        <f t="shared" si="158"/>
        <v>27621700000</v>
      </c>
      <c r="AP293" s="46">
        <f t="shared" si="159"/>
        <v>682805</v>
      </c>
      <c r="AQ293" s="46"/>
    </row>
    <row r="294" spans="1:43" x14ac:dyDescent="0.2">
      <c r="A294" s="24">
        <v>45320</v>
      </c>
      <c r="B294" s="25" cm="1">
        <f t="array" ref="B294">_xll.BADDPERIODS(A294, "PER=WD", "NUMBEROFPERIODS=2", "BUSDAYADJ=-2", "CDR=GQ", "CDR=P9")</f>
        <v>45322</v>
      </c>
      <c r="C294" s="26" cm="1">
        <f t="array" ref="C294">_xll.BDH("XAU Curncy","PX_LAST",A294,A294)</f>
        <v>2033.23</v>
      </c>
      <c r="D294" s="26" t="str" cm="1">
        <f t="array" ref="D294">_xll.BDP("GCG24 Comdty",$M$32)</f>
        <v>01/02/2024</v>
      </c>
      <c r="E294" s="26">
        <f t="shared" si="146"/>
        <v>1</v>
      </c>
      <c r="F294" s="23">
        <v>5.2999999999999999E-2</v>
      </c>
      <c r="G294" s="28">
        <v>18</v>
      </c>
      <c r="H294" s="12">
        <v>18.45</v>
      </c>
      <c r="I294" s="34">
        <f t="shared" si="148"/>
        <v>0.44999999999999929</v>
      </c>
      <c r="J294" s="26">
        <v>4</v>
      </c>
      <c r="K294" s="26">
        <v>6</v>
      </c>
      <c r="L294" s="26">
        <v>8</v>
      </c>
      <c r="N294" s="24">
        <v>45320</v>
      </c>
      <c r="O294" s="16" cm="1">
        <f t="array" ref="O294">_xll.BADDPERIODS(N294, "PER=WD", "NUMBEROFPERIODS=2", "BUSDAYADJ=-2", "CDR=GQ", "CDR=P9")</f>
        <v>45322</v>
      </c>
      <c r="P294" s="15" cm="1">
        <f t="array" ref="P294">_xll.BDH("XAG Curncy","PX_LAST",N294,N294)</f>
        <v>23.2043</v>
      </c>
      <c r="Q294" s="15" t="str" cm="1">
        <f t="array" ref="Q294">_xll.BDP("SIH24 Comdty",$M$32)</f>
        <v>01/03/2024</v>
      </c>
      <c r="R294" s="15">
        <f t="shared" si="149"/>
        <v>30</v>
      </c>
      <c r="S294" s="23">
        <v>5.3499999999999999E-2</v>
      </c>
      <c r="T294" s="21">
        <f t="shared" si="150"/>
        <v>0.10345250416666667</v>
      </c>
      <c r="U294" s="12">
        <v>0.105</v>
      </c>
      <c r="V294" s="35">
        <f t="shared" si="151"/>
        <v>0.15474958333333289</v>
      </c>
      <c r="W294" s="15">
        <v>15</v>
      </c>
      <c r="X294" s="15">
        <v>20</v>
      </c>
      <c r="Y294" s="15">
        <v>25</v>
      </c>
      <c r="Z294" s="18">
        <f t="shared" si="152"/>
        <v>10.345250416666667</v>
      </c>
      <c r="AA294" s="18">
        <f t="shared" si="153"/>
        <v>10.5</v>
      </c>
      <c r="AB294" s="18">
        <f t="shared" si="154"/>
        <v>0.15474958333333289</v>
      </c>
      <c r="AE294" s="44" cm="1">
        <f t="array" ref="AE294">_xll.BDH("COMXGOLD Comdty","PX_Last", N294)</f>
        <v>19598245.765000001</v>
      </c>
      <c r="AF294" s="15" t="str" cm="1">
        <f t="array" ref="AF294">_xll.BDS("GCA Comdty","FUT_CHAIN", "CHAIN_DATE",A294,"endrow=1")</f>
        <v>GCF24 Comdty</v>
      </c>
      <c r="AG294" s="44" cm="1">
        <f t="array" ref="AG294">_xll.BDH(AF294,"FUT_AGGTE_OPEN_INT",A294)</f>
        <v>434766</v>
      </c>
      <c r="AH294" s="44">
        <f t="shared" si="155"/>
        <v>43476600</v>
      </c>
      <c r="AI294" s="48">
        <f t="shared" si="156"/>
        <v>0.4507768722715208</v>
      </c>
      <c r="AJ294" s="45"/>
      <c r="AK294" s="44" cm="1">
        <f t="array" ref="AK294">_xll.BDH("COMXSILV Comdty","PX_Last", N294)</f>
        <v>276195.5</v>
      </c>
      <c r="AL294" s="15" t="str" cm="1">
        <f t="array" ref="AL294">_xll.BDS("SIA Comdty","FUT_CHAIN", "CHAIN_DATE",A294,"endrow=1")</f>
        <v>SIF24 Comdty</v>
      </c>
      <c r="AM294" s="47" cm="1">
        <f t="array" ref="AM294">_xll.BDH(AL294,"FUT_AGGTE_OPEN_INT",A294)</f>
        <v>137032</v>
      </c>
      <c r="AN294" s="45">
        <f t="shared" si="157"/>
        <v>403.11095218635063</v>
      </c>
      <c r="AO294" s="46">
        <f t="shared" si="158"/>
        <v>27619550000</v>
      </c>
      <c r="AP294" s="46">
        <f t="shared" si="159"/>
        <v>685160</v>
      </c>
      <c r="AQ294" s="46"/>
    </row>
    <row r="295" spans="1:43" x14ac:dyDescent="0.2">
      <c r="A295" s="24">
        <v>45321</v>
      </c>
      <c r="B295" s="25" cm="1">
        <f t="array" ref="B295">_xll.BADDPERIODS(A295, "PER=WD", "NUMBEROFPERIODS=2", "BUSDAYADJ=-2", "CDR=GQ", "CDR=P9")</f>
        <v>45323</v>
      </c>
      <c r="C295" s="26" cm="1">
        <f t="array" ref="C295">_xll.BDH("XAU Curncy","PX_LAST",A295,A295)</f>
        <v>2037.01</v>
      </c>
      <c r="D295" s="26" t="str" cm="1">
        <f t="array" ref="D295">_xll.BDP("GCJ24 Comdty",$M$32)</f>
        <v>01/04/2024</v>
      </c>
      <c r="E295" s="26">
        <f t="shared" si="146"/>
        <v>60</v>
      </c>
      <c r="F295" s="23">
        <v>5.2999999999999999E-2</v>
      </c>
      <c r="G295" s="28">
        <f t="shared" si="147"/>
        <v>17.993588333333332</v>
      </c>
      <c r="H295" s="12">
        <v>18.2</v>
      </c>
      <c r="I295" s="34">
        <f t="shared" si="148"/>
        <v>0.20641166666666777</v>
      </c>
      <c r="J295" s="26">
        <v>4</v>
      </c>
      <c r="K295" s="26">
        <v>6</v>
      </c>
      <c r="L295" s="26">
        <v>8</v>
      </c>
      <c r="N295" s="24">
        <v>45321</v>
      </c>
      <c r="O295" s="16" cm="1">
        <f t="array" ref="O295">_xll.BADDPERIODS(N295, "PER=WD", "NUMBEROFPERIODS=2", "BUSDAYADJ=-2", "CDR=GQ", "CDR=P9")</f>
        <v>45323</v>
      </c>
      <c r="P295" s="15" cm="1">
        <f t="array" ref="P295">_xll.BDH("XAG Curncy","PX_LAST",N295,N295)</f>
        <v>23.171900000000001</v>
      </c>
      <c r="Q295" s="15" t="str" cm="1">
        <f t="array" ref="Q295">_xll.BDP("SIH24 Comdty",$M$32)</f>
        <v>01/03/2024</v>
      </c>
      <c r="R295" s="15">
        <f t="shared" si="149"/>
        <v>29</v>
      </c>
      <c r="S295" s="23">
        <v>5.3999999999999999E-2</v>
      </c>
      <c r="T295" s="21">
        <f t="shared" si="150"/>
        <v>0.100797765</v>
      </c>
      <c r="U295" s="12">
        <v>0.115</v>
      </c>
      <c r="V295" s="35">
        <f t="shared" si="151"/>
        <v>1.4202235000000007</v>
      </c>
      <c r="W295" s="15">
        <v>15</v>
      </c>
      <c r="X295" s="15">
        <v>20</v>
      </c>
      <c r="Y295" s="15">
        <v>25</v>
      </c>
      <c r="Z295" s="18">
        <f t="shared" si="152"/>
        <v>10.079776499999999</v>
      </c>
      <c r="AA295" s="18">
        <f t="shared" si="153"/>
        <v>11.5</v>
      </c>
      <c r="AB295" s="18">
        <f t="shared" si="154"/>
        <v>1.4202235000000007</v>
      </c>
      <c r="AE295" s="44" cm="1">
        <f t="array" ref="AE295">_xll.BDH("COMXGOLD Comdty","PX_Last", N295)</f>
        <v>19588271.903999999</v>
      </c>
      <c r="AF295" s="15" t="str" cm="1">
        <f t="array" ref="AF295">_xll.BDS("GCA Comdty","FUT_CHAIN", "CHAIN_DATE",A295,"endrow=1")</f>
        <v>GCG24 Comdty</v>
      </c>
      <c r="AG295" s="44" cm="1">
        <f t="array" ref="AG295">_xll.BDH(AF295,"FUT_AGGTE_OPEN_INT",A295)</f>
        <v>430328</v>
      </c>
      <c r="AH295" s="44">
        <f t="shared" si="155"/>
        <v>43032800</v>
      </c>
      <c r="AI295" s="48">
        <f t="shared" si="156"/>
        <v>0.4551939893290699</v>
      </c>
      <c r="AJ295" s="45"/>
      <c r="AK295" s="44" cm="1">
        <f t="array" ref="AK295">_xll.BDH("COMXSILV Comdty","PX_Last", N295)</f>
        <v>274984.09000000003</v>
      </c>
      <c r="AL295" s="15" t="str" cm="1">
        <f t="array" ref="AL295">_xll.BDS("SIA Comdty","FUT_CHAIN", "CHAIN_DATE",A295,"endrow=1")</f>
        <v>SIG24 Comdty</v>
      </c>
      <c r="AM295" s="47" cm="1">
        <f t="array" ref="AM295">_xll.BDH(AL295,"FUT_AGGTE_OPEN_INT",A295)</f>
        <v>136544</v>
      </c>
      <c r="AN295" s="45">
        <f t="shared" si="157"/>
        <v>402.77725861260842</v>
      </c>
      <c r="AO295" s="46">
        <f t="shared" si="158"/>
        <v>27498409000.000004</v>
      </c>
      <c r="AP295" s="46">
        <f t="shared" si="159"/>
        <v>682720</v>
      </c>
      <c r="AQ295" s="46"/>
    </row>
    <row r="296" spans="1:43" x14ac:dyDescent="0.2">
      <c r="A296" s="24">
        <v>45322</v>
      </c>
      <c r="B296" s="25" cm="1">
        <f t="array" ref="B296">_xll.BADDPERIODS(A296, "PER=WD", "NUMBEROFPERIODS=2", "BUSDAYADJ=-2", "CDR=GQ", "CDR=P9")</f>
        <v>45324</v>
      </c>
      <c r="C296" s="26" cm="1">
        <f t="array" ref="C296">_xll.BDH("XAU Curncy","PX_LAST",A296,A296)</f>
        <v>2039.52</v>
      </c>
      <c r="D296" s="26" t="str" cm="1">
        <f t="array" ref="D296">_xll.BDP("GCJ24 Comdty",$M$32)</f>
        <v>01/04/2024</v>
      </c>
      <c r="E296" s="26">
        <f t="shared" si="146"/>
        <v>59</v>
      </c>
      <c r="F296" s="23">
        <v>5.33E-2</v>
      </c>
      <c r="G296" s="28">
        <f t="shared" si="147"/>
        <v>17.815773733333334</v>
      </c>
      <c r="H296" s="12">
        <v>18.2</v>
      </c>
      <c r="I296" s="34">
        <f t="shared" si="148"/>
        <v>0.38422626666666559</v>
      </c>
      <c r="J296" s="26">
        <v>4</v>
      </c>
      <c r="K296" s="26">
        <v>6</v>
      </c>
      <c r="L296" s="26">
        <v>8</v>
      </c>
      <c r="N296" s="24">
        <v>45322</v>
      </c>
      <c r="O296" s="16" cm="1">
        <f t="array" ref="O296">_xll.BADDPERIODS(N296, "PER=WD", "NUMBEROFPERIODS=2", "BUSDAYADJ=-2", "CDR=GQ", "CDR=P9")</f>
        <v>45324</v>
      </c>
      <c r="P296" s="15" cm="1">
        <f t="array" ref="P296">_xll.BDH("XAG Curncy","PX_LAST",N296,N296)</f>
        <v>22.957999999999998</v>
      </c>
      <c r="Q296" s="15" t="str" cm="1">
        <f t="array" ref="Q296">_xll.BDP("SIH24 Comdty",$M$32)</f>
        <v>01/03/2024</v>
      </c>
      <c r="R296" s="15">
        <f t="shared" si="149"/>
        <v>28</v>
      </c>
      <c r="S296" s="23">
        <v>5.5E-2</v>
      </c>
      <c r="T296" s="21">
        <f t="shared" si="150"/>
        <v>9.8209222222222226E-2</v>
      </c>
      <c r="U296" s="12">
        <v>0.115</v>
      </c>
      <c r="V296" s="35">
        <f t="shared" si="151"/>
        <v>1.6790777777777779</v>
      </c>
      <c r="W296" s="15">
        <v>15</v>
      </c>
      <c r="X296" s="15">
        <v>20</v>
      </c>
      <c r="Y296" s="15">
        <v>25</v>
      </c>
      <c r="Z296" s="18">
        <f t="shared" si="152"/>
        <v>9.8209222222222223</v>
      </c>
      <c r="AA296" s="18">
        <f t="shared" si="153"/>
        <v>11.5</v>
      </c>
      <c r="AB296" s="18">
        <f t="shared" si="154"/>
        <v>1.6790777777777779</v>
      </c>
      <c r="AE296" s="44" cm="1">
        <f t="array" ref="AE296">_xll.BDH("COMXGOLD Comdty","PX_Last", N296)</f>
        <v>19576936.515999999</v>
      </c>
      <c r="AF296" s="15" t="str" cm="1">
        <f t="array" ref="AF296">_xll.BDS("GCA Comdty","FUT_CHAIN", "CHAIN_DATE",A296,"endrow=1")</f>
        <v>GCG24 Comdty</v>
      </c>
      <c r="AG296" s="44" cm="1">
        <f t="array" ref="AG296">_xll.BDH(AF296,"FUT_AGGTE_OPEN_INT",A296)</f>
        <v>432793</v>
      </c>
      <c r="AH296" s="44">
        <f t="shared" si="155"/>
        <v>43279300</v>
      </c>
      <c r="AI296" s="48">
        <f t="shared" si="156"/>
        <v>0.45233949061098488</v>
      </c>
      <c r="AJ296" s="45"/>
      <c r="AK296" s="44" cm="1">
        <f t="array" ref="AK296">_xll.BDH("COMXSILV Comdty","PX_Last", N296)</f>
        <v>275229.88</v>
      </c>
      <c r="AL296" s="15" t="str" cm="1">
        <f t="array" ref="AL296">_xll.BDS("SIA Comdty","FUT_CHAIN", "CHAIN_DATE",A296,"endrow=1")</f>
        <v>SIG24 Comdty</v>
      </c>
      <c r="AM296" s="47" cm="1">
        <f t="array" ref="AM296">_xll.BDH(AL296,"FUT_AGGTE_OPEN_INT",A296)</f>
        <v>136386</v>
      </c>
      <c r="AN296" s="45">
        <f t="shared" si="157"/>
        <v>403.6042995615386</v>
      </c>
      <c r="AO296" s="46">
        <f t="shared" si="158"/>
        <v>27522988000</v>
      </c>
      <c r="AP296" s="46">
        <f t="shared" si="159"/>
        <v>681930</v>
      </c>
      <c r="AQ296" s="46"/>
    </row>
    <row r="297" spans="1:43" x14ac:dyDescent="0.2">
      <c r="A297" s="24">
        <v>45323</v>
      </c>
      <c r="B297" s="25" cm="1">
        <f t="array" ref="B297">_xll.BADDPERIODS(A297, "PER=WD", "NUMBEROFPERIODS=2", "BUSDAYADJ=-2", "CDR=GQ", "CDR=P9")</f>
        <v>45327</v>
      </c>
      <c r="C297" s="26" cm="1">
        <f t="array" ref="C297">_xll.BDH("XAU Curncy","PX_LAST",A297,A297)</f>
        <v>2054.9899999999998</v>
      </c>
      <c r="D297" s="26" t="str" cm="1">
        <f t="array" ref="D297">_xll.BDP("GCJ24 Comdty",$M$32)</f>
        <v>01/04/2024</v>
      </c>
      <c r="E297" s="26">
        <f t="shared" si="146"/>
        <v>56</v>
      </c>
      <c r="F297" s="23">
        <v>5.3499999999999999E-2</v>
      </c>
      <c r="G297" s="28">
        <f t="shared" si="147"/>
        <v>17.102083444444443</v>
      </c>
      <c r="H297" s="12">
        <v>17.399999999999999</v>
      </c>
      <c r="I297" s="34">
        <f t="shared" si="148"/>
        <v>0.29791655555555607</v>
      </c>
      <c r="J297" s="26">
        <v>4</v>
      </c>
      <c r="K297" s="26">
        <v>6</v>
      </c>
      <c r="L297" s="26">
        <v>8</v>
      </c>
      <c r="N297" s="24">
        <v>45323</v>
      </c>
      <c r="O297" s="16" cm="1">
        <f t="array" ref="O297">_xll.BADDPERIODS(N297, "PER=WD", "NUMBEROFPERIODS=2", "BUSDAYADJ=-2", "CDR=GQ", "CDR=P9")</f>
        <v>45327</v>
      </c>
      <c r="P297" s="15" cm="1">
        <f t="array" ref="P297">_xll.BDH("XAG Curncy","PX_LAST",N297,N297)</f>
        <v>23.1782</v>
      </c>
      <c r="Q297" s="15" t="str" cm="1">
        <f t="array" ref="Q297">_xll.BDP("SIH24 Comdty",$M$32)</f>
        <v>01/03/2024</v>
      </c>
      <c r="R297" s="15">
        <f t="shared" si="149"/>
        <v>25</v>
      </c>
      <c r="S297" s="23">
        <v>5.5500000000000001E-2</v>
      </c>
      <c r="T297" s="21">
        <f t="shared" si="150"/>
        <v>8.9332645833333335E-2</v>
      </c>
      <c r="U297" s="12">
        <v>0.10249999999999999</v>
      </c>
      <c r="V297" s="35">
        <f t="shared" si="151"/>
        <v>1.3167354166666658</v>
      </c>
      <c r="W297" s="15">
        <v>15</v>
      </c>
      <c r="X297" s="15">
        <v>20</v>
      </c>
      <c r="Y297" s="15">
        <v>25</v>
      </c>
      <c r="Z297" s="18">
        <f t="shared" si="152"/>
        <v>8.9332645833333331</v>
      </c>
      <c r="AA297" s="18">
        <f t="shared" si="153"/>
        <v>10.25</v>
      </c>
      <c r="AB297" s="18">
        <f t="shared" si="154"/>
        <v>1.3167354166666658</v>
      </c>
      <c r="AE297" s="44" cm="1">
        <f t="array" ref="AE297">_xll.BDH("COMXGOLD Comdty","PX_Last", N297)</f>
        <v>19124379.085000001</v>
      </c>
      <c r="AF297" s="15" t="str" cm="1">
        <f t="array" ref="AF297">_xll.BDS("GCA Comdty","FUT_CHAIN", "CHAIN_DATE",A297,"endrow=1")</f>
        <v>GCG24 Comdty</v>
      </c>
      <c r="AG297" s="44" cm="1">
        <f t="array" ref="AG297">_xll.BDH(AF297,"FUT_AGGTE_OPEN_INT",A297)</f>
        <v>430036</v>
      </c>
      <c r="AH297" s="44">
        <f t="shared" si="155"/>
        <v>43003600</v>
      </c>
      <c r="AI297" s="48">
        <f t="shared" si="156"/>
        <v>0.44471576995879419</v>
      </c>
      <c r="AJ297" s="45"/>
      <c r="AK297" s="44" cm="1">
        <f t="array" ref="AK297">_xll.BDH("COMXSILV Comdty","PX_Last", N297)</f>
        <v>274931.84000000003</v>
      </c>
      <c r="AL297" s="15" t="str" cm="1">
        <f t="array" ref="AL297">_xll.BDS("SIA Comdty","FUT_CHAIN", "CHAIN_DATE",A297,"endrow=1")</f>
        <v>SIG24 Comdty</v>
      </c>
      <c r="AM297" s="47" cm="1">
        <f t="array" ref="AM297">_xll.BDH(AL297,"FUT_AGGTE_OPEN_INT",A297)</f>
        <v>137141</v>
      </c>
      <c r="AN297" s="45">
        <f t="shared" si="157"/>
        <v>400.94769616671897</v>
      </c>
      <c r="AO297" s="46">
        <f t="shared" si="158"/>
        <v>27493184000.000004</v>
      </c>
      <c r="AP297" s="46">
        <f t="shared" si="159"/>
        <v>685705</v>
      </c>
      <c r="AQ297" s="46"/>
    </row>
    <row r="298" spans="1:43" x14ac:dyDescent="0.2">
      <c r="A298" s="24">
        <v>45324</v>
      </c>
      <c r="B298" s="25" cm="1">
        <f t="array" ref="B298">_xll.BADDPERIODS(A298, "PER=WD", "NUMBEROFPERIODS=2", "BUSDAYADJ=-2", "CDR=GQ", "CDR=P9")</f>
        <v>45328</v>
      </c>
      <c r="C298" s="26" cm="1">
        <f t="array" ref="C298">_xll.BDH("XAU Curncy","PX_LAST",A298,A298)</f>
        <v>2039.76</v>
      </c>
      <c r="D298" s="26" t="str" cm="1">
        <f t="array" ref="D298">_xll.BDP("GCJ24 Comdty",$M$32)</f>
        <v>01/04/2024</v>
      </c>
      <c r="E298" s="26">
        <f t="shared" ref="E298:E303" si="160">_xlfn.DAYS(D298,B298)</f>
        <v>55</v>
      </c>
      <c r="F298" s="23">
        <v>5.3499999999999999E-2</v>
      </c>
      <c r="G298" s="28">
        <f t="shared" si="147"/>
        <v>16.672204999999998</v>
      </c>
      <c r="H298" s="12">
        <v>16.8</v>
      </c>
      <c r="I298" s="34">
        <f t="shared" si="148"/>
        <v>0.12779500000000255</v>
      </c>
      <c r="J298" s="26">
        <v>4</v>
      </c>
      <c r="K298" s="26">
        <v>6</v>
      </c>
      <c r="L298" s="26">
        <v>8</v>
      </c>
      <c r="N298" s="24">
        <v>45324</v>
      </c>
      <c r="O298" s="16" cm="1">
        <f t="array" ref="O298">_xll.BADDPERIODS(N298, "PER=WD", "NUMBEROFPERIODS=2", "BUSDAYADJ=-2", "CDR=GQ", "CDR=P9")</f>
        <v>45328</v>
      </c>
      <c r="P298" s="15" cm="1">
        <f t="array" ref="P298">_xll.BDH("XAG Curncy","PX_LAST",N298,N298)</f>
        <v>22.690999999999999</v>
      </c>
      <c r="Q298" s="15" t="str" cm="1">
        <f t="array" ref="Q298">_xll.BDP("SIH24 Comdty",$M$32)</f>
        <v>01/03/2024</v>
      </c>
      <c r="R298" s="15">
        <f t="shared" ref="R298:R311" si="161">_xlfn.DAYS(Q298,O298)</f>
        <v>24</v>
      </c>
      <c r="S298" s="23">
        <v>5.6000000000000001E-2</v>
      </c>
      <c r="T298" s="21">
        <f t="shared" si="150"/>
        <v>8.471306666666667E-2</v>
      </c>
      <c r="U298" s="12">
        <v>9.5000000000000001E-2</v>
      </c>
      <c r="V298" s="35">
        <f t="shared" si="151"/>
        <v>1.028693333333333</v>
      </c>
      <c r="W298" s="15">
        <v>15</v>
      </c>
      <c r="X298" s="15">
        <v>20</v>
      </c>
      <c r="Y298" s="15">
        <v>25</v>
      </c>
      <c r="Z298" s="18">
        <f t="shared" si="152"/>
        <v>8.471306666666667</v>
      </c>
      <c r="AA298" s="18">
        <f t="shared" si="153"/>
        <v>9.5</v>
      </c>
      <c r="AB298" s="18">
        <f t="shared" si="154"/>
        <v>1.028693333333333</v>
      </c>
      <c r="AE298" s="44" cm="1">
        <f t="array" ref="AE298">_xll.BDH("COMXGOLD Comdty","PX_Last", N298)</f>
        <v>19071972.954999998</v>
      </c>
      <c r="AF298" s="15" t="str" cm="1">
        <f t="array" ref="AF298">_xll.BDS("GCA Comdty","FUT_CHAIN", "CHAIN_DATE",A298,"endrow=1")</f>
        <v>GCG24 Comdty</v>
      </c>
      <c r="AG298" s="44" cm="1">
        <f t="array" ref="AG298">_xll.BDH(AF298,"FUT_AGGTE_OPEN_INT",A298)</f>
        <v>419923</v>
      </c>
      <c r="AH298" s="44">
        <f t="shared" si="155"/>
        <v>41992300</v>
      </c>
      <c r="AI298" s="48">
        <f t="shared" si="156"/>
        <v>0.45417786010768635</v>
      </c>
      <c r="AJ298" s="45"/>
      <c r="AK298" s="44" cm="1">
        <f t="array" ref="AK298">_xll.BDH("COMXSILV Comdty","PX_Last", N298)</f>
        <v>274936.59000000003</v>
      </c>
      <c r="AL298" s="15" t="str" cm="1">
        <f t="array" ref="AL298">_xll.BDS("SIA Comdty","FUT_CHAIN", "CHAIN_DATE",A298,"endrow=1")</f>
        <v>SIG24 Comdty</v>
      </c>
      <c r="AM298" s="47" cm="1">
        <f t="array" ref="AM298">_xll.BDH(AL298,"FUT_AGGTE_OPEN_INT",A298)</f>
        <v>139548</v>
      </c>
      <c r="AN298" s="45">
        <f t="shared" si="157"/>
        <v>394.03873935850038</v>
      </c>
      <c r="AO298" s="46">
        <f t="shared" si="158"/>
        <v>27493659000.000004</v>
      </c>
      <c r="AP298" s="46">
        <f t="shared" si="159"/>
        <v>697740</v>
      </c>
      <c r="AQ298" s="46"/>
    </row>
    <row r="299" spans="1:43" x14ac:dyDescent="0.2">
      <c r="A299" s="24">
        <v>45327</v>
      </c>
      <c r="B299" s="25" cm="1">
        <f t="array" ref="B299">_xll.BADDPERIODS(A299, "PER=WD", "NUMBEROFPERIODS=2", "BUSDAYADJ=-2", "CDR=GQ", "CDR=P9")</f>
        <v>45329</v>
      </c>
      <c r="C299" s="26" cm="1">
        <f t="array" ref="C299">_xll.BDH("XAU Curncy","PX_LAST",A299,A299)</f>
        <v>2025.11</v>
      </c>
      <c r="D299" s="26" t="str" cm="1">
        <f t="array" ref="D299">_xll.BDP("GCJ24 Comdty",$M$32)</f>
        <v>01/04/2024</v>
      </c>
      <c r="E299" s="26">
        <f t="shared" si="160"/>
        <v>54</v>
      </c>
      <c r="F299" s="23">
        <v>5.2999999999999999E-2</v>
      </c>
      <c r="G299" s="28">
        <f t="shared" si="147"/>
        <v>16.099624499999997</v>
      </c>
      <c r="H299" s="12">
        <v>16.399999999999999</v>
      </c>
      <c r="I299" s="36">
        <f t="shared" si="148"/>
        <v>0.30037550000000124</v>
      </c>
      <c r="J299" s="26">
        <v>4</v>
      </c>
      <c r="K299" s="26">
        <v>6</v>
      </c>
      <c r="L299" s="26">
        <v>8</v>
      </c>
      <c r="N299" s="24">
        <v>45327</v>
      </c>
      <c r="O299" s="16" cm="1">
        <f t="array" ref="O299">_xll.BADDPERIODS(N299, "PER=WD", "NUMBEROFPERIODS=2", "BUSDAYADJ=-2", "CDR=GQ", "CDR=P9")</f>
        <v>45329</v>
      </c>
      <c r="P299" s="15" cm="1">
        <f t="array" ref="P299">_xll.BDH("XAG Curncy","PX_LAST",N299,N299)</f>
        <v>22.3535</v>
      </c>
      <c r="Q299" s="15" t="str" cm="1">
        <f t="array" ref="Q299">_xll.BDP("SIH24 Comdty",$M$32)</f>
        <v>01/03/2024</v>
      </c>
      <c r="R299" s="15">
        <f t="shared" si="161"/>
        <v>23</v>
      </c>
      <c r="S299" s="23">
        <v>5.5500000000000001E-2</v>
      </c>
      <c r="T299" s="21">
        <f t="shared" si="150"/>
        <v>7.9261785416666661E-2</v>
      </c>
      <c r="U299" s="12">
        <v>0.09</v>
      </c>
      <c r="V299" s="37">
        <f t="shared" si="151"/>
        <v>1.0738214583333336</v>
      </c>
      <c r="W299" s="15">
        <v>15</v>
      </c>
      <c r="X299" s="15">
        <v>20</v>
      </c>
      <c r="Y299" s="15">
        <v>25</v>
      </c>
      <c r="Z299" s="18">
        <f t="shared" si="152"/>
        <v>7.9261785416666664</v>
      </c>
      <c r="AA299" s="18">
        <f t="shared" si="153"/>
        <v>9</v>
      </c>
      <c r="AB299" s="18">
        <f t="shared" si="154"/>
        <v>1.0738214583333336</v>
      </c>
      <c r="AE299" s="44" cm="1">
        <f t="array" ref="AE299">_xll.BDH("COMXGOLD Comdty","PX_Last", N299)</f>
        <v>19071972.954999998</v>
      </c>
      <c r="AF299" s="15" t="str" cm="1">
        <f t="array" ref="AF299">_xll.BDS("GCA Comdty","FUT_CHAIN", "CHAIN_DATE",A299,"endrow=1")</f>
        <v>GCG24 Comdty</v>
      </c>
      <c r="AG299" s="44" cm="1">
        <f t="array" ref="AG299">_xll.BDH(AF299,"FUT_AGGTE_OPEN_INT",A299)</f>
        <v>418029</v>
      </c>
      <c r="AH299" s="44">
        <f t="shared" si="155"/>
        <v>41802900</v>
      </c>
      <c r="AI299" s="48">
        <f t="shared" si="156"/>
        <v>0.45623564286209806</v>
      </c>
      <c r="AJ299" s="45"/>
      <c r="AK299" s="44" cm="1">
        <f t="array" ref="AK299">_xll.BDH("COMXSILV Comdty","PX_Last", N299)</f>
        <v>275529.88</v>
      </c>
      <c r="AL299" s="15" t="str" cm="1">
        <f t="array" ref="AL299">_xll.BDS("SIA Comdty","FUT_CHAIN", "CHAIN_DATE",A299,"endrow=1")</f>
        <v>SIG24 Comdty</v>
      </c>
      <c r="AM299" s="47" cm="1">
        <f t="array" ref="AM299">_xll.BDH(AL299,"FUT_AGGTE_OPEN_INT",A299)</f>
        <v>144442</v>
      </c>
      <c r="AN299" s="45">
        <f t="shared" si="157"/>
        <v>381.50936708159679</v>
      </c>
      <c r="AO299" s="46">
        <f t="shared" si="158"/>
        <v>27552988000</v>
      </c>
      <c r="AP299" s="46">
        <f t="shared" si="159"/>
        <v>722210</v>
      </c>
      <c r="AQ299" s="46"/>
    </row>
    <row r="300" spans="1:43" x14ac:dyDescent="0.2">
      <c r="A300" s="24">
        <v>45328</v>
      </c>
      <c r="B300" s="25" cm="1">
        <f t="array" ref="B300">_xll.BADDPERIODS(A300, "PER=WD", "NUMBEROFPERIODS=2", "BUSDAYADJ=-2", "CDR=GQ", "CDR=P9")</f>
        <v>45330</v>
      </c>
      <c r="C300" s="26" cm="1">
        <f t="array" ref="C300">_xll.BDH("XAU Curncy","PX_LAST",A300,A300)</f>
        <v>2036.14</v>
      </c>
      <c r="D300" s="26" t="str" cm="1">
        <f t="array" ref="D300">_xll.BDP("GCJ24 Comdty",$M$32)</f>
        <v>01/04/2024</v>
      </c>
      <c r="E300" s="26">
        <f t="shared" si="160"/>
        <v>53</v>
      </c>
      <c r="F300" s="23">
        <v>5.2999999999999999E-2</v>
      </c>
      <c r="G300" s="28">
        <f t="shared" si="147"/>
        <v>15.887547944444446</v>
      </c>
      <c r="H300" s="12">
        <v>16.100000000000001</v>
      </c>
      <c r="I300" s="36">
        <f t="shared" si="148"/>
        <v>0.21245205555555557</v>
      </c>
      <c r="J300" s="26">
        <v>4</v>
      </c>
      <c r="K300" s="26">
        <v>6</v>
      </c>
      <c r="L300" s="26">
        <v>8</v>
      </c>
      <c r="N300" s="24">
        <v>45328</v>
      </c>
      <c r="O300" s="16" cm="1">
        <f t="array" ref="O300">_xll.BADDPERIODS(N300, "PER=WD", "NUMBEROFPERIODS=2", "BUSDAYADJ=-2", "CDR=GQ", "CDR=P9")</f>
        <v>45330</v>
      </c>
      <c r="P300" s="15" cm="1">
        <f t="array" ref="P300">_xll.BDH("XAG Curncy","PX_LAST",N300,N300)</f>
        <v>22.425599999999999</v>
      </c>
      <c r="Q300" s="15" t="str" cm="1">
        <f t="array" ref="Q300">_xll.BDP("SIH24 Comdty",$M$32)</f>
        <v>01/03/2024</v>
      </c>
      <c r="R300" s="15">
        <f t="shared" si="161"/>
        <v>22</v>
      </c>
      <c r="S300" s="23">
        <v>5.5500000000000001E-2</v>
      </c>
      <c r="T300" s="21">
        <f t="shared" si="150"/>
        <v>7.6060160000000002E-2</v>
      </c>
      <c r="U300" s="12">
        <v>8.6999999999999994E-2</v>
      </c>
      <c r="V300" s="37">
        <f t="shared" si="151"/>
        <v>1.0939839999999992</v>
      </c>
      <c r="W300" s="15">
        <v>15</v>
      </c>
      <c r="X300" s="15">
        <v>20</v>
      </c>
      <c r="Y300" s="15">
        <v>25</v>
      </c>
      <c r="Z300" s="18">
        <f t="shared" si="152"/>
        <v>7.6060160000000003</v>
      </c>
      <c r="AA300" s="18">
        <f t="shared" si="153"/>
        <v>8.6999999999999993</v>
      </c>
      <c r="AB300" s="18">
        <f t="shared" si="154"/>
        <v>1.0939839999999992</v>
      </c>
      <c r="AE300" s="44" cm="1">
        <f t="array" ref="AE300">_xll.BDH("COMXGOLD Comdty","PX_Last", N300)</f>
        <v>19071908.653000001</v>
      </c>
      <c r="AF300" s="15" t="str" cm="1">
        <f t="array" ref="AF300">_xll.BDS("GCA Comdty","FUT_CHAIN", "CHAIN_DATE",A300,"endrow=1")</f>
        <v>GCG24 Comdty</v>
      </c>
      <c r="AG300" s="44" cm="1">
        <f t="array" ref="AG300">_xll.BDH(AF300,"FUT_AGGTE_OPEN_INT",A300)</f>
        <v>419121</v>
      </c>
      <c r="AH300" s="44">
        <f t="shared" si="155"/>
        <v>41912100</v>
      </c>
      <c r="AI300" s="48">
        <f t="shared" si="156"/>
        <v>0.45504540819954142</v>
      </c>
      <c r="AJ300" s="45"/>
      <c r="AK300" s="44" cm="1">
        <f t="array" ref="AK300">_xll.BDH("COMXSILV Comdty","PX_Last", N300)</f>
        <v>275529.88</v>
      </c>
      <c r="AL300" s="15" t="str" cm="1">
        <f t="array" ref="AL300">_xll.BDS("SIA Comdty","FUT_CHAIN", "CHAIN_DATE",A300,"endrow=1")</f>
        <v>SIG24 Comdty</v>
      </c>
      <c r="AM300" s="47" cm="1">
        <f t="array" ref="AM300">_xll.BDH(AL300,"FUT_AGGTE_OPEN_INT",A300)</f>
        <v>147333</v>
      </c>
      <c r="AN300" s="45">
        <f t="shared" si="157"/>
        <v>374.02330774504014</v>
      </c>
      <c r="AO300" s="46">
        <f t="shared" si="158"/>
        <v>27552988000</v>
      </c>
      <c r="AP300" s="46">
        <f t="shared" si="159"/>
        <v>736665</v>
      </c>
      <c r="AQ300" s="46"/>
    </row>
    <row r="301" spans="1:43" x14ac:dyDescent="0.2">
      <c r="A301" s="24">
        <v>45329</v>
      </c>
      <c r="B301" s="25" cm="1">
        <f t="array" ref="B301">_xll.BADDPERIODS(A301, "PER=WD", "NUMBEROFPERIODS=2", "BUSDAYADJ=-2", "CDR=GQ", "CDR=P9")</f>
        <v>45331</v>
      </c>
      <c r="C301" s="26" cm="1">
        <f t="array" ref="C301">_xll.BDH("XAU Curncy","PX_LAST",A301,A301)</f>
        <v>2035.36</v>
      </c>
      <c r="D301" s="26" t="str" cm="1">
        <f t="array" ref="D301">_xll.BDP("GCJ24 Comdty",$M$32)</f>
        <v>01/04/2024</v>
      </c>
      <c r="E301" s="26">
        <f t="shared" si="160"/>
        <v>52</v>
      </c>
      <c r="F301" s="23">
        <v>5.2999999999999999E-2</v>
      </c>
      <c r="G301" s="28">
        <f t="shared" si="147"/>
        <v>15.581811555555554</v>
      </c>
      <c r="H301" s="12">
        <v>16.05</v>
      </c>
      <c r="I301" s="36">
        <f t="shared" si="148"/>
        <v>0.46818844444444707</v>
      </c>
      <c r="J301" s="26">
        <v>4</v>
      </c>
      <c r="K301" s="26">
        <v>6</v>
      </c>
      <c r="L301" s="26">
        <v>8</v>
      </c>
      <c r="N301" s="24">
        <v>45329</v>
      </c>
      <c r="O301" s="16" cm="1">
        <f t="array" ref="O301">_xll.BADDPERIODS(N301, "PER=WD", "NUMBEROFPERIODS=2", "BUSDAYADJ=-2", "CDR=GQ", "CDR=P9")</f>
        <v>45331</v>
      </c>
      <c r="P301" s="15" cm="1">
        <f t="array" ref="P301">_xll.BDH("XAG Curncy","PX_LAST",N301,N301)</f>
        <v>22.219899999999999</v>
      </c>
      <c r="Q301" s="15" t="str" cm="1">
        <f t="array" ref="Q301">_xll.BDP("SIH24 Comdty",$M$32)</f>
        <v>01/03/2024</v>
      </c>
      <c r="R301" s="15">
        <f t="shared" si="161"/>
        <v>21</v>
      </c>
      <c r="S301" s="23">
        <v>5.5E-2</v>
      </c>
      <c r="T301" s="21">
        <f t="shared" si="150"/>
        <v>7.1288845833333322E-2</v>
      </c>
      <c r="U301" s="12">
        <v>8.2500000000000004E-2</v>
      </c>
      <c r="V301" s="37">
        <f t="shared" si="151"/>
        <v>1.1211154166666681</v>
      </c>
      <c r="W301" s="15">
        <v>15</v>
      </c>
      <c r="X301" s="15">
        <v>20</v>
      </c>
      <c r="Y301" s="15">
        <v>25</v>
      </c>
      <c r="Z301" s="18">
        <f t="shared" si="152"/>
        <v>7.1288845833333321</v>
      </c>
      <c r="AA301" s="18">
        <f t="shared" si="153"/>
        <v>8.25</v>
      </c>
      <c r="AB301" s="18">
        <f t="shared" si="154"/>
        <v>1.1211154166666681</v>
      </c>
      <c r="AE301" s="44" cm="1">
        <f t="array" ref="AE301">_xll.BDH("COMXGOLD Comdty","PX_Last", N301)</f>
        <v>19038641.594000001</v>
      </c>
      <c r="AF301" s="15" t="str" cm="1">
        <f t="array" ref="AF301">_xll.BDS("GCA Comdty","FUT_CHAIN", "CHAIN_DATE",A301,"endrow=1")</f>
        <v>GCG24 Comdty</v>
      </c>
      <c r="AG301" s="44" cm="1">
        <f t="array" ref="AG301">_xll.BDH(AF301,"FUT_AGGTE_OPEN_INT",A301)</f>
        <v>421429</v>
      </c>
      <c r="AH301" s="44">
        <f t="shared" si="155"/>
        <v>42142900</v>
      </c>
      <c r="AI301" s="48">
        <f t="shared" si="156"/>
        <v>0.45176391738584676</v>
      </c>
      <c r="AJ301" s="45"/>
      <c r="AK301" s="44" cm="1">
        <f t="array" ref="AK301">_xll.BDH("COMXSILV Comdty","PX_Last", N301)</f>
        <v>274633.63</v>
      </c>
      <c r="AL301" s="15" t="str" cm="1">
        <f t="array" ref="AL301">_xll.BDS("SIA Comdty","FUT_CHAIN", "CHAIN_DATE",A301,"endrow=1")</f>
        <v>SIG24 Comdty</v>
      </c>
      <c r="AM301" s="47" cm="1">
        <f t="array" ref="AM301">_xll.BDH(AL301,"FUT_AGGTE_OPEN_INT",A301)</f>
        <v>148564</v>
      </c>
      <c r="AN301" s="45">
        <f t="shared" si="157"/>
        <v>369.71760318785169</v>
      </c>
      <c r="AO301" s="46">
        <f t="shared" si="158"/>
        <v>27463363000</v>
      </c>
      <c r="AP301" s="46">
        <f t="shared" si="159"/>
        <v>742820</v>
      </c>
      <c r="AQ301" s="46"/>
    </row>
    <row r="302" spans="1:43" x14ac:dyDescent="0.2">
      <c r="A302" s="24">
        <v>45330</v>
      </c>
      <c r="B302" s="25" cm="1">
        <f t="array" ref="B302">_xll.BADDPERIODS(A302, "PER=WD", "NUMBEROFPERIODS=2", "BUSDAYADJ=-2", "CDR=GQ", "CDR=P9")</f>
        <v>45334</v>
      </c>
      <c r="C302" s="26" cm="1">
        <f t="array" ref="C302">_xll.BDH("XAU Curncy","PX_LAST",A302,A302)</f>
        <v>2034.52</v>
      </c>
      <c r="D302" s="26" t="str" cm="1">
        <f t="array" ref="D302">_xll.BDP("GCJ24 Comdty",$M$32)</f>
        <v>01/04/2024</v>
      </c>
      <c r="E302" s="26">
        <f t="shared" si="160"/>
        <v>49</v>
      </c>
      <c r="F302" s="23">
        <v>5.2999999999999999E-2</v>
      </c>
      <c r="G302" s="28">
        <f t="shared" si="147"/>
        <v>14.67680122222222</v>
      </c>
      <c r="H302" s="12">
        <v>14.9</v>
      </c>
      <c r="I302" s="36">
        <f t="shared" si="148"/>
        <v>0.22319877777777997</v>
      </c>
      <c r="J302" s="26">
        <v>4</v>
      </c>
      <c r="K302" s="26">
        <v>6</v>
      </c>
      <c r="L302" s="26">
        <v>8</v>
      </c>
      <c r="N302" s="24">
        <v>45330</v>
      </c>
      <c r="O302" s="16" cm="1">
        <f t="array" ref="O302">_xll.BADDPERIODS(N302, "PER=WD", "NUMBEROFPERIODS=2", "BUSDAYADJ=-2", "CDR=GQ", "CDR=P9")</f>
        <v>45334</v>
      </c>
      <c r="P302" s="15" cm="1">
        <f t="array" ref="P302">_xll.BDH("XAG Curncy","PX_LAST",N302,N302)</f>
        <v>22.584499999999998</v>
      </c>
      <c r="Q302" s="15" t="str" cm="1">
        <f t="array" ref="Q302">_xll.BDP("SIH24 Comdty",$M$32)</f>
        <v>01/03/2024</v>
      </c>
      <c r="R302" s="15">
        <f t="shared" si="161"/>
        <v>18</v>
      </c>
      <c r="S302" s="23">
        <v>5.5E-2</v>
      </c>
      <c r="T302" s="21">
        <f t="shared" si="150"/>
        <v>6.2107374999999999E-2</v>
      </c>
      <c r="U302" s="12">
        <v>7.0000000000000007E-2</v>
      </c>
      <c r="V302" s="37">
        <f t="shared" si="151"/>
        <v>0.78926250000000076</v>
      </c>
      <c r="W302" s="15">
        <v>15</v>
      </c>
      <c r="X302" s="15">
        <v>20</v>
      </c>
      <c r="Y302" s="15">
        <v>25</v>
      </c>
      <c r="Z302" s="18">
        <f t="shared" si="152"/>
        <v>6.2107374999999996</v>
      </c>
      <c r="AA302" s="18">
        <f t="shared" si="153"/>
        <v>7.0000000000000009</v>
      </c>
      <c r="AB302" s="18">
        <f t="shared" si="154"/>
        <v>0.78926250000000076</v>
      </c>
      <c r="AE302" s="44" cm="1">
        <f t="array" ref="AE302">_xll.BDH("COMXGOLD Comdty","PX_Last", N302)</f>
        <v>19030314.484999999</v>
      </c>
      <c r="AF302" s="15" t="str" cm="1">
        <f t="array" ref="AF302">_xll.BDS("GCA Comdty","FUT_CHAIN", "CHAIN_DATE",A302,"endrow=1")</f>
        <v>GCG24 Comdty</v>
      </c>
      <c r="AG302" s="44" cm="1">
        <f t="array" ref="AG302">_xll.BDH(AF302,"FUT_AGGTE_OPEN_INT",A302)</f>
        <v>420398</v>
      </c>
      <c r="AH302" s="44">
        <f t="shared" si="155"/>
        <v>42039800</v>
      </c>
      <c r="AI302" s="48">
        <f t="shared" si="156"/>
        <v>0.45267376355263345</v>
      </c>
      <c r="AJ302" s="45"/>
      <c r="AK302" s="44" cm="1">
        <f t="array" ref="AK302">_xll.BDH("COMXSILV Comdty","PX_Last", N302)</f>
        <v>273015.63</v>
      </c>
      <c r="AL302" s="15" t="str" cm="1">
        <f t="array" ref="AL302">_xll.BDS("SIA Comdty","FUT_CHAIN", "CHAIN_DATE",A302,"endrow=1")</f>
        <v>SIG24 Comdty</v>
      </c>
      <c r="AM302" s="47" cm="1">
        <f t="array" ref="AM302">_xll.BDH(AL302,"FUT_AGGTE_OPEN_INT",A302)</f>
        <v>148280</v>
      </c>
      <c r="AN302" s="45">
        <f t="shared" si="157"/>
        <v>368.24336390612353</v>
      </c>
      <c r="AO302" s="46">
        <f t="shared" si="158"/>
        <v>27301563000</v>
      </c>
      <c r="AP302" s="46">
        <f t="shared" si="159"/>
        <v>741400</v>
      </c>
      <c r="AQ302" s="46"/>
    </row>
    <row r="303" spans="1:43" x14ac:dyDescent="0.2">
      <c r="A303" s="24">
        <v>45331</v>
      </c>
      <c r="B303" s="25" cm="1">
        <f t="array" ref="B303">_xll.BADDPERIODS(A303, "PER=WD", "NUMBEROFPERIODS=2", "BUSDAYADJ=-2", "CDR=GQ", "CDR=P9")</f>
        <v>45335</v>
      </c>
      <c r="C303" s="26" cm="1">
        <f t="array" ref="C303">_xll.BDH("XAU Curncy","PX_LAST",A303,A303)</f>
        <v>2024.26</v>
      </c>
      <c r="D303" s="26" t="str" cm="1">
        <f t="array" ref="D303">_xll.BDP("GCJ24 Comdty",$M$32)</f>
        <v>01/04/2024</v>
      </c>
      <c r="E303" s="26">
        <f t="shared" si="160"/>
        <v>48</v>
      </c>
      <c r="F303" s="23">
        <v>5.2999999999999999E-2</v>
      </c>
      <c r="G303" s="28">
        <f t="shared" si="147"/>
        <v>14.304770666666668</v>
      </c>
      <c r="H303" s="12">
        <v>14.6</v>
      </c>
      <c r="I303" s="36">
        <f t="shared" si="148"/>
        <v>0.29522933333333157</v>
      </c>
      <c r="J303" s="26">
        <v>4</v>
      </c>
      <c r="K303" s="26">
        <v>6</v>
      </c>
      <c r="L303" s="26">
        <v>8</v>
      </c>
      <c r="N303" s="24">
        <v>45331</v>
      </c>
      <c r="O303" s="16" cm="1">
        <f t="array" ref="O303">_xll.BADDPERIODS(N303, "PER=WD", "NUMBEROFPERIODS=2", "BUSDAYADJ=-2", "CDR=GQ", "CDR=P9")</f>
        <v>45335</v>
      </c>
      <c r="P303" s="15" cm="1">
        <f t="array" ref="P303">_xll.BDH("XAG Curncy","PX_LAST",N303,N303)</f>
        <v>22.6142</v>
      </c>
      <c r="Q303" s="15" t="str" cm="1">
        <f t="array" ref="Q303">_xll.BDP("SIH24 Comdty",$M$32)</f>
        <v>01/03/2024</v>
      </c>
      <c r="R303" s="15">
        <f t="shared" si="161"/>
        <v>17</v>
      </c>
      <c r="S303" s="23">
        <v>5.5E-2</v>
      </c>
      <c r="T303" s="21">
        <f t="shared" si="150"/>
        <v>5.8734102777777776E-2</v>
      </c>
      <c r="U303" s="12">
        <v>7.0000000000000007E-2</v>
      </c>
      <c r="V303" s="37">
        <f t="shared" si="151"/>
        <v>1.126589722222223</v>
      </c>
      <c r="W303" s="15">
        <v>15</v>
      </c>
      <c r="X303" s="15">
        <v>20</v>
      </c>
      <c r="Y303" s="15">
        <v>25</v>
      </c>
      <c r="Z303" s="18">
        <f t="shared" si="152"/>
        <v>5.8734102777777775</v>
      </c>
      <c r="AA303" s="18">
        <f t="shared" si="153"/>
        <v>7.0000000000000009</v>
      </c>
      <c r="AB303" s="18">
        <f t="shared" si="154"/>
        <v>1.126589722222223</v>
      </c>
      <c r="AE303" s="44" cm="1">
        <f t="array" ref="AE303">_xll.BDH("COMXGOLD Comdty","PX_Last", N303)</f>
        <v>18999449.783</v>
      </c>
      <c r="AF303" s="15" t="str" cm="1">
        <f t="array" ref="AF303">_xll.BDS("GCA Comdty","FUT_CHAIN", "CHAIN_DATE",A303,"endrow=1")</f>
        <v>GCG24 Comdty</v>
      </c>
      <c r="AG303" s="44" cm="1">
        <f t="array" ref="AG303">_xll.BDH(AF303,"FUT_AGGTE_OPEN_INT",A303)</f>
        <v>417607</v>
      </c>
      <c r="AH303" s="44">
        <f t="shared" si="155"/>
        <v>41760700</v>
      </c>
      <c r="AI303" s="48">
        <f t="shared" si="156"/>
        <v>0.45496004097153542</v>
      </c>
      <c r="AJ303" s="45"/>
      <c r="AK303" s="44" cm="1">
        <f t="array" ref="AK303">_xll.BDH("COMXSILV Comdty","PX_Last", N303)</f>
        <v>274596.90999999997</v>
      </c>
      <c r="AL303" s="15" t="str" cm="1">
        <f t="array" ref="AL303">_xll.BDS("SIA Comdty","FUT_CHAIN", "CHAIN_DATE",A303,"endrow=1")</f>
        <v>SIG24 Comdty</v>
      </c>
      <c r="AM303" s="47" cm="1">
        <f t="array" ref="AM303">_xll.BDH(AL303,"FUT_AGGTE_OPEN_INT",A303)</f>
        <v>147002</v>
      </c>
      <c r="AN303" s="45">
        <f t="shared" si="157"/>
        <v>373.59615515435161</v>
      </c>
      <c r="AO303" s="46">
        <f t="shared" si="158"/>
        <v>27459690999.999996</v>
      </c>
      <c r="AP303" s="46">
        <f t="shared" si="159"/>
        <v>735010</v>
      </c>
      <c r="AQ303" s="46"/>
    </row>
    <row r="304" spans="1:43" x14ac:dyDescent="0.2">
      <c r="A304" s="24">
        <v>45334</v>
      </c>
      <c r="B304" s="16" cm="1">
        <f t="array" ref="B304">_xll.BADDPERIODS(A304, "PER=WD", "NUMBEROFPERIODS=2", "BUSDAYADJ=-2", "CDR=GQ", "CDR=P9")</f>
        <v>45336</v>
      </c>
      <c r="C304" s="15" cm="1">
        <f t="array" ref="C304">_xll.BDH("XAU Curncy","PX_LAST",A304,A304)</f>
        <v>2020.05</v>
      </c>
      <c r="D304" s="26" t="str" cm="1">
        <f t="array" ref="D304">_xll.BDP("GCJ24 Comdty",$M$32)</f>
        <v>01/04/2024</v>
      </c>
      <c r="E304" s="15">
        <f>_xlfn.DAYS(D304,B304)</f>
        <v>47</v>
      </c>
      <c r="F304" s="23">
        <v>5.3499999999999999E-2</v>
      </c>
      <c r="G304" s="28">
        <f t="shared" si="147"/>
        <v>14.109488124999999</v>
      </c>
      <c r="H304" s="12">
        <v>13.5</v>
      </c>
      <c r="I304" s="38">
        <f t="shared" si="148"/>
        <v>-0.6094881249999986</v>
      </c>
      <c r="J304" s="26">
        <v>4</v>
      </c>
      <c r="K304" s="26">
        <v>6</v>
      </c>
      <c r="L304" s="26">
        <v>8</v>
      </c>
      <c r="N304" s="24">
        <v>45334</v>
      </c>
      <c r="O304" s="16" cm="1">
        <f t="array" ref="O304">_xll.BADDPERIODS(N304, "PER=WD", "NUMBEROFPERIODS=2", "BUSDAYADJ=-2", "CDR=GQ", "CDR=P9")</f>
        <v>45336</v>
      </c>
      <c r="P304" s="15" cm="1">
        <f t="array" ref="P304">_xll.BDH("XAG Curncy","PX_LAST",N304,N304)</f>
        <v>22.699200000000001</v>
      </c>
      <c r="Q304" s="15" t="str" cm="1">
        <f t="array" ref="Q304">_xll.BDP("SIH24 Comdty",$M$32)</f>
        <v>01/03/2024</v>
      </c>
      <c r="R304" s="15">
        <f t="shared" si="161"/>
        <v>16</v>
      </c>
      <c r="S304" s="23">
        <v>5.3499999999999999E-2</v>
      </c>
      <c r="T304" s="21">
        <f t="shared" si="150"/>
        <v>5.3973653333333337E-2</v>
      </c>
      <c r="U304" s="12">
        <v>4.4999999999999998E-2</v>
      </c>
      <c r="V304" s="39">
        <f t="shared" si="151"/>
        <v>-0.89736533333333379</v>
      </c>
      <c r="W304" s="15">
        <v>15</v>
      </c>
      <c r="X304" s="15">
        <v>20</v>
      </c>
      <c r="Y304" s="15">
        <v>25</v>
      </c>
      <c r="Z304" s="18">
        <f t="shared" si="152"/>
        <v>5.397365333333334</v>
      </c>
      <c r="AA304" s="18">
        <f t="shared" si="153"/>
        <v>4.5</v>
      </c>
      <c r="AB304" s="18">
        <f t="shared" si="154"/>
        <v>-0.89736533333333379</v>
      </c>
      <c r="AE304" s="44" cm="1">
        <f t="array" ref="AE304">_xll.BDH("COMXGOLD Comdty","PX_Last", N304)</f>
        <v>18686635.241</v>
      </c>
      <c r="AF304" s="15" t="str" cm="1">
        <f t="array" ref="AF304">_xll.BDS("GCA Comdty","FUT_CHAIN", "CHAIN_DATE",A304,"endrow=1")</f>
        <v>GCG24 Comdty</v>
      </c>
      <c r="AG304" s="44" cm="1">
        <f t="array" ref="AG304">_xll.BDH(AF304,"FUT_AGGTE_OPEN_INT",A304)</f>
        <v>417298</v>
      </c>
      <c r="AH304" s="44">
        <f t="shared" si="155"/>
        <v>41729800</v>
      </c>
      <c r="AI304" s="48">
        <f t="shared" si="156"/>
        <v>0.44780073810562238</v>
      </c>
      <c r="AJ304" s="45"/>
      <c r="AK304" s="44" cm="1">
        <f t="array" ref="AK304">_xll.BDH("COMXSILV Comdty","PX_Last", N304)</f>
        <v>274579.09000000003</v>
      </c>
      <c r="AL304" s="15" t="str" cm="1">
        <f t="array" ref="AL304">_xll.BDS("SIA Comdty","FUT_CHAIN", "CHAIN_DATE",A304,"endrow=1")</f>
        <v>SIG24 Comdty</v>
      </c>
      <c r="AM304" s="47" cm="1">
        <f t="array" ref="AM304">_xll.BDH(AL304,"FUT_AGGTE_OPEN_INT",A304)</f>
        <v>146762</v>
      </c>
      <c r="AN304" s="45">
        <f t="shared" si="157"/>
        <v>374.18281298973852</v>
      </c>
      <c r="AO304" s="46">
        <f t="shared" si="158"/>
        <v>27457909000.000004</v>
      </c>
      <c r="AP304" s="46">
        <f t="shared" si="159"/>
        <v>733810</v>
      </c>
      <c r="AQ304" s="46"/>
    </row>
    <row r="305" spans="1:43" x14ac:dyDescent="0.2">
      <c r="A305" s="24">
        <v>45335</v>
      </c>
      <c r="B305" s="16" cm="1">
        <f t="array" ref="B305">_xll.BADDPERIODS(A305, "PER=WD", "NUMBEROFPERIODS=2", "BUSDAYADJ=-2", "CDR=GQ", "CDR=P9")</f>
        <v>45337</v>
      </c>
      <c r="C305" s="15" cm="1">
        <f t="array" ref="C305">_xll.BDH("XAU Curncy","PX_LAST",A305,A305)</f>
        <v>1993.15</v>
      </c>
      <c r="D305" s="26" t="str" cm="1">
        <f t="array" ref="D305">_xll.BDP("GCJ24 Comdty",$M$32)</f>
        <v>01/04/2024</v>
      </c>
      <c r="E305" s="15">
        <f>_xlfn.DAYS(D305,B305)</f>
        <v>46</v>
      </c>
      <c r="F305" s="23">
        <v>5.3499999999999999E-2</v>
      </c>
      <c r="G305" s="28">
        <f t="shared" si="147"/>
        <v>13.625394861111111</v>
      </c>
      <c r="H305" s="12">
        <v>12.8</v>
      </c>
      <c r="I305" s="38">
        <f t="shared" si="148"/>
        <v>-0.8253948611111106</v>
      </c>
      <c r="J305" s="26">
        <v>4</v>
      </c>
      <c r="K305" s="26">
        <v>6</v>
      </c>
      <c r="L305" s="26">
        <v>8</v>
      </c>
      <c r="N305" s="24">
        <v>45335</v>
      </c>
      <c r="O305" s="16" cm="1">
        <f t="array" ref="O305">_xll.BADDPERIODS(N305, "PER=WD", "NUMBEROFPERIODS=2", "BUSDAYADJ=-2", "CDR=GQ", "CDR=P9")</f>
        <v>45337</v>
      </c>
      <c r="P305" s="15" cm="1">
        <f t="array" ref="P305">_xll.BDH("XAG Curncy","PX_LAST",N305,N305)</f>
        <v>22.119499999999999</v>
      </c>
      <c r="Q305" s="15" t="str" cm="1">
        <f t="array" ref="Q305">_xll.BDP("SIH24 Comdty",$M$32)</f>
        <v>01/03/2024</v>
      </c>
      <c r="R305" s="15">
        <f t="shared" si="161"/>
        <v>15</v>
      </c>
      <c r="S305" s="23">
        <v>5.3499999999999999E-2</v>
      </c>
      <c r="T305" s="21">
        <f t="shared" si="150"/>
        <v>4.9308052083333331E-2</v>
      </c>
      <c r="U305" s="12">
        <v>3.5000000000000003E-2</v>
      </c>
      <c r="V305" s="39">
        <f t="shared" si="151"/>
        <v>-1.4308052083333327</v>
      </c>
      <c r="W305" s="15">
        <v>15</v>
      </c>
      <c r="X305" s="15">
        <v>20</v>
      </c>
      <c r="Y305" s="15">
        <v>25</v>
      </c>
      <c r="Z305" s="18">
        <f t="shared" si="152"/>
        <v>4.9308052083333331</v>
      </c>
      <c r="AA305" s="18">
        <f t="shared" ref="AA305:AA336" si="162">U305*100</f>
        <v>3.5000000000000004</v>
      </c>
      <c r="AB305" s="18">
        <f t="shared" ref="AB305:AB336" si="163">V305</f>
        <v>-1.4308052083333327</v>
      </c>
      <c r="AE305" s="44" cm="1">
        <f t="array" ref="AE305">_xll.BDH("COMXGOLD Comdty","PX_Last", N305)</f>
        <v>18470836.934</v>
      </c>
      <c r="AF305" s="15" t="str" cm="1">
        <f t="array" ref="AF305">_xll.BDS("GCA Comdty","FUT_CHAIN", "CHAIN_DATE",A305,"endrow=1")</f>
        <v>GCG24 Comdty</v>
      </c>
      <c r="AG305" s="44" cm="1">
        <f t="array" ref="AG305">_xll.BDH(AF305,"FUT_AGGTE_OPEN_INT",A305)</f>
        <v>420812</v>
      </c>
      <c r="AH305" s="44">
        <f t="shared" si="155"/>
        <v>42081200</v>
      </c>
      <c r="AI305" s="48">
        <f t="shared" si="156"/>
        <v>0.43893322752202885</v>
      </c>
      <c r="AJ305" s="45"/>
      <c r="AK305" s="44" cm="1">
        <f t="array" ref="AK305">_xll.BDH("COMXSILV Comdty","PX_Last", N305)</f>
        <v>276259.46999999997</v>
      </c>
      <c r="AL305" s="15" t="str" cm="1">
        <f t="array" ref="AL305">_xll.BDS("SIA Comdty","FUT_CHAIN", "CHAIN_DATE",A305,"endrow=1")</f>
        <v>SIG24 Comdty</v>
      </c>
      <c r="AM305" s="47" cm="1">
        <f t="array" ref="AM305">_xll.BDH(AL305,"FUT_AGGTE_OPEN_INT",A305)</f>
        <v>152544</v>
      </c>
      <c r="AN305" s="45">
        <f t="shared" si="157"/>
        <v>362.20299716803015</v>
      </c>
      <c r="AO305" s="46">
        <f t="shared" si="158"/>
        <v>27625946999.999996</v>
      </c>
      <c r="AP305" s="46">
        <f t="shared" si="159"/>
        <v>762720</v>
      </c>
      <c r="AQ305" s="46"/>
    </row>
    <row r="306" spans="1:43" x14ac:dyDescent="0.2">
      <c r="A306" s="24">
        <v>45336</v>
      </c>
      <c r="B306" s="16" cm="1">
        <f t="array" ref="B306">_xll.BADDPERIODS(A306, "PER=WD", "NUMBEROFPERIODS=2", "BUSDAYADJ=-2", "CDR=GQ", "CDR=P9")</f>
        <v>45338</v>
      </c>
      <c r="C306" s="15" cm="1">
        <f t="array" ref="C306">_xll.BDH("XAU Curncy","PX_LAST",A306,A306)</f>
        <v>1992.33</v>
      </c>
      <c r="D306" s="26" t="str" cm="1">
        <f t="array" ref="D306">_xll.BDP("GCJ24 Comdty",$M$32)</f>
        <v>01/04/2024</v>
      </c>
      <c r="E306" s="15">
        <f>_xlfn.DAYS(D306,B306)</f>
        <v>45</v>
      </c>
      <c r="F306" s="23">
        <v>5.3499999999999999E-2</v>
      </c>
      <c r="G306" s="28">
        <v>12.7</v>
      </c>
      <c r="H306" s="12">
        <v>11.6</v>
      </c>
      <c r="I306" s="38">
        <f t="shared" si="148"/>
        <v>-1.0999999999999996</v>
      </c>
      <c r="J306" s="26">
        <v>4</v>
      </c>
      <c r="K306" s="26">
        <v>6</v>
      </c>
      <c r="L306" s="26">
        <v>8</v>
      </c>
      <c r="N306" s="24">
        <v>45336</v>
      </c>
      <c r="O306" s="16" cm="1">
        <f t="array" ref="O306">_xll.BADDPERIODS(N306, "PER=WD", "NUMBEROFPERIODS=2", "BUSDAYADJ=-2", "CDR=GQ", "CDR=P9")</f>
        <v>45338</v>
      </c>
      <c r="P306" s="15" cm="1">
        <f t="array" ref="P306">_xll.BDH("XAG Curncy","PX_LAST",N306,N306)</f>
        <v>22.372</v>
      </c>
      <c r="Q306" s="15" t="str" cm="1">
        <f t="array" ref="Q306">_xll.BDP("SIH24 Comdty",$M$32)</f>
        <v>01/03/2024</v>
      </c>
      <c r="R306" s="15">
        <f t="shared" si="161"/>
        <v>14</v>
      </c>
      <c r="S306" s="23">
        <v>5.2999999999999999E-2</v>
      </c>
      <c r="T306" s="21">
        <f t="shared" si="150"/>
        <v>4.6111177777777776E-2</v>
      </c>
      <c r="U306" s="12">
        <v>0.04</v>
      </c>
      <c r="V306" s="39">
        <f t="shared" si="151"/>
        <v>-0.61111777777777754</v>
      </c>
      <c r="W306" s="15">
        <v>15</v>
      </c>
      <c r="X306" s="15">
        <v>20</v>
      </c>
      <c r="Y306" s="15">
        <v>25</v>
      </c>
      <c r="Z306" s="18">
        <f t="shared" si="152"/>
        <v>4.6111177777777774</v>
      </c>
      <c r="AA306" s="18">
        <f t="shared" si="162"/>
        <v>4</v>
      </c>
      <c r="AB306" s="18">
        <f t="shared" si="163"/>
        <v>-0.61111777777777754</v>
      </c>
      <c r="AE306" s="44" cm="1">
        <f t="array" ref="AE306">_xll.BDH("COMXGOLD Comdty","PX_Last", N306)</f>
        <v>18470836.934</v>
      </c>
      <c r="AF306" s="15" t="str" cm="1">
        <f t="array" ref="AF306">_xll.BDS("GCA Comdty","FUT_CHAIN", "CHAIN_DATE",A306,"endrow=1")</f>
        <v>GCG24 Comdty</v>
      </c>
      <c r="AG306" s="44" cm="1">
        <f t="array" ref="AG306">_xll.BDH(AF306,"FUT_AGGTE_OPEN_INT",A306)</f>
        <v>419172</v>
      </c>
      <c r="AH306" s="44">
        <f t="shared" si="155"/>
        <v>41917200</v>
      </c>
      <c r="AI306" s="48">
        <f t="shared" si="156"/>
        <v>0.4406505428320594</v>
      </c>
      <c r="AJ306" s="45"/>
      <c r="AK306" s="44" cm="1">
        <f t="array" ref="AK306">_xll.BDH("COMXSILV Comdty","PX_Last", N306)</f>
        <v>278787.25</v>
      </c>
      <c r="AL306" s="15" t="str" cm="1">
        <f t="array" ref="AL306">_xll.BDS("SIA Comdty","FUT_CHAIN", "CHAIN_DATE",A306,"endrow=1")</f>
        <v>SIG24 Comdty</v>
      </c>
      <c r="AM306" s="47" cm="1">
        <f t="array" ref="AM306">_xll.BDH(AL306,"FUT_AGGTE_OPEN_INT",A306)</f>
        <v>151749</v>
      </c>
      <c r="AN306" s="45">
        <f t="shared" si="157"/>
        <v>367.43207533492807</v>
      </c>
      <c r="AO306" s="46">
        <f t="shared" si="158"/>
        <v>27878725000</v>
      </c>
      <c r="AP306" s="46">
        <f t="shared" si="159"/>
        <v>758745</v>
      </c>
      <c r="AQ306" s="46"/>
    </row>
    <row r="307" spans="1:43" x14ac:dyDescent="0.2">
      <c r="A307" s="24">
        <v>45337</v>
      </c>
      <c r="B307" s="16" cm="1">
        <f t="array" ref="B307">_xll.BADDPERIODS(A307, "PER=WD", "NUMBEROFPERIODS=2", "BUSDAYADJ=-2", "CDR=GQ", "CDR=P9")</f>
        <v>45342</v>
      </c>
      <c r="C307" s="15" cm="1">
        <f t="array" ref="C307">_xll.BDH("XAU Curncy","PX_LAST",A307,A307)</f>
        <v>2004.4</v>
      </c>
      <c r="D307" s="26" t="str" cm="1">
        <f t="array" ref="D307">_xll.BDP("GCJ24 Comdty",$M$32)</f>
        <v>01/04/2024</v>
      </c>
      <c r="E307" s="15">
        <f>_xlfn.DAYS(D307,B307)</f>
        <v>41</v>
      </c>
      <c r="F307" s="23">
        <v>5.3499999999999999E-2</v>
      </c>
      <c r="G307" s="28">
        <f t="shared" si="147"/>
        <v>12.212920555555556</v>
      </c>
      <c r="H307" s="12">
        <v>11.5</v>
      </c>
      <c r="I307" s="38">
        <f t="shared" si="148"/>
        <v>-0.71292055555555578</v>
      </c>
      <c r="J307" s="26">
        <v>4</v>
      </c>
      <c r="K307" s="26">
        <v>6</v>
      </c>
      <c r="L307" s="26">
        <v>8</v>
      </c>
      <c r="N307" s="24">
        <v>45337</v>
      </c>
      <c r="O307" s="16" cm="1">
        <f t="array" ref="O307">_xll.BADDPERIODS(N307, "PER=WD", "NUMBEROFPERIODS=2", "BUSDAYADJ=-2", "CDR=GQ", "CDR=P9")</f>
        <v>45342</v>
      </c>
      <c r="P307" s="15" cm="1">
        <f t="array" ref="P307">_xll.BDH("XAG Curncy","PX_LAST",N307,N307)</f>
        <v>22.924199999999999</v>
      </c>
      <c r="Q307" s="15" t="str" cm="1">
        <f t="array" ref="Q307">_xll.BDP("SIH24 Comdty",$M$32)</f>
        <v>01/03/2024</v>
      </c>
      <c r="R307" s="15">
        <f t="shared" si="161"/>
        <v>10</v>
      </c>
      <c r="S307" s="23">
        <v>5.3499999999999999E-2</v>
      </c>
      <c r="T307" s="21">
        <f t="shared" si="150"/>
        <v>3.4067908333333327E-2</v>
      </c>
      <c r="U307" s="12">
        <v>2.5000000000000001E-2</v>
      </c>
      <c r="V307" s="39">
        <f t="shared" si="151"/>
        <v>-0.90679083333333255</v>
      </c>
      <c r="W307" s="15">
        <v>15</v>
      </c>
      <c r="X307" s="15">
        <v>20</v>
      </c>
      <c r="Y307" s="15">
        <v>25</v>
      </c>
      <c r="Z307" s="18">
        <f t="shared" si="152"/>
        <v>3.4067908333333325</v>
      </c>
      <c r="AA307" s="18">
        <f t="shared" si="162"/>
        <v>2.5</v>
      </c>
      <c r="AB307" s="18">
        <f t="shared" si="163"/>
        <v>-0.90679083333333255</v>
      </c>
      <c r="AE307" s="44" cm="1">
        <f t="array" ref="AE307">_xll.BDH("COMXGOLD Comdty","PX_Last", N307)</f>
        <v>18470354.669</v>
      </c>
      <c r="AF307" s="15" t="str" cm="1">
        <f t="array" ref="AF307">_xll.BDS("GCA Comdty","FUT_CHAIN", "CHAIN_DATE",A307,"endrow=1")</f>
        <v>GCG24 Comdty</v>
      </c>
      <c r="AG307" s="44" cm="1">
        <f t="array" ref="AG307">_xll.BDH(AF307,"FUT_AGGTE_OPEN_INT",A307)</f>
        <v>412454</v>
      </c>
      <c r="AH307" s="44">
        <f t="shared" si="155"/>
        <v>41245400</v>
      </c>
      <c r="AI307" s="48">
        <f t="shared" si="156"/>
        <v>0.44781611207552841</v>
      </c>
      <c r="AJ307" s="45"/>
      <c r="AK307" s="44" cm="1">
        <f t="array" ref="AK307">_xll.BDH("COMXSILV Comdty","PX_Last", N307)</f>
        <v>278213.56</v>
      </c>
      <c r="AL307" s="15" t="str" cm="1">
        <f t="array" ref="AL307">_xll.BDS("SIA Comdty","FUT_CHAIN", "CHAIN_DATE",A307,"endrow=1")</f>
        <v>SIG24 Comdty</v>
      </c>
      <c r="AM307" s="47" cm="1">
        <f t="array" ref="AM307">_xll.BDH(AL307,"FUT_AGGTE_OPEN_INT",A307)</f>
        <v>150643</v>
      </c>
      <c r="AN307" s="45">
        <f t="shared" si="157"/>
        <v>369.36805560165425</v>
      </c>
      <c r="AO307" s="46">
        <f t="shared" si="158"/>
        <v>27821356000</v>
      </c>
      <c r="AP307" s="46">
        <f t="shared" si="159"/>
        <v>753215</v>
      </c>
      <c r="AQ307" s="46"/>
    </row>
    <row r="308" spans="1:43" x14ac:dyDescent="0.2">
      <c r="A308" s="24">
        <v>45338</v>
      </c>
      <c r="B308" s="16" cm="1">
        <f t="array" ref="B308">_xll.BADDPERIODS(A308, "PER=WD", "NUMBEROFPERIODS=2", "BUSDAYADJ=-2", "CDR=GQ", "CDR=P9")</f>
        <v>45343</v>
      </c>
      <c r="C308" s="15" cm="1">
        <f t="array" ref="C308">_xll.BDH("XAU Curncy","PX_LAST",A308,A308)</f>
        <v>2013.59</v>
      </c>
      <c r="D308" s="26" t="str" cm="1">
        <f t="array" ref="D308">_xll.BDP("GCJ24 Comdty",$M$32)</f>
        <v>01/04/2024</v>
      </c>
      <c r="E308" s="15">
        <f>_xlfn.DAYS(D308,B308)</f>
        <v>40</v>
      </c>
      <c r="F308" s="23">
        <v>5.3499999999999999E-2</v>
      </c>
      <c r="G308" s="28">
        <f t="shared" si="147"/>
        <v>11.969673888888886</v>
      </c>
      <c r="H308" s="12">
        <v>11.5</v>
      </c>
      <c r="I308" s="38">
        <f t="shared" si="148"/>
        <v>-0.46967388888888628</v>
      </c>
      <c r="J308" s="26">
        <v>4</v>
      </c>
      <c r="K308" s="26">
        <v>6</v>
      </c>
      <c r="L308" s="26">
        <v>8</v>
      </c>
      <c r="N308" s="24">
        <v>45338</v>
      </c>
      <c r="O308" s="16" cm="1">
        <f t="array" ref="O308">_xll.BADDPERIODS(N308, "PER=WD", "NUMBEROFPERIODS=2", "BUSDAYADJ=-2", "CDR=GQ", "CDR=P9")</f>
        <v>45343</v>
      </c>
      <c r="P308" s="15" cm="1">
        <f t="array" ref="P308">_xll.BDH("XAG Curncy","PX_LAST",N308,N308)</f>
        <v>23.4207</v>
      </c>
      <c r="Q308" s="15" t="str" cm="1">
        <f t="array" ref="Q308">_xll.BDP("SIH24 Comdty",$M$32)</f>
        <v>01/03/2024</v>
      </c>
      <c r="R308" s="15">
        <f>_xlfn.DAYS(Q308,O308)</f>
        <v>9</v>
      </c>
      <c r="S308" s="23">
        <v>5.3499999999999999E-2</v>
      </c>
      <c r="T308" s="21">
        <f t="shared" si="150"/>
        <v>3.1325186249999998E-2</v>
      </c>
      <c r="U308" s="12">
        <v>2.5000000000000001E-2</v>
      </c>
      <c r="V308" s="39">
        <f>100*(U308-T308)</f>
        <v>-0.63251862499999967</v>
      </c>
      <c r="W308" s="15">
        <v>15</v>
      </c>
      <c r="X308" s="15">
        <v>20</v>
      </c>
      <c r="Y308" s="15">
        <v>25</v>
      </c>
      <c r="Z308" s="18">
        <f t="shared" si="152"/>
        <v>3.1325186249999999</v>
      </c>
      <c r="AA308" s="18">
        <f t="shared" si="162"/>
        <v>2.5</v>
      </c>
      <c r="AB308" s="18">
        <f t="shared" si="163"/>
        <v>-0.63251862499999967</v>
      </c>
      <c r="AE308">
        <v>18470354.669</v>
      </c>
      <c r="AF308" s="15" t="s">
        <v>39</v>
      </c>
      <c r="AG308">
        <v>412454</v>
      </c>
      <c r="AH308" s="15">
        <v>41245400</v>
      </c>
      <c r="AI308">
        <v>0.44781611207552841</v>
      </c>
      <c r="AK308">
        <v>278213.56</v>
      </c>
      <c r="AL308" t="s">
        <v>40</v>
      </c>
      <c r="AM308">
        <v>150643</v>
      </c>
      <c r="AN308">
        <v>369.36805560165425</v>
      </c>
      <c r="AO308">
        <v>27821356000</v>
      </c>
      <c r="AP308">
        <v>753215</v>
      </c>
      <c r="AQ308" s="46"/>
    </row>
    <row r="309" spans="1:43" x14ac:dyDescent="0.2">
      <c r="A309" s="24">
        <v>45341</v>
      </c>
      <c r="B309" s="16" cm="1">
        <f t="array" ref="B309">_xll.BADDPERIODS(A309, "PER=WD", "NUMBEROFPERIODS=2", "BUSDAYADJ=-2", "CDR=GQ", "CDR=P9")</f>
        <v>45343</v>
      </c>
      <c r="C309" s="15" cm="1">
        <f t="array" ref="C309">_xll.BDH("XAU Curncy","PX_LAST",A309,A309)</f>
        <v>2017.21</v>
      </c>
      <c r="D309" s="26" t="str" cm="1">
        <f t="array" ref="D309">_xll.BDP("GCJ24 Comdty",$M$32)</f>
        <v>01/04/2024</v>
      </c>
      <c r="E309" s="15">
        <f t="shared" ref="E309:E331" si="164">_xlfn.DAYS(D309,B309)</f>
        <v>40</v>
      </c>
      <c r="F309" s="23">
        <v>5.3499999999999999E-2</v>
      </c>
      <c r="G309" s="28">
        <f t="shared" si="147"/>
        <v>11.991192777777776</v>
      </c>
      <c r="H309" s="12">
        <v>11.4</v>
      </c>
      <c r="I309" s="38">
        <f t="shared" si="148"/>
        <v>-0.5911927777777759</v>
      </c>
      <c r="J309" s="26">
        <v>4</v>
      </c>
      <c r="K309" s="26">
        <v>6</v>
      </c>
      <c r="L309" s="26">
        <v>8</v>
      </c>
      <c r="N309" s="24">
        <v>45341</v>
      </c>
      <c r="O309" s="16" cm="1">
        <f t="array" ref="O309">_xll.BADDPERIODS(N309, "PER=WD", "NUMBEROFPERIODS=2", "BUSDAYADJ=-2", "CDR=GQ", "CDR=P9")</f>
        <v>45343</v>
      </c>
      <c r="P309" s="15" cm="1">
        <f t="array" ref="P309">_xll.BDH("XAG Curncy","PX_LAST",N309,N309)</f>
        <v>23.023199999999999</v>
      </c>
      <c r="Q309" s="15" t="str" cm="1">
        <f t="array" ref="Q309">_xll.BDP("SIH24 Comdty",$M$32)</f>
        <v>01/03/2024</v>
      </c>
      <c r="R309" s="15">
        <f>_xlfn.DAYS(Q309,O309)</f>
        <v>9</v>
      </c>
      <c r="S309" s="23">
        <v>5.3499999999999999E-2</v>
      </c>
      <c r="T309" s="21">
        <f t="shared" si="150"/>
        <v>3.079353E-2</v>
      </c>
      <c r="U309" s="12">
        <v>2.5000000000000001E-2</v>
      </c>
      <c r="V309" s="39">
        <f t="shared" si="151"/>
        <v>-0.57935299999999978</v>
      </c>
      <c r="W309" s="15">
        <v>15</v>
      </c>
      <c r="X309" s="15">
        <v>20</v>
      </c>
      <c r="Y309" s="15">
        <v>25</v>
      </c>
      <c r="Z309" s="18">
        <f t="shared" si="152"/>
        <v>3.0793529999999998</v>
      </c>
      <c r="AA309" s="18">
        <f t="shared" si="162"/>
        <v>2.5</v>
      </c>
      <c r="AB309" s="18">
        <f t="shared" si="163"/>
        <v>-0.57935299999999978</v>
      </c>
      <c r="AE309" s="44" cm="1">
        <f t="array" ref="AE309">_xll.BDH("COMXGOLD Comdty","PX_Last", N308)</f>
        <v>18460807.208999999</v>
      </c>
      <c r="AF309" s="15" t="str" cm="1">
        <f t="array" ref="AF309">_xll.BDS("GCA Comdty","FUT_CHAIN", "CHAIN_DATE",A308,"endrow=1")</f>
        <v>GCG24 Comdty</v>
      </c>
      <c r="AG309" s="44" cm="1">
        <f t="array" ref="AG309">_xll.BDH(AF309,"FUT_AGGTE_OPEN_INT",A308)</f>
        <v>407111</v>
      </c>
      <c r="AH309" s="44">
        <f>AG309*$AG$17</f>
        <v>40711100</v>
      </c>
      <c r="AI309" s="48">
        <f>AE309/AH309</f>
        <v>0.45345881612140176</v>
      </c>
      <c r="AJ309" s="45"/>
      <c r="AK309" s="44" cm="1">
        <f t="array" ref="AK309">_xll.BDH("COMXSILV Comdty","PX_Last", N308)</f>
        <v>278193.09000000003</v>
      </c>
      <c r="AL309" s="15" t="str" cm="1">
        <f t="array" ref="AL309">_xll.BDS("SIA Comdty","FUT_CHAIN", "CHAIN_DATE",A308,"endrow=1")</f>
        <v>SIG24 Comdty</v>
      </c>
      <c r="AM309" s="47" cm="1">
        <f t="array" ref="AM309">_xll.BDH(AL309,"FUT_AGGTE_OPEN_INT",A308)</f>
        <v>153828</v>
      </c>
      <c r="AN309" s="45">
        <f>(AO309/AP309)/100</f>
        <v>361.69369685622905</v>
      </c>
      <c r="AO309" s="46">
        <f>AK309*100000</f>
        <v>27819309000.000004</v>
      </c>
      <c r="AP309" s="46">
        <f>(AM309*5000)/1000</f>
        <v>769140</v>
      </c>
      <c r="AQ309" s="46"/>
    </row>
    <row r="310" spans="1:43" x14ac:dyDescent="0.2">
      <c r="A310" s="24">
        <v>45342</v>
      </c>
      <c r="B310" s="16" cm="1">
        <f t="array" ref="B310">_xll.BADDPERIODS(A310, "PER=WD", "NUMBEROFPERIODS=2", "BUSDAYADJ=-2", "CDR=GQ", "CDR=P9")</f>
        <v>45344</v>
      </c>
      <c r="C310" s="15" cm="1">
        <f t="array" ref="C310">_xll.BDH("XAU Curncy","PX_LAST",A310,A310)</f>
        <v>2024.41</v>
      </c>
      <c r="D310" s="26" t="str" cm="1">
        <f t="array" ref="D310">_xll.BDP("GCJ24 Comdty",$M$32)</f>
        <v>01/04/2024</v>
      </c>
      <c r="E310" s="15">
        <f t="shared" si="164"/>
        <v>39</v>
      </c>
      <c r="F310" s="23">
        <v>5.3499999999999999E-2</v>
      </c>
      <c r="G310" s="28">
        <f t="shared" si="147"/>
        <v>11.733142958333334</v>
      </c>
      <c r="H310" s="12">
        <v>11</v>
      </c>
      <c r="I310" s="38">
        <f t="shared" si="148"/>
        <v>-0.73314295833333354</v>
      </c>
      <c r="J310" s="26">
        <v>4</v>
      </c>
      <c r="K310" s="26">
        <v>6</v>
      </c>
      <c r="L310" s="26">
        <v>8</v>
      </c>
      <c r="N310" s="24">
        <v>45342</v>
      </c>
      <c r="O310" s="16" cm="1">
        <f t="array" ref="O310">_xll.BADDPERIODS(N310, "PER=WD", "NUMBEROFPERIODS=2", "BUSDAYADJ=-2", "CDR=GQ", "CDR=P9")</f>
        <v>45344</v>
      </c>
      <c r="P310" s="15" cm="1">
        <f t="array" ref="P310">_xll.BDH("XAG Curncy","PX_LAST",N310,N310)</f>
        <v>23.0047</v>
      </c>
      <c r="Q310" s="15" t="str" cm="1">
        <f t="array" ref="Q310">_xll.BDP("SIH24 Comdty",$M$32)</f>
        <v>01/03/2024</v>
      </c>
      <c r="R310" s="15">
        <f t="shared" si="161"/>
        <v>8</v>
      </c>
      <c r="S310" s="23">
        <v>5.3499999999999999E-2</v>
      </c>
      <c r="T310" s="21">
        <f t="shared" si="150"/>
        <v>2.735003222222222E-2</v>
      </c>
      <c r="U310" s="12">
        <v>2.5000000000000001E-2</v>
      </c>
      <c r="V310" s="39">
        <f t="shared" si="151"/>
        <v>-0.23500322222222181</v>
      </c>
      <c r="W310" s="15">
        <v>15</v>
      </c>
      <c r="X310" s="15">
        <v>20</v>
      </c>
      <c r="Y310" s="15">
        <v>25</v>
      </c>
      <c r="Z310" s="18">
        <f t="shared" si="152"/>
        <v>2.7350032222222218</v>
      </c>
      <c r="AA310" s="18">
        <f t="shared" si="162"/>
        <v>2.5</v>
      </c>
      <c r="AB310" s="18">
        <f t="shared" si="163"/>
        <v>-0.23500322222222181</v>
      </c>
      <c r="AE310" s="44" cm="1">
        <f t="array" ref="AE310">_xll.BDH("COMXGOLD Comdty","PX_Last", N310)</f>
        <v>18423576.351</v>
      </c>
      <c r="AF310" s="15" t="str" cm="1">
        <f t="array" ref="AF310">_xll.BDS("GCA Comdty","FUT_CHAIN", "CHAIN_DATE",A310,"endrow=1")</f>
        <v>GCG24 Comdty</v>
      </c>
      <c r="AG310" s="44" cm="1">
        <f t="array" ref="AG310">_xll.BDH(AF310,"FUT_AGGTE_OPEN_INT",A310)</f>
        <v>407063</v>
      </c>
      <c r="AH310" s="44">
        <f t="shared" si="155"/>
        <v>40706300</v>
      </c>
      <c r="AI310" s="48">
        <f t="shared" si="156"/>
        <v>0.4525976654964956</v>
      </c>
      <c r="AJ310" s="45"/>
      <c r="AK310" s="44" cm="1">
        <f t="array" ref="AK310">_xll.BDH("COMXSILV Comdty","PX_Last", N310)</f>
        <v>280137.59000000003</v>
      </c>
      <c r="AL310" s="15" t="str" cm="1">
        <f t="array" ref="AL310">_xll.BDS("SIA Comdty","FUT_CHAIN", "CHAIN_DATE",A310,"endrow=1")</f>
        <v>SIG24 Comdty</v>
      </c>
      <c r="AM310" s="47" cm="1">
        <f t="array" ref="AM310">_xll.BDH(AL310,"FUT_AGGTE_OPEN_INT",A310)</f>
        <v>146584</v>
      </c>
      <c r="AN310" s="45">
        <f t="shared" si="157"/>
        <v>382.22123833433398</v>
      </c>
      <c r="AO310" s="46">
        <f t="shared" si="158"/>
        <v>28013759000.000004</v>
      </c>
      <c r="AP310" s="46">
        <f t="shared" si="159"/>
        <v>732920</v>
      </c>
      <c r="AQ310" s="46"/>
    </row>
    <row r="311" spans="1:43" x14ac:dyDescent="0.2">
      <c r="A311" s="24">
        <v>45343</v>
      </c>
      <c r="B311" s="16" cm="1">
        <f t="array" ref="B311">_xll.BADDPERIODS(A311, "PER=WD", "NUMBEROFPERIODS=2", "BUSDAYADJ=-2", "CDR=GQ", "CDR=P9")</f>
        <v>45345</v>
      </c>
      <c r="C311" s="15" cm="1">
        <f t="array" ref="C311">_xll.BDH("XAU Curncy","PX_LAST",A311,A311)</f>
        <v>2025.99</v>
      </c>
      <c r="D311" s="26" t="str" cm="1">
        <f t="array" ref="D311">_xll.BDP("GCJ24 Comdty",$M$32)</f>
        <v>01/04/2024</v>
      </c>
      <c r="E311" s="15">
        <f t="shared" si="164"/>
        <v>38</v>
      </c>
      <c r="F311" s="23">
        <v>5.3499999999999999E-2</v>
      </c>
      <c r="G311" s="28">
        <f t="shared" si="147"/>
        <v>11.44121575</v>
      </c>
      <c r="H311" s="12">
        <v>11</v>
      </c>
      <c r="I311" s="38">
        <f t="shared" si="148"/>
        <v>-0.44121574999999957</v>
      </c>
      <c r="J311" s="26">
        <v>4</v>
      </c>
      <c r="K311" s="26">
        <v>6</v>
      </c>
      <c r="L311" s="26">
        <v>8</v>
      </c>
      <c r="N311" s="24">
        <v>45343</v>
      </c>
      <c r="O311" s="16" cm="1">
        <f t="array" ref="O311">_xll.BADDPERIODS(N311, "PER=WD", "NUMBEROFPERIODS=2", "BUSDAYADJ=-2", "CDR=GQ", "CDR=P9")</f>
        <v>45345</v>
      </c>
      <c r="P311" s="15" cm="1">
        <f t="array" ref="P311">_xll.BDH("XAG Curncy","PX_LAST",N311,N311)</f>
        <v>22.885999999999999</v>
      </c>
      <c r="Q311" s="15" t="str" cm="1">
        <f t="array" ref="Q311">_xll.BDP("SIH24 Comdty",$M$32)</f>
        <v>01/03/2024</v>
      </c>
      <c r="R311" s="15">
        <f t="shared" si="161"/>
        <v>7</v>
      </c>
      <c r="S311" s="23">
        <v>5.2999999999999999E-2</v>
      </c>
      <c r="T311" s="21">
        <f t="shared" si="150"/>
        <v>2.3585294444444443E-2</v>
      </c>
      <c r="U311" s="12">
        <v>2.5000000000000001E-2</v>
      </c>
      <c r="V311" s="39">
        <f t="shared" si="151"/>
        <v>0.14147055555555588</v>
      </c>
      <c r="W311" s="15">
        <v>15</v>
      </c>
      <c r="X311" s="15">
        <v>20</v>
      </c>
      <c r="Y311" s="15">
        <v>25</v>
      </c>
      <c r="Z311" s="18">
        <f t="shared" si="152"/>
        <v>2.3585294444444442</v>
      </c>
      <c r="AA311" s="18">
        <f t="shared" si="162"/>
        <v>2.5</v>
      </c>
      <c r="AB311" s="18">
        <f t="shared" si="163"/>
        <v>0.14147055555555588</v>
      </c>
      <c r="AE311" s="44" cm="1">
        <f t="array" ref="AE311">_xll.BDH("COMXGOLD Comdty","PX_Last", N311)</f>
        <v>18289124.857999999</v>
      </c>
      <c r="AF311" s="15" t="str" cm="1">
        <f t="array" ref="AF311">_xll.BDS("GCA Comdty","FUT_CHAIN", "CHAIN_DATE",A311,"endrow=1")</f>
        <v>GCG24 Comdty</v>
      </c>
      <c r="AG311" s="44" cm="1">
        <f t="array" ref="AG311">_xll.BDH(AF311,"FUT_AGGTE_OPEN_INT",A311)</f>
        <v>407169</v>
      </c>
      <c r="AH311" s="44">
        <f t="shared" si="155"/>
        <v>40716900</v>
      </c>
      <c r="AI311" s="48">
        <f t="shared" si="156"/>
        <v>0.4491777335209704</v>
      </c>
      <c r="AJ311" s="45"/>
      <c r="AK311" s="44" cm="1">
        <f t="array" ref="AK311">_xll.BDH("COMXSILV Comdty","PX_Last", N311)</f>
        <v>280137.59000000003</v>
      </c>
      <c r="AL311" s="15" t="str" cm="1">
        <f t="array" ref="AL311">_xll.BDS("SIA Comdty","FUT_CHAIN", "CHAIN_DATE",A311,"endrow=1")</f>
        <v>SIG24 Comdty</v>
      </c>
      <c r="AM311" s="47" cm="1">
        <f t="array" ref="AM311">_xll.BDH(AL311,"FUT_AGGTE_OPEN_INT",A311)</f>
        <v>146395</v>
      </c>
      <c r="AN311" s="45">
        <f t="shared" si="157"/>
        <v>382.71469654018239</v>
      </c>
      <c r="AO311" s="46">
        <f t="shared" si="158"/>
        <v>28013759000.000004</v>
      </c>
      <c r="AP311" s="46">
        <f t="shared" si="159"/>
        <v>731975</v>
      </c>
      <c r="AQ311" s="46"/>
    </row>
    <row r="312" spans="1:43" x14ac:dyDescent="0.2">
      <c r="A312" s="24">
        <v>45344</v>
      </c>
      <c r="B312" s="16" cm="1">
        <f t="array" ref="B312">_xll.BADDPERIODS(A312, "PER=WD", "NUMBEROFPERIODS=2", "BUSDAYADJ=-2", "CDR=GQ", "CDR=P9")</f>
        <v>45348</v>
      </c>
      <c r="C312" s="15" cm="1">
        <f t="array" ref="C312">_xll.BDH("XAU Curncy","PX_LAST",A312,A312)</f>
        <v>2024.39</v>
      </c>
      <c r="D312" s="26" t="str" cm="1">
        <f t="array" ref="D312">_xll.BDP("GCJ24 Comdty",$M$32)</f>
        <v>01/04/2024</v>
      </c>
      <c r="E312" s="15">
        <f t="shared" si="164"/>
        <v>35</v>
      </c>
      <c r="F312" s="23">
        <v>5.3499999999999999E-2</v>
      </c>
      <c r="G312" s="28">
        <f t="shared" si="147"/>
        <v>10.529639652777778</v>
      </c>
      <c r="H312" s="12">
        <v>10.1</v>
      </c>
      <c r="I312" s="38">
        <f t="shared" si="148"/>
        <v>-0.42963965277777838</v>
      </c>
      <c r="J312" s="26">
        <v>4</v>
      </c>
      <c r="K312" s="26">
        <v>6</v>
      </c>
      <c r="L312" s="26">
        <v>8</v>
      </c>
      <c r="N312" s="24">
        <v>45344</v>
      </c>
      <c r="O312" s="16" cm="1">
        <f t="array" ref="O312">_xll.BADDPERIODS(N312, "PER=WD", "NUMBEROFPERIODS=2", "BUSDAYADJ=-2", "CDR=GQ", "CDR=P9")</f>
        <v>45348</v>
      </c>
      <c r="P312" s="15" cm="1">
        <f t="array" ref="P312">_xll.BDH("XAG Curncy","PX_LAST",N312,N312)</f>
        <v>22.750599999999999</v>
      </c>
      <c r="Q312" s="15" t="str" cm="1">
        <f t="array" ref="Q312">_xll.BDP("SIH24 Comdty",$M$32)</f>
        <v>01/03/2024</v>
      </c>
      <c r="R312" s="15">
        <f>_xlfn.DAYS(Q312,O312)</f>
        <v>4</v>
      </c>
      <c r="S312" s="23">
        <v>5.2999999999999999E-2</v>
      </c>
      <c r="T312" s="21">
        <f t="shared" si="150"/>
        <v>1.3397575555555555E-2</v>
      </c>
      <c r="U312" s="12">
        <v>0.03</v>
      </c>
      <c r="V312" s="39">
        <f t="shared" si="151"/>
        <v>1.6602424444444444</v>
      </c>
      <c r="W312" s="15">
        <v>15</v>
      </c>
      <c r="X312" s="15">
        <v>20</v>
      </c>
      <c r="Y312" s="15">
        <v>25</v>
      </c>
      <c r="Z312" s="18">
        <f t="shared" si="152"/>
        <v>1.3397575555555554</v>
      </c>
      <c r="AA312" s="18">
        <f t="shared" si="162"/>
        <v>3</v>
      </c>
      <c r="AB312" s="18">
        <f t="shared" si="163"/>
        <v>1.6602424444444444</v>
      </c>
      <c r="AE312" s="44" cm="1">
        <f t="array" ref="AE312">_xll.BDH("COMXGOLD Comdty","PX_Last", N312)</f>
        <v>18237040.238000002</v>
      </c>
      <c r="AF312" s="15" t="str" cm="1">
        <f t="array" ref="AF312">_xll.BDS("GCA Comdty","FUT_CHAIN", "CHAIN_DATE",A312,"endrow=1")</f>
        <v>GCG24 Comdty</v>
      </c>
      <c r="AG312" s="44" cm="1">
        <f t="array" ref="AG312">_xll.BDH(AF312,"FUT_AGGTE_OPEN_INT",A312)</f>
        <v>408043</v>
      </c>
      <c r="AH312" s="44">
        <f t="shared" si="155"/>
        <v>40804300</v>
      </c>
      <c r="AI312" s="48">
        <f t="shared" si="156"/>
        <v>0.44693917645934378</v>
      </c>
      <c r="AJ312" s="45"/>
      <c r="AK312" s="44" cm="1">
        <f t="array" ref="AK312">_xll.BDH("COMXSILV Comdty","PX_Last", N312)</f>
        <v>280180.19</v>
      </c>
      <c r="AL312" s="15" t="str" cm="1">
        <f t="array" ref="AL312">_xll.BDS("SIA Comdty","FUT_CHAIN", "CHAIN_DATE",A312,"endrow=1")</f>
        <v>SIG24 Comdty</v>
      </c>
      <c r="AM312" s="47" cm="1">
        <f t="array" ref="AM312">_xll.BDH(AL312,"FUT_AGGTE_OPEN_INT",A312)</f>
        <v>145906</v>
      </c>
      <c r="AN312" s="45">
        <f t="shared" si="157"/>
        <v>384.05574822145763</v>
      </c>
      <c r="AO312" s="46">
        <f t="shared" si="158"/>
        <v>28018019000</v>
      </c>
      <c r="AP312" s="46">
        <f t="shared" si="159"/>
        <v>729530</v>
      </c>
      <c r="AQ312" s="46"/>
    </row>
    <row r="313" spans="1:43" x14ac:dyDescent="0.2">
      <c r="A313" s="24">
        <v>45345</v>
      </c>
      <c r="B313" s="16" cm="1">
        <f t="array" ref="B313">_xll.BADDPERIODS(A313, "PER=WD", "NUMBEROFPERIODS=2", "BUSDAYADJ=-2", "CDR=GQ", "CDR=P9")</f>
        <v>45349</v>
      </c>
      <c r="C313" s="15" cm="1">
        <f t="array" ref="C313">_xll.BDH("XAU Curncy","PX_LAST",A313,A313)</f>
        <v>2035.4</v>
      </c>
      <c r="D313" s="26" t="str" cm="1">
        <f t="array" ref="D313">_xll.BDP("GCJ24 Comdty",$M$32)</f>
        <v>01/04/2024</v>
      </c>
      <c r="E313" s="15">
        <f t="shared" si="164"/>
        <v>34</v>
      </c>
      <c r="F313" s="23">
        <v>5.3499999999999999E-2</v>
      </c>
      <c r="G313" s="28">
        <f t="shared" si="147"/>
        <v>10.284423888888888</v>
      </c>
      <c r="H313" s="12">
        <v>9.6</v>
      </c>
      <c r="I313" s="38">
        <f t="shared" si="148"/>
        <v>-0.6844238888888885</v>
      </c>
      <c r="J313" s="26">
        <v>4</v>
      </c>
      <c r="K313" s="26">
        <v>6</v>
      </c>
      <c r="L313" s="26">
        <v>8</v>
      </c>
      <c r="N313" s="24">
        <v>45345</v>
      </c>
      <c r="O313" s="16" cm="1">
        <f t="array" ref="O313">_xll.BADDPERIODS(N313, "PER=WD", "NUMBEROFPERIODS=2", "BUSDAYADJ=-2", "CDR=GQ", "CDR=P9")</f>
        <v>45349</v>
      </c>
      <c r="P313" s="15" cm="1">
        <f t="array" ref="P313">_xll.BDH("XAG Curncy","PX_LAST",N313,N313)</f>
        <v>22.95</v>
      </c>
      <c r="Q313" s="15" t="str" cm="1">
        <f t="array" ref="Q313">_xll.BDP("SIH24 Comdty",$M$32)</f>
        <v>01/03/2024</v>
      </c>
      <c r="R313" s="15">
        <f>_xlfn.DAYS(Q313,O313)</f>
        <v>3</v>
      </c>
      <c r="S313" s="23">
        <v>5.2999999999999999E-2</v>
      </c>
      <c r="T313" s="21">
        <f t="shared" si="150"/>
        <v>1.0136249999999999E-2</v>
      </c>
      <c r="U313" s="22">
        <v>0.03</v>
      </c>
      <c r="V313" s="39">
        <f t="shared" si="151"/>
        <v>1.986375</v>
      </c>
      <c r="W313" s="15">
        <v>15</v>
      </c>
      <c r="X313" s="15">
        <v>20</v>
      </c>
      <c r="Y313" s="15">
        <v>25</v>
      </c>
      <c r="Z313" s="18">
        <f t="shared" si="152"/>
        <v>1.013625</v>
      </c>
      <c r="AA313" s="18">
        <f t="shared" si="162"/>
        <v>3</v>
      </c>
      <c r="AB313" s="18">
        <f t="shared" si="163"/>
        <v>1.986375</v>
      </c>
      <c r="AE313" s="44" cm="1">
        <f t="array" ref="AE313">_xll.BDH("COMXGOLD Comdty","PX_Last", N313)</f>
        <v>18235753.125999998</v>
      </c>
      <c r="AF313" s="15" t="str" cm="1">
        <f t="array" ref="AF313">_xll.BDS("GCA Comdty","FUT_CHAIN", "CHAIN_DATE",A313,"endrow=1")</f>
        <v>GCG24 Comdty</v>
      </c>
      <c r="AG313" s="44" cm="1">
        <f t="array" ref="AG313">_xll.BDH(AF313,"FUT_AGGTE_OPEN_INT",A313)</f>
        <v>413724</v>
      </c>
      <c r="AH313" s="44">
        <f t="shared" si="155"/>
        <v>41372400</v>
      </c>
      <c r="AI313" s="48">
        <f t="shared" si="156"/>
        <v>0.4407709759646527</v>
      </c>
      <c r="AJ313" s="45"/>
      <c r="AK313" s="44" cm="1">
        <f t="array" ref="AK313">_xll.BDH("COMXSILV Comdty","PX_Last", N313)</f>
        <v>280972.44</v>
      </c>
      <c r="AL313" s="15" t="str" cm="1">
        <f t="array" ref="AL313">_xll.BDS("SIA Comdty","FUT_CHAIN", "CHAIN_DATE",A313,"endrow=1")</f>
        <v>SIG24 Comdty</v>
      </c>
      <c r="AM313" s="47" cm="1">
        <f t="array" ref="AM313">_xll.BDH(AL313,"FUT_AGGTE_OPEN_INT",A313)</f>
        <v>145644</v>
      </c>
      <c r="AN313" s="45">
        <f t="shared" si="157"/>
        <v>385.83455549147237</v>
      </c>
      <c r="AO313" s="46">
        <f t="shared" si="158"/>
        <v>28097244000</v>
      </c>
      <c r="AP313" s="46">
        <f t="shared" si="159"/>
        <v>728220</v>
      </c>
      <c r="AQ313" s="46"/>
    </row>
    <row r="314" spans="1:43" x14ac:dyDescent="0.2">
      <c r="A314" s="24">
        <v>45348</v>
      </c>
      <c r="B314" s="16" cm="1">
        <f t="array" ref="B314">_xll.BADDPERIODS(A314, "PER=WD", "NUMBEROFPERIODS=2", "BUSDAYADJ=-2", "CDR=GQ", "CDR=P9")</f>
        <v>45350</v>
      </c>
      <c r="C314" s="15" cm="1">
        <f t="array" ref="C314">_xll.BDH("XAU Curncy","PX_LAST",A314,A314)</f>
        <v>2031.24</v>
      </c>
      <c r="D314" s="26" t="str" cm="1">
        <f t="array" ref="D314">_xll.BDP("GCJ24 Comdty",$M$32)</f>
        <v>01/04/2024</v>
      </c>
      <c r="E314" s="15">
        <f t="shared" si="164"/>
        <v>33</v>
      </c>
      <c r="F314" s="23">
        <v>5.3699999999999998E-2</v>
      </c>
      <c r="G314" s="28">
        <f t="shared" si="147"/>
        <v>9.9987788999999978</v>
      </c>
      <c r="H314" s="12">
        <v>9.35</v>
      </c>
      <c r="I314" s="40">
        <f t="shared" si="148"/>
        <v>-0.64877889999999816</v>
      </c>
      <c r="J314" s="26">
        <v>4</v>
      </c>
      <c r="K314" s="26">
        <v>6</v>
      </c>
      <c r="L314" s="26">
        <v>8</v>
      </c>
      <c r="N314" s="24">
        <v>45348</v>
      </c>
      <c r="O314" s="16" cm="1">
        <f t="array" ref="O314">_xll.BADDPERIODS(N314, "PER=WD", "NUMBEROFPERIODS=2", "BUSDAYADJ=-2", "CDR=GQ", "CDR=P9")</f>
        <v>45350</v>
      </c>
      <c r="P314" s="15" cm="1">
        <f t="array" ref="P314">_xll.BDH("XAG Curncy","PX_LAST",N314,N314)</f>
        <v>22.520600000000002</v>
      </c>
      <c r="Q314" s="15" t="str" cm="1">
        <f t="array" ref="Q314">_xll.BDP("SIK24 Comdty",$M$32)</f>
        <v>01/05/2024</v>
      </c>
      <c r="R314" s="15">
        <f t="shared" ref="R314:R336" si="165">_xlfn.DAYS(Q314,O314)</f>
        <v>63</v>
      </c>
      <c r="S314" s="23">
        <v>5.3800000000000001E-2</v>
      </c>
      <c r="T314" s="21">
        <f t="shared" si="150"/>
        <v>0.21203144899999998</v>
      </c>
      <c r="U314" s="22">
        <v>0.215</v>
      </c>
      <c r="V314" s="39">
        <f t="shared" ref="V314:V336" si="166">100*(U314-T314)</f>
        <v>0.29685510000000137</v>
      </c>
      <c r="W314" s="15">
        <v>15</v>
      </c>
      <c r="X314" s="15">
        <v>20</v>
      </c>
      <c r="Y314" s="15">
        <v>25</v>
      </c>
      <c r="Z314" s="18">
        <f t="shared" si="152"/>
        <v>21.203144899999998</v>
      </c>
      <c r="AA314" s="18">
        <f t="shared" si="162"/>
        <v>21.5</v>
      </c>
      <c r="AB314" s="18">
        <f t="shared" si="163"/>
        <v>0.29685510000000137</v>
      </c>
      <c r="AE314" s="44" cm="1">
        <f t="array" ref="AE314">_xll.BDH("COMXGOLD Comdty","PX_Last", N314)</f>
        <v>18188941.276000001</v>
      </c>
      <c r="AF314" s="15" t="str" cm="1">
        <f t="array" ref="AF314">_xll.BDS("GCA Comdty","FUT_CHAIN", "CHAIN_DATE",A314,"endrow=1")</f>
        <v>GCG24 Comdty</v>
      </c>
      <c r="AG314" s="44" cm="1">
        <f t="array" ref="AG314">_xll.BDH(AF314,"FUT_AGGTE_OPEN_INT",A314)</f>
        <v>410324</v>
      </c>
      <c r="AH314" s="44">
        <f t="shared" si="155"/>
        <v>41032400</v>
      </c>
      <c r="AI314" s="48">
        <f t="shared" si="156"/>
        <v>0.44328241282498709</v>
      </c>
      <c r="AJ314" s="45"/>
      <c r="AK314" s="44" cm="1">
        <f t="array" ref="AK314">_xll.BDH("COMXSILV Comdty","PX_Last", N314)</f>
        <v>281852.71999999997</v>
      </c>
      <c r="AL314" s="15" t="str" cm="1">
        <f t="array" ref="AL314">_xll.BDS("SIA Comdty","FUT_CHAIN", "CHAIN_DATE",A314,"endrow=1")</f>
        <v>SIG24 Comdty</v>
      </c>
      <c r="AM314" s="47" cm="1">
        <f t="array" ref="AM314">_xll.BDH(AL314,"FUT_AGGTE_OPEN_INT",A314)</f>
        <v>145766</v>
      </c>
      <c r="AN314" s="45">
        <f t="shared" si="157"/>
        <v>386.71942702687863</v>
      </c>
      <c r="AO314" s="46">
        <f t="shared" si="158"/>
        <v>28185271999.999996</v>
      </c>
      <c r="AP314" s="46">
        <f t="shared" si="159"/>
        <v>728830</v>
      </c>
      <c r="AQ314" s="46"/>
    </row>
    <row r="315" spans="1:43" x14ac:dyDescent="0.2">
      <c r="A315" s="24">
        <v>45349</v>
      </c>
      <c r="B315" s="16" cm="1">
        <f t="array" ref="B315">_xll.BADDPERIODS(A315, "PER=WD", "NUMBEROFPERIODS=2", "BUSDAYADJ=-2", "CDR=GQ", "CDR=P9")</f>
        <v>45351</v>
      </c>
      <c r="C315" s="15" cm="1">
        <f t="array" ref="C315">_xll.BDH("XAU Curncy","PX_LAST",A315,A315)</f>
        <v>2030.48</v>
      </c>
      <c r="D315" s="26" t="str" cm="1">
        <f t="array" ref="D315">_xll.BDP("GCJ24 Comdty",$M$32)</f>
        <v>01/04/2024</v>
      </c>
      <c r="E315" s="15">
        <f t="shared" si="164"/>
        <v>32</v>
      </c>
      <c r="F315" s="23">
        <v>5.3699999999999998E-2</v>
      </c>
      <c r="G315" s="28">
        <f t="shared" si="147"/>
        <v>9.6921578666666672</v>
      </c>
      <c r="H315" s="12">
        <v>9.35</v>
      </c>
      <c r="I315" s="40">
        <f t="shared" si="148"/>
        <v>-0.34215786666666759</v>
      </c>
      <c r="J315" s="26">
        <v>4</v>
      </c>
      <c r="K315" s="26">
        <v>6</v>
      </c>
      <c r="L315" s="26">
        <v>8</v>
      </c>
      <c r="N315" s="24">
        <v>45349</v>
      </c>
      <c r="O315" s="16" cm="1">
        <f t="array" ref="O315">_xll.BADDPERIODS(N315, "PER=WD", "NUMBEROFPERIODS=2", "BUSDAYADJ=-2", "CDR=GQ", "CDR=P9")</f>
        <v>45351</v>
      </c>
      <c r="P315" s="15" cm="1">
        <f t="array" ref="P315">_xll.BDH("XAG Curncy","PX_LAST",N315,N315)</f>
        <v>22.462</v>
      </c>
      <c r="Q315" s="15" t="str" cm="1">
        <f t="array" ref="Q315">_xll.BDP("SIK24 Comdty",$M$32)</f>
        <v>01/05/2024</v>
      </c>
      <c r="R315" s="15">
        <f t="shared" si="165"/>
        <v>62</v>
      </c>
      <c r="S315" s="23">
        <v>5.3800000000000001E-2</v>
      </c>
      <c r="T315" s="21">
        <f t="shared" si="150"/>
        <v>0.20812290888888887</v>
      </c>
      <c r="U315" s="22">
        <v>0.215</v>
      </c>
      <c r="V315" s="39">
        <f t="shared" si="166"/>
        <v>0.68770911111111221</v>
      </c>
      <c r="W315" s="15">
        <v>15</v>
      </c>
      <c r="X315" s="15">
        <v>20</v>
      </c>
      <c r="Y315" s="15">
        <v>25</v>
      </c>
      <c r="Z315" s="18">
        <f t="shared" si="152"/>
        <v>20.812290888888889</v>
      </c>
      <c r="AA315" s="18">
        <f t="shared" si="162"/>
        <v>21.5</v>
      </c>
      <c r="AB315" s="18">
        <f t="shared" si="163"/>
        <v>0.68770911111111221</v>
      </c>
      <c r="AE315" s="44" cm="1">
        <f t="array" ref="AE315">_xll.BDH("COMXGOLD Comdty","PX_Last", N315)</f>
        <v>18120006.208000001</v>
      </c>
      <c r="AF315" s="15" t="str" cm="1">
        <f t="array" ref="AF315">_xll.BDS("GCA Comdty","FUT_CHAIN", "CHAIN_DATE",A315,"endrow=1")</f>
        <v>GCG24 Comdty</v>
      </c>
      <c r="AG315" s="44" cm="1">
        <f t="array" ref="AG315">_xll.BDH(AF315,"FUT_AGGTE_OPEN_INT",A315)</f>
        <v>411195</v>
      </c>
      <c r="AH315" s="44">
        <f t="shared" si="155"/>
        <v>41119500</v>
      </c>
      <c r="AI315" s="48">
        <f t="shared" si="156"/>
        <v>0.44066698787679814</v>
      </c>
      <c r="AJ315" s="45"/>
      <c r="AK315" s="44" cm="1">
        <f t="array" ref="AK315">_xll.BDH("COMXSILV Comdty","PX_Last", N315)</f>
        <v>281819.25</v>
      </c>
      <c r="AL315" s="15" t="str" cm="1">
        <f t="array" ref="AL315">_xll.BDS("SIA Comdty","FUT_CHAIN", "CHAIN_DATE",A315,"endrow=1")</f>
        <v>SIG24 Comdty</v>
      </c>
      <c r="AM315" s="47" cm="1">
        <f t="array" ref="AM315">_xll.BDH(AL315,"FUT_AGGTE_OPEN_INT",A315)</f>
        <v>144382</v>
      </c>
      <c r="AN315" s="45">
        <f t="shared" si="157"/>
        <v>390.38003352218425</v>
      </c>
      <c r="AO315" s="46">
        <f t="shared" si="158"/>
        <v>28181925000</v>
      </c>
      <c r="AP315" s="46">
        <f t="shared" si="159"/>
        <v>721910</v>
      </c>
      <c r="AQ315" s="46"/>
    </row>
    <row r="316" spans="1:43" x14ac:dyDescent="0.2">
      <c r="A316" s="24">
        <v>45350</v>
      </c>
      <c r="B316" s="16" cm="1">
        <f t="array" ref="B316">_xll.BADDPERIODS(A316, "PER=WD", "NUMBEROFPERIODS=2", "BUSDAYADJ=-2", "CDR=GQ", "CDR=P9")</f>
        <v>45352</v>
      </c>
      <c r="C316" s="15" cm="1">
        <f t="array" ref="C316">_xll.BDH("XAU Curncy","PX_LAST",A316,A316)</f>
        <v>2034.55</v>
      </c>
      <c r="D316" s="26" t="str" cm="1">
        <f t="array" ref="D316">_xll.BDP("GCJ24 Comdty",$M$32)</f>
        <v>01/04/2024</v>
      </c>
      <c r="E316" s="15">
        <f t="shared" si="164"/>
        <v>31</v>
      </c>
      <c r="F316" s="23">
        <v>5.4300000000000001E-2</v>
      </c>
      <c r="G316" s="28">
        <f t="shared" si="147"/>
        <v>9.5132167083333332</v>
      </c>
      <c r="H316" s="12">
        <v>8.5</v>
      </c>
      <c r="I316" s="40">
        <f t="shared" si="148"/>
        <v>-1.0132167083333332</v>
      </c>
      <c r="J316" s="26">
        <v>4</v>
      </c>
      <c r="K316" s="26">
        <v>6</v>
      </c>
      <c r="L316" s="26">
        <v>8</v>
      </c>
      <c r="N316" s="24">
        <v>45350</v>
      </c>
      <c r="O316" s="16" cm="1">
        <f t="array" ref="O316">_xll.BADDPERIODS(N316, "PER=WD", "NUMBEROFPERIODS=2", "BUSDAYADJ=-2", "CDR=GQ", "CDR=P9")</f>
        <v>45352</v>
      </c>
      <c r="P316" s="15" cm="1">
        <f t="array" ref="P316">_xll.BDH("XAG Curncy","PX_LAST",N316,N316)</f>
        <v>22.457799999999999</v>
      </c>
      <c r="Q316" s="15" t="str" cm="1">
        <f t="array" ref="Q316">_xll.BDP("SIK24 Comdty",$M$32)</f>
        <v>01/05/2024</v>
      </c>
      <c r="R316" s="15">
        <f t="shared" si="165"/>
        <v>61</v>
      </c>
      <c r="S316" s="23">
        <v>5.3800000000000001E-2</v>
      </c>
      <c r="T316" s="21">
        <f t="shared" si="150"/>
        <v>0.20472780011111111</v>
      </c>
      <c r="U316" s="22">
        <v>0.215</v>
      </c>
      <c r="V316" s="39">
        <f t="shared" si="166"/>
        <v>1.0272199888888889</v>
      </c>
      <c r="W316" s="15">
        <v>15</v>
      </c>
      <c r="X316" s="15">
        <v>20</v>
      </c>
      <c r="Y316" s="15">
        <v>25</v>
      </c>
      <c r="Z316" s="18">
        <f t="shared" si="152"/>
        <v>20.472780011111112</v>
      </c>
      <c r="AA316" s="18">
        <f t="shared" si="162"/>
        <v>21.5</v>
      </c>
      <c r="AB316" s="18">
        <f t="shared" si="163"/>
        <v>1.0272199888888889</v>
      </c>
      <c r="AE316" s="44" cm="1">
        <f t="array" ref="AE316">_xll.BDH("COMXGOLD Comdty","PX_Last", N316)</f>
        <v>18259880.491</v>
      </c>
      <c r="AF316" s="15" t="str" cm="1">
        <f t="array" ref="AF316">_xll.BDS("GCA Comdty","FUT_CHAIN", "CHAIN_DATE",A316,"endrow=1")</f>
        <v>GCH24 Comdty</v>
      </c>
      <c r="AG316" s="44" cm="1">
        <f t="array" ref="AG316">_xll.BDH(AF316,"FUT_AGGTE_OPEN_INT",A316)</f>
        <v>411689</v>
      </c>
      <c r="AH316" s="44">
        <f t="shared" si="155"/>
        <v>41168900</v>
      </c>
      <c r="AI316" s="48">
        <f t="shared" si="156"/>
        <v>0.44353578771839908</v>
      </c>
      <c r="AJ316" s="45"/>
      <c r="AK316" s="44" cm="1">
        <f t="array" ref="AK316">_xll.BDH("COMXSILV Comdty","PX_Last", N316)</f>
        <v>282076</v>
      </c>
      <c r="AL316" s="15" t="str" cm="1">
        <f t="array" ref="AL316">_xll.BDS("SIA Comdty","FUT_CHAIN", "CHAIN_DATE",A316,"endrow=1")</f>
        <v>SIH24 Comdty</v>
      </c>
      <c r="AM316" s="47" cm="1">
        <f t="array" ref="AM316">_xll.BDH(AL316,"FUT_AGGTE_OPEN_INT",A316)</f>
        <v>146515</v>
      </c>
      <c r="AN316" s="45">
        <f t="shared" si="157"/>
        <v>385.04726478517557</v>
      </c>
      <c r="AO316" s="46">
        <f t="shared" si="158"/>
        <v>28207600000</v>
      </c>
      <c r="AP316" s="46">
        <f t="shared" si="159"/>
        <v>732575</v>
      </c>
      <c r="AQ316" s="46"/>
    </row>
    <row r="317" spans="1:43" x14ac:dyDescent="0.2">
      <c r="A317" s="24">
        <v>45351</v>
      </c>
      <c r="B317" s="16" cm="1">
        <f t="array" ref="B317">_xll.BADDPERIODS(A317, "PER=WD", "NUMBEROFPERIODS=2", "BUSDAYADJ=-2", "CDR=GQ", "CDR=P9")</f>
        <v>45355</v>
      </c>
      <c r="C317" s="15" cm="1">
        <f t="array" ref="C317">_xll.BDH("XAU Curncy","PX_LAST",A317,A317)</f>
        <v>2044.3</v>
      </c>
      <c r="D317" s="26" t="str" cm="1">
        <f t="array" ref="D317">_xll.BDP("GCJ24 Comdty",$M$32)</f>
        <v>01/04/2024</v>
      </c>
      <c r="E317" s="15">
        <f t="shared" si="164"/>
        <v>28</v>
      </c>
      <c r="F317" s="23">
        <v>5.4300000000000001E-2</v>
      </c>
      <c r="G317" s="28">
        <f t="shared" ref="G317:G412" si="167">C317*(E317/360)*F317</f>
        <v>8.633760333333333</v>
      </c>
      <c r="H317" s="12">
        <v>8.4</v>
      </c>
      <c r="I317" s="40">
        <f t="shared" si="148"/>
        <v>-0.23376033333333268</v>
      </c>
      <c r="J317" s="26">
        <v>4</v>
      </c>
      <c r="K317" s="26">
        <v>6</v>
      </c>
      <c r="L317" s="26">
        <v>8</v>
      </c>
      <c r="N317" s="24">
        <v>45351</v>
      </c>
      <c r="O317" s="16" cm="1">
        <f t="array" ref="O317">_xll.BADDPERIODS(N317, "PER=WD", "NUMBEROFPERIODS=2", "BUSDAYADJ=-2", "CDR=GQ", "CDR=P9")</f>
        <v>45355</v>
      </c>
      <c r="P317" s="15" cm="1">
        <f t="array" ref="P317">_xll.BDH("XAG Curncy","PX_LAST",N317,N317)</f>
        <v>22.675599999999999</v>
      </c>
      <c r="Q317" s="15" t="str" cm="1">
        <f t="array" ref="Q317">_xll.BDP("SIK24 Comdty",$M$32)</f>
        <v>01/05/2024</v>
      </c>
      <c r="R317" s="15">
        <f t="shared" si="165"/>
        <v>58</v>
      </c>
      <c r="S317" s="23">
        <v>5.3499999999999999E-2</v>
      </c>
      <c r="T317" s="21">
        <f t="shared" si="150"/>
        <v>0.19545107444444446</v>
      </c>
      <c r="U317" s="22">
        <v>0.20749999999999999</v>
      </c>
      <c r="V317" s="39">
        <f t="shared" si="166"/>
        <v>1.2048925555555534</v>
      </c>
      <c r="W317" s="15">
        <v>15</v>
      </c>
      <c r="X317" s="15">
        <v>20</v>
      </c>
      <c r="Y317" s="15">
        <v>25</v>
      </c>
      <c r="Z317" s="18">
        <f t="shared" si="152"/>
        <v>19.545107444444447</v>
      </c>
      <c r="AA317" s="18">
        <f t="shared" si="162"/>
        <v>20.75</v>
      </c>
      <c r="AB317" s="18">
        <f t="shared" si="163"/>
        <v>1.2048925555555534</v>
      </c>
      <c r="AE317" s="44" cm="1">
        <f t="array" ref="AE317">_xll.BDH("COMXGOLD Comdty","PX_Last", N317)</f>
        <v>18250350.284000002</v>
      </c>
      <c r="AF317" s="15" t="str" cm="1">
        <f t="array" ref="AF317">_xll.BDS("GCA Comdty","FUT_CHAIN", "CHAIN_DATE",A317,"endrow=1")</f>
        <v>GCH24 Comdty</v>
      </c>
      <c r="AG317" s="44" cm="1">
        <f t="array" ref="AG317">_xll.BDH(AF317,"FUT_AGGTE_OPEN_INT",A317)</f>
        <v>424082</v>
      </c>
      <c r="AH317" s="44">
        <f t="shared" si="155"/>
        <v>42408200</v>
      </c>
      <c r="AI317" s="48">
        <f t="shared" si="156"/>
        <v>0.4303495617357021</v>
      </c>
      <c r="AJ317" s="45"/>
      <c r="AK317" s="44" cm="1">
        <f t="array" ref="AK317">_xll.BDH("COMXSILV Comdty","PX_Last", N317)</f>
        <v>282126.38</v>
      </c>
      <c r="AL317" s="15" t="str" cm="1">
        <f t="array" ref="AL317">_xll.BDS("SIA Comdty","FUT_CHAIN", "CHAIN_DATE",A317,"endrow=1")</f>
        <v>SIH24 Comdty</v>
      </c>
      <c r="AM317" s="47" cm="1">
        <f t="array" ref="AM317">_xll.BDH(AL317,"FUT_AGGTE_OPEN_INT",A317)</f>
        <v>142861</v>
      </c>
      <c r="AN317" s="45">
        <f t="shared" si="157"/>
        <v>394.96626791076642</v>
      </c>
      <c r="AO317" s="46">
        <f t="shared" si="158"/>
        <v>28212638000</v>
      </c>
      <c r="AP317" s="46">
        <f t="shared" si="159"/>
        <v>714305</v>
      </c>
      <c r="AQ317" s="46"/>
    </row>
    <row r="318" spans="1:43" x14ac:dyDescent="0.2">
      <c r="A318" s="24">
        <v>45352</v>
      </c>
      <c r="B318" s="16" cm="1">
        <f t="array" ref="B318">_xll.BADDPERIODS(A318, "PER=WD", "NUMBEROFPERIODS=2", "BUSDAYADJ=-2", "CDR=GQ", "CDR=P9")</f>
        <v>45356</v>
      </c>
      <c r="C318" s="15" cm="1">
        <f t="array" ref="C318">_xll.BDH("XAU Curncy","PX_LAST",A318,A318)</f>
        <v>2082.92</v>
      </c>
      <c r="D318" s="26" t="str" cm="1">
        <f t="array" ref="D318">_xll.BDP("GCJ24 Comdty",$M$32)</f>
        <v>01/04/2024</v>
      </c>
      <c r="E318" s="15">
        <f t="shared" si="164"/>
        <v>27</v>
      </c>
      <c r="F318" s="23">
        <v>5.4300000000000001E-2</v>
      </c>
      <c r="G318" s="28">
        <f t="shared" si="167"/>
        <v>8.4826917000000002</v>
      </c>
      <c r="H318" s="12">
        <v>8.4</v>
      </c>
      <c r="I318" s="40">
        <f t="shared" ref="I318:I412" si="168">H318-G318</f>
        <v>-8.2691699999999813E-2</v>
      </c>
      <c r="J318" s="26">
        <v>4</v>
      </c>
      <c r="K318" s="26">
        <v>6</v>
      </c>
      <c r="L318" s="26">
        <v>8</v>
      </c>
      <c r="N318" s="24">
        <v>45352</v>
      </c>
      <c r="O318" s="16" cm="1">
        <f t="array" ref="O318">_xll.BADDPERIODS(N318, "PER=WD", "NUMBEROFPERIODS=2", "BUSDAYADJ=-2", "CDR=GQ", "CDR=P9")</f>
        <v>45356</v>
      </c>
      <c r="P318" s="15" cm="1">
        <f t="array" ref="P318">_xll.BDH("XAG Curncy","PX_LAST",N318,N318)</f>
        <v>23.1235</v>
      </c>
      <c r="Q318" s="15" t="str" cm="1">
        <f t="array" ref="Q318">_xll.BDP("SIK24 Comdty",$M$32)</f>
        <v>01/05/2024</v>
      </c>
      <c r="R318" s="15">
        <f t="shared" si="165"/>
        <v>57</v>
      </c>
      <c r="S318" s="23">
        <v>5.3600000000000002E-2</v>
      </c>
      <c r="T318" s="21">
        <f t="shared" si="150"/>
        <v>0.19624143666666666</v>
      </c>
      <c r="U318" s="22">
        <v>0.20499999999999999</v>
      </c>
      <c r="V318" s="39">
        <f t="shared" si="166"/>
        <v>0.87585633333333301</v>
      </c>
      <c r="W318" s="15">
        <v>15</v>
      </c>
      <c r="X318" s="15">
        <v>20</v>
      </c>
      <c r="Y318" s="15">
        <v>25</v>
      </c>
      <c r="Z318" s="18">
        <f t="shared" si="152"/>
        <v>19.624143666666665</v>
      </c>
      <c r="AA318" s="18">
        <f t="shared" si="162"/>
        <v>20.5</v>
      </c>
      <c r="AB318" s="18">
        <f t="shared" si="163"/>
        <v>0.87585633333333301</v>
      </c>
      <c r="AE318" s="44" cm="1">
        <f t="array" ref="AE318">_xll.BDH("COMXGOLD Comdty","PX_Last", N318)</f>
        <v>18225515.693999998</v>
      </c>
      <c r="AF318" s="15" t="str" cm="1">
        <f t="array" ref="AF318">_xll.BDS("GCA Comdty","FUT_CHAIN", "CHAIN_DATE",A318,"endrow=1")</f>
        <v>GCH24 Comdty</v>
      </c>
      <c r="AG318" s="44" cm="1">
        <f t="array" ref="AG318">_xll.BDH(AF318,"FUT_AGGTE_OPEN_INT",A318)</f>
        <v>454383</v>
      </c>
      <c r="AH318" s="44">
        <f t="shared" si="155"/>
        <v>45438300</v>
      </c>
      <c r="AI318" s="48">
        <f t="shared" si="156"/>
        <v>0.40110470008781135</v>
      </c>
      <c r="AJ318" s="45"/>
      <c r="AK318" s="44" cm="1">
        <f t="array" ref="AK318">_xll.BDH("COMXSILV Comdty","PX_Last", N318)</f>
        <v>282130.31</v>
      </c>
      <c r="AL318" s="15" t="str" cm="1">
        <f t="array" ref="AL318">_xll.BDS("SIA Comdty","FUT_CHAIN", "CHAIN_DATE",A318,"endrow=1")</f>
        <v>SIH24 Comdty</v>
      </c>
      <c r="AM318" s="47" cm="1">
        <f t="array" ref="AM318">_xll.BDH(AL318,"FUT_AGGTE_OPEN_INT",A318)</f>
        <v>143210</v>
      </c>
      <c r="AN318" s="45">
        <f t="shared" si="157"/>
        <v>394.00923119893866</v>
      </c>
      <c r="AO318" s="46">
        <f t="shared" si="158"/>
        <v>28213031000</v>
      </c>
      <c r="AP318" s="46">
        <f t="shared" si="159"/>
        <v>716050</v>
      </c>
      <c r="AQ318" s="46"/>
    </row>
    <row r="319" spans="1:43" x14ac:dyDescent="0.2">
      <c r="A319" s="24">
        <v>45355</v>
      </c>
      <c r="B319" s="16" cm="1">
        <f t="array" ref="B319">_xll.BADDPERIODS(A319, "PER=WD", "NUMBEROFPERIODS=2", "BUSDAYADJ=-2", "CDR=GQ", "CDR=P9")</f>
        <v>45357</v>
      </c>
      <c r="C319" s="15" cm="1">
        <f t="array" ref="C319">_xll.BDH("XAU Curncy","PX_LAST",A319,A319)</f>
        <v>2114.48</v>
      </c>
      <c r="D319" s="26" t="str" cm="1">
        <f t="array" ref="D319">_xll.BDP("GCJ24 Comdty",$M$32)</f>
        <v>01/04/2024</v>
      </c>
      <c r="E319" s="15">
        <f t="shared" si="164"/>
        <v>26</v>
      </c>
      <c r="F319" s="23">
        <v>5.4219999999999997E-2</v>
      </c>
      <c r="G319" s="28">
        <f t="shared" si="167"/>
        <v>8.2800687377777766</v>
      </c>
      <c r="H319" s="12">
        <v>8.4499999999999993</v>
      </c>
      <c r="I319" s="41">
        <f t="shared" si="168"/>
        <v>0.16993126222222266</v>
      </c>
      <c r="J319" s="26">
        <v>4</v>
      </c>
      <c r="K319" s="26">
        <v>6</v>
      </c>
      <c r="L319" s="26">
        <v>8</v>
      </c>
      <c r="N319" s="24">
        <v>45355</v>
      </c>
      <c r="O319" s="16" cm="1">
        <f t="array" ref="O319">_xll.BADDPERIODS(N319, "PER=WD", "NUMBEROFPERIODS=2", "BUSDAYADJ=-2", "CDR=GQ", "CDR=P9")</f>
        <v>45357</v>
      </c>
      <c r="P319" s="15" cm="1">
        <f t="array" ref="P319">_xll.BDH("XAG Curncy","PX_LAST",N319,N319)</f>
        <v>23.886500000000002</v>
      </c>
      <c r="Q319" s="15" t="str" cm="1">
        <f t="array" ref="Q319">_xll.BDP("SIK24 Comdty",$M$32)</f>
        <v>01/05/2024</v>
      </c>
      <c r="R319" s="15">
        <f t="shared" si="165"/>
        <v>56</v>
      </c>
      <c r="S319" s="23">
        <v>5.3699999999999998E-2</v>
      </c>
      <c r="T319" s="21">
        <f t="shared" si="150"/>
        <v>0.19953189666666668</v>
      </c>
      <c r="U319" s="12">
        <v>0.20499999999999999</v>
      </c>
      <c r="V319" s="39">
        <f t="shared" si="166"/>
        <v>0.54681033333333073</v>
      </c>
      <c r="W319" s="15">
        <v>15</v>
      </c>
      <c r="X319" s="15">
        <v>20</v>
      </c>
      <c r="Y319" s="15">
        <v>25</v>
      </c>
      <c r="Z319" s="18">
        <f t="shared" si="152"/>
        <v>19.953189666666667</v>
      </c>
      <c r="AA319" s="18">
        <f t="shared" si="162"/>
        <v>20.5</v>
      </c>
      <c r="AB319" s="18">
        <f t="shared" si="163"/>
        <v>0.54681033333333073</v>
      </c>
      <c r="AE319" s="44" cm="1">
        <f t="array" ref="AE319">_xll.BDH("COMXGOLD Comdty","PX_Last", N319)</f>
        <v>18159578.870000001</v>
      </c>
      <c r="AF319" s="15" t="str" cm="1">
        <f t="array" ref="AF319">_xll.BDS("GCA Comdty","FUT_CHAIN", "CHAIN_DATE",A319,"endrow=1")</f>
        <v>GCH24 Comdty</v>
      </c>
      <c r="AG319" s="44" cm="1">
        <f t="array" ref="AG319">_xll.BDH(AF319,"FUT_AGGTE_OPEN_INT",A319)</f>
        <v>467693</v>
      </c>
      <c r="AH319" s="44">
        <f t="shared" si="155"/>
        <v>46769300</v>
      </c>
      <c r="AI319" s="48">
        <f t="shared" si="156"/>
        <v>0.38827989450344563</v>
      </c>
      <c r="AJ319" s="45"/>
      <c r="AK319" s="44" cm="1">
        <f t="array" ref="AK319">_xll.BDH("COMXSILV Comdty","PX_Last", N319)</f>
        <v>282596.53000000003</v>
      </c>
      <c r="AL319" s="15" t="str" cm="1">
        <f t="array" ref="AL319">_xll.BDS("SIA Comdty","FUT_CHAIN", "CHAIN_DATE",A319,"endrow=1")</f>
        <v>SIH24 Comdty</v>
      </c>
      <c r="AM319" s="47" cm="1">
        <f t="array" ref="AM319">_xll.BDH(AL319,"FUT_AGGTE_OPEN_INT",A319)</f>
        <v>143353</v>
      </c>
      <c r="AN319" s="45">
        <f t="shared" si="157"/>
        <v>394.26664248393831</v>
      </c>
      <c r="AO319" s="46">
        <f t="shared" si="158"/>
        <v>28259653000.000004</v>
      </c>
      <c r="AP319" s="46">
        <f t="shared" si="159"/>
        <v>716765</v>
      </c>
      <c r="AQ319" s="46"/>
    </row>
    <row r="320" spans="1:43" x14ac:dyDescent="0.2">
      <c r="A320" s="24">
        <v>45356</v>
      </c>
      <c r="B320" s="16" cm="1">
        <f t="array" ref="B320">_xll.BADDPERIODS(A320, "PER=WD", "NUMBEROFPERIODS=2", "BUSDAYADJ=-2", "CDR=GQ", "CDR=P9")</f>
        <v>45358</v>
      </c>
      <c r="C320" s="15" cm="1">
        <f t="array" ref="C320">_xll.BDH("XAU Curncy","PX_LAST",A320,A320)</f>
        <v>2128.04</v>
      </c>
      <c r="D320" s="26" t="str" cm="1">
        <f t="array" ref="D320">_xll.BDP("GCJ24 Comdty",$M$32)</f>
        <v>01/04/2024</v>
      </c>
      <c r="E320" s="15">
        <f t="shared" si="164"/>
        <v>25</v>
      </c>
      <c r="F320" s="23">
        <v>5.4199999999999998E-2</v>
      </c>
      <c r="G320" s="28">
        <f t="shared" si="167"/>
        <v>8.009706111111111</v>
      </c>
      <c r="H320" s="12">
        <v>8.1</v>
      </c>
      <c r="I320" s="41">
        <f t="shared" si="168"/>
        <v>9.0293888888888674E-2</v>
      </c>
      <c r="J320" s="26">
        <v>4</v>
      </c>
      <c r="K320" s="26">
        <v>6</v>
      </c>
      <c r="L320" s="26">
        <v>8</v>
      </c>
      <c r="N320" s="24">
        <v>45356</v>
      </c>
      <c r="O320" s="16" cm="1">
        <f t="array" ref="O320">_xll.BADDPERIODS(N320, "PER=WD", "NUMBEROFPERIODS=2", "BUSDAYADJ=-2", "CDR=GQ", "CDR=P9")</f>
        <v>45358</v>
      </c>
      <c r="P320" s="15" cm="1">
        <f t="array" ref="P320">_xll.BDH("XAG Curncy","PX_LAST",N320,N320)</f>
        <v>23.670999999999999</v>
      </c>
      <c r="Q320" s="15" t="str" cm="1">
        <f t="array" ref="Q320">_xll.BDP("SIK24 Comdty",$M$32)</f>
        <v>01/05/2024</v>
      </c>
      <c r="R320" s="15">
        <f t="shared" si="165"/>
        <v>55</v>
      </c>
      <c r="S320" s="23">
        <v>5.4100000000000002E-2</v>
      </c>
      <c r="T320" s="21">
        <f t="shared" si="150"/>
        <v>0.19564739027777781</v>
      </c>
      <c r="U320" s="12">
        <v>0.2175</v>
      </c>
      <c r="V320" s="39">
        <f t="shared" si="166"/>
        <v>2.1852609722222196</v>
      </c>
      <c r="W320" s="15">
        <v>15</v>
      </c>
      <c r="X320" s="15">
        <v>20</v>
      </c>
      <c r="Y320" s="15">
        <v>25</v>
      </c>
      <c r="Z320" s="18">
        <f t="shared" si="152"/>
        <v>19.56473902777778</v>
      </c>
      <c r="AA320" s="18">
        <f t="shared" si="162"/>
        <v>21.75</v>
      </c>
      <c r="AB320" s="18">
        <f t="shared" si="163"/>
        <v>2.1852609722222196</v>
      </c>
      <c r="AE320" s="44" cm="1">
        <f t="array" ref="AE320">_xll.BDH("COMXGOLD Comdty","PX_Last", N320)</f>
        <v>18147831.693999998</v>
      </c>
      <c r="AF320" s="15" t="str" cm="1">
        <f t="array" ref="AF320">_xll.BDS("GCA Comdty","FUT_CHAIN", "CHAIN_DATE",A320,"endrow=1")</f>
        <v>GCH24 Comdty</v>
      </c>
      <c r="AG320" s="44" cm="1">
        <f t="array" ref="AG320">_xll.BDH(AF320,"FUT_AGGTE_OPEN_INT",A320)</f>
        <v>471616</v>
      </c>
      <c r="AH320" s="44">
        <f t="shared" si="155"/>
        <v>47161600</v>
      </c>
      <c r="AI320" s="48">
        <f t="shared" si="156"/>
        <v>0.38480101807402628</v>
      </c>
      <c r="AJ320" s="45"/>
      <c r="AK320" s="44" cm="1">
        <f t="array" ref="AK320">_xll.BDH("COMXSILV Comdty","PX_Last", N320)</f>
        <v>283169.56</v>
      </c>
      <c r="AL320" s="15" t="str" cm="1">
        <f t="array" ref="AL320">_xll.BDS("SIA Comdty","FUT_CHAIN", "CHAIN_DATE",A320,"endrow=1")</f>
        <v>SIH24 Comdty</v>
      </c>
      <c r="AM320" s="47" cm="1">
        <f t="array" ref="AM320">_xll.BDH(AL320,"FUT_AGGTE_OPEN_INT",A320)</f>
        <v>141026</v>
      </c>
      <c r="AN320" s="45">
        <f t="shared" si="157"/>
        <v>401.58489923843831</v>
      </c>
      <c r="AO320" s="46">
        <f t="shared" si="158"/>
        <v>28316956000</v>
      </c>
      <c r="AP320" s="46">
        <f t="shared" si="159"/>
        <v>705130</v>
      </c>
      <c r="AQ320" s="46"/>
    </row>
    <row r="321" spans="1:43" x14ac:dyDescent="0.2">
      <c r="A321" s="24">
        <v>45357</v>
      </c>
      <c r="B321" s="16" cm="1">
        <f t="array" ref="B321">_xll.BADDPERIODS(A321, "PER=WD", "NUMBEROFPERIODS=2", "BUSDAYADJ=-2", "CDR=GQ", "CDR=P9")</f>
        <v>45359</v>
      </c>
      <c r="C321" s="15" cm="1">
        <f t="array" ref="C321">_xll.BDH("XAU Curncy","PX_LAST",A321,A321)</f>
        <v>2148.1799999999998</v>
      </c>
      <c r="D321" s="26" t="str" cm="1">
        <f t="array" ref="D321">_xll.BDP("GCJ24 Comdty",$M$32)</f>
        <v>01/04/2024</v>
      </c>
      <c r="E321" s="15">
        <f t="shared" si="164"/>
        <v>24</v>
      </c>
      <c r="F321" s="23">
        <v>5.4199999999999998E-2</v>
      </c>
      <c r="G321" s="28">
        <f t="shared" si="167"/>
        <v>7.7620903999999991</v>
      </c>
      <c r="H321" s="12">
        <v>8.1</v>
      </c>
      <c r="I321" s="41">
        <f t="shared" si="168"/>
        <v>0.33790960000000059</v>
      </c>
      <c r="J321" s="26">
        <v>4</v>
      </c>
      <c r="K321" s="26">
        <v>6</v>
      </c>
      <c r="L321" s="26">
        <v>8</v>
      </c>
      <c r="N321" s="24">
        <v>45357</v>
      </c>
      <c r="O321" s="16" cm="1">
        <f t="array" ref="O321">_xll.BADDPERIODS(N321, "PER=WD", "NUMBEROFPERIODS=2", "BUSDAYADJ=-2", "CDR=GQ", "CDR=P9")</f>
        <v>45359</v>
      </c>
      <c r="P321" s="15" cm="1">
        <f t="array" ref="P321">_xll.BDH("XAG Curncy","PX_LAST",N321,N321)</f>
        <v>24.167300000000001</v>
      </c>
      <c r="Q321" s="15" t="str" cm="1">
        <f t="array" ref="Q321">_xll.BDP("SIK24 Comdty",$M$32)</f>
        <v>01/05/2024</v>
      </c>
      <c r="R321" s="15">
        <f t="shared" si="165"/>
        <v>54</v>
      </c>
      <c r="S321" s="23">
        <v>5.4199999999999998E-2</v>
      </c>
      <c r="T321" s="21">
        <f t="shared" si="150"/>
        <v>0.19648014899999999</v>
      </c>
      <c r="U321" s="12">
        <v>0.22500000000000001</v>
      </c>
      <c r="V321" s="39">
        <f t="shared" si="166"/>
        <v>2.8519851000000012</v>
      </c>
      <c r="W321" s="15">
        <v>15</v>
      </c>
      <c r="X321" s="15">
        <v>20</v>
      </c>
      <c r="Y321" s="15">
        <v>25</v>
      </c>
      <c r="Z321" s="18">
        <f t="shared" si="152"/>
        <v>19.6480149</v>
      </c>
      <c r="AA321" s="18">
        <f t="shared" si="162"/>
        <v>22.5</v>
      </c>
      <c r="AB321" s="18">
        <f t="shared" si="163"/>
        <v>2.8519851000000012</v>
      </c>
      <c r="AE321" s="44" cm="1">
        <f t="array" ref="AE321">_xll.BDH("COMXGOLD Comdty","PX_Last", N321)</f>
        <v>18093353.017000001</v>
      </c>
      <c r="AF321" s="15" t="str" cm="1">
        <f t="array" ref="AF321">_xll.BDS("GCA Comdty","FUT_CHAIN", "CHAIN_DATE",A321,"endrow=1")</f>
        <v>GCH24 Comdty</v>
      </c>
      <c r="AG321" s="44" cm="1">
        <f t="array" ref="AG321">_xll.BDH(AF321,"FUT_AGGTE_OPEN_INT",A321)</f>
        <v>487332</v>
      </c>
      <c r="AH321" s="44">
        <f t="shared" si="155"/>
        <v>48733200</v>
      </c>
      <c r="AI321" s="48">
        <f t="shared" si="156"/>
        <v>0.37127364952434894</v>
      </c>
      <c r="AJ321" s="45"/>
      <c r="AK321" s="44" cm="1">
        <f t="array" ref="AK321">_xll.BDH("COMXSILV Comdty","PX_Last", N321)</f>
        <v>283780.21999999997</v>
      </c>
      <c r="AL321" s="15" t="str" cm="1">
        <f t="array" ref="AL321">_xll.BDS("SIA Comdty","FUT_CHAIN", "CHAIN_DATE",A321,"endrow=1")</f>
        <v>SIH24 Comdty</v>
      </c>
      <c r="AM321" s="47" cm="1">
        <f t="array" ref="AM321">_xll.BDH(AL321,"FUT_AGGTE_OPEN_INT",A321)</f>
        <v>141744</v>
      </c>
      <c r="AN321" s="45">
        <f t="shared" si="157"/>
        <v>400.41232080370241</v>
      </c>
      <c r="AO321" s="46">
        <f t="shared" si="158"/>
        <v>28378021999.999996</v>
      </c>
      <c r="AP321" s="46">
        <f t="shared" si="159"/>
        <v>708720</v>
      </c>
      <c r="AQ321" s="46"/>
    </row>
    <row r="322" spans="1:43" x14ac:dyDescent="0.2">
      <c r="A322" s="24">
        <v>45358</v>
      </c>
      <c r="B322" s="16" cm="1">
        <f t="array" ref="B322">_xll.BADDPERIODS(A322, "PER=WD", "NUMBEROFPERIODS=2", "BUSDAYADJ=-2", "CDR=GQ", "CDR=P9")</f>
        <v>45362</v>
      </c>
      <c r="C322" s="15" cm="1">
        <f t="array" ref="C322">_xll.BDH("XAU Curncy","PX_LAST",A322,A322)</f>
        <v>2159.98</v>
      </c>
      <c r="D322" s="26" t="str" cm="1">
        <f t="array" ref="D322">_xll.BDP("GCJ24 Comdty",$M$32)</f>
        <v>01/04/2024</v>
      </c>
      <c r="E322" s="15">
        <f t="shared" si="164"/>
        <v>21</v>
      </c>
      <c r="F322" s="23">
        <v>5.4300000000000001E-2</v>
      </c>
      <c r="G322" s="28">
        <f t="shared" si="167"/>
        <v>6.8417366500000005</v>
      </c>
      <c r="H322" s="12">
        <v>7.3</v>
      </c>
      <c r="I322" s="41">
        <f t="shared" si="168"/>
        <v>0.45826334999999929</v>
      </c>
      <c r="J322" s="26">
        <v>4</v>
      </c>
      <c r="K322" s="26">
        <v>6</v>
      </c>
      <c r="L322" s="26">
        <v>8</v>
      </c>
      <c r="N322" s="24">
        <v>45358</v>
      </c>
      <c r="O322" s="16" cm="1">
        <f t="array" ref="O322">_xll.BADDPERIODS(N322, "PER=WD", "NUMBEROFPERIODS=2", "BUSDAYADJ=-2", "CDR=GQ", "CDR=P9")</f>
        <v>45362</v>
      </c>
      <c r="P322" s="15" cm="1">
        <f t="array" ref="P322">_xll.BDH("XAG Curncy","PX_LAST",N322,N322)</f>
        <v>24.328099999999999</v>
      </c>
      <c r="Q322" s="15" t="str" cm="1">
        <f t="array" ref="Q322">_xll.BDP("SIK24 Comdty",$M$32)</f>
        <v>01/05/2024</v>
      </c>
      <c r="R322" s="15">
        <f t="shared" si="165"/>
        <v>51</v>
      </c>
      <c r="S322" s="23">
        <v>5.4199999999999998E-2</v>
      </c>
      <c r="T322" s="21">
        <f t="shared" si="150"/>
        <v>0.18679926116666665</v>
      </c>
      <c r="U322" s="12">
        <v>0.2225</v>
      </c>
      <c r="V322" s="39">
        <f t="shared" si="166"/>
        <v>3.5700738833333356</v>
      </c>
      <c r="W322" s="15">
        <v>15</v>
      </c>
      <c r="X322" s="15">
        <v>20</v>
      </c>
      <c r="Y322" s="15">
        <v>25</v>
      </c>
      <c r="Z322" s="18">
        <f t="shared" si="152"/>
        <v>18.679926116666664</v>
      </c>
      <c r="AA322" s="18">
        <f t="shared" si="162"/>
        <v>22.25</v>
      </c>
      <c r="AB322" s="18">
        <f t="shared" si="163"/>
        <v>3.5700738833333356</v>
      </c>
      <c r="AE322" s="44" cm="1">
        <f t="array" ref="AE322">_xll.BDH("COMXGOLD Comdty","PX_Last", N322)</f>
        <v>18093353.017000001</v>
      </c>
      <c r="AF322" s="15" t="str" cm="1">
        <f t="array" ref="AF322">_xll.BDS("GCA Comdty","FUT_CHAIN", "CHAIN_DATE",A322,"endrow=1")</f>
        <v>GCH24 Comdty</v>
      </c>
      <c r="AG322" s="44" cm="1">
        <f t="array" ref="AG322">_xll.BDH(AF322,"FUT_AGGTE_OPEN_INT",A322)</f>
        <v>506927</v>
      </c>
      <c r="AH322" s="44">
        <f t="shared" si="155"/>
        <v>50692700</v>
      </c>
      <c r="AI322" s="48">
        <f t="shared" si="156"/>
        <v>0.35692225935884259</v>
      </c>
      <c r="AJ322" s="45"/>
      <c r="AK322" s="44" cm="1">
        <f t="array" ref="AK322">_xll.BDH("COMXSILV Comdty","PX_Last", N322)</f>
        <v>284271.25</v>
      </c>
      <c r="AL322" s="15" t="str" cm="1">
        <f t="array" ref="AL322">_xll.BDS("SIA Comdty","FUT_CHAIN", "CHAIN_DATE",A322,"endrow=1")</f>
        <v>SIH24 Comdty</v>
      </c>
      <c r="AM322" s="47" cm="1">
        <f t="array" ref="AM322">_xll.BDH(AL322,"FUT_AGGTE_OPEN_INT",A322)</f>
        <v>144228</v>
      </c>
      <c r="AN322" s="45">
        <f t="shared" si="157"/>
        <v>394.19703524974352</v>
      </c>
      <c r="AO322" s="46">
        <f t="shared" si="158"/>
        <v>28427125000</v>
      </c>
      <c r="AP322" s="46">
        <f t="shared" si="159"/>
        <v>721140</v>
      </c>
      <c r="AQ322" s="46"/>
    </row>
    <row r="323" spans="1:43" x14ac:dyDescent="0.2">
      <c r="A323" s="24">
        <v>45359</v>
      </c>
      <c r="B323" s="16" cm="1">
        <f t="array" ref="B323">_xll.BADDPERIODS(A323, "PER=WD", "NUMBEROFPERIODS=2", "BUSDAYADJ=-2", "CDR=GQ", "CDR=P9")</f>
        <v>45363</v>
      </c>
      <c r="C323" s="15" cm="1">
        <f t="array" ref="C323">_xll.BDH("XAU Curncy","PX_LAST",A323,A323)</f>
        <v>2178.9499999999998</v>
      </c>
      <c r="D323" s="26" t="str" cm="1">
        <f t="array" ref="D323">_xll.BDP("GCJ24 Comdty",$M$32)</f>
        <v>01/04/2024</v>
      </c>
      <c r="E323" s="15">
        <f t="shared" si="164"/>
        <v>20</v>
      </c>
      <c r="F323" s="23">
        <v>5.4600000000000003E-2</v>
      </c>
      <c r="G323" s="28">
        <f t="shared" si="167"/>
        <v>6.6094816666666665</v>
      </c>
      <c r="H323" s="12">
        <v>6.8</v>
      </c>
      <c r="I323" s="41">
        <f t="shared" si="168"/>
        <v>0.19051833333333335</v>
      </c>
      <c r="J323" s="26">
        <v>4</v>
      </c>
      <c r="K323" s="26">
        <v>6</v>
      </c>
      <c r="L323" s="26">
        <v>8</v>
      </c>
      <c r="N323" s="24">
        <v>45359</v>
      </c>
      <c r="O323" s="16" cm="1">
        <f t="array" ref="O323">_xll.BADDPERIODS(N323, "PER=WD", "NUMBEROFPERIODS=2", "BUSDAYADJ=-2", "CDR=GQ", "CDR=P9")</f>
        <v>45363</v>
      </c>
      <c r="P323" s="15" cm="1">
        <f t="array" ref="P323">_xll.BDH("XAG Curncy","PX_LAST",N323,N323)</f>
        <v>24.311699999999998</v>
      </c>
      <c r="Q323" s="15" t="str" cm="1">
        <f t="array" ref="Q323">_xll.BDP("SIK24 Comdty",$M$32)</f>
        <v>01/05/2024</v>
      </c>
      <c r="R323" s="15">
        <f t="shared" si="165"/>
        <v>50</v>
      </c>
      <c r="S323" s="23">
        <v>5.4199999999999998E-2</v>
      </c>
      <c r="T323" s="21">
        <f t="shared" si="150"/>
        <v>0.18301307499999997</v>
      </c>
      <c r="U323" s="12">
        <v>0.2175</v>
      </c>
      <c r="V323" s="39">
        <f t="shared" si="166"/>
        <v>3.448692500000003</v>
      </c>
      <c r="W323" s="15">
        <v>15</v>
      </c>
      <c r="X323" s="15">
        <v>20</v>
      </c>
      <c r="Y323" s="15">
        <v>25</v>
      </c>
      <c r="Z323" s="18">
        <f t="shared" si="152"/>
        <v>18.301307499999997</v>
      </c>
      <c r="AA323" s="18">
        <f t="shared" si="162"/>
        <v>21.75</v>
      </c>
      <c r="AB323" s="18">
        <f t="shared" si="163"/>
        <v>3.448692500000003</v>
      </c>
      <c r="AE323" s="44" cm="1">
        <f t="array" ref="AE323">_xll.BDH("COMXGOLD Comdty","PX_Last", N323)</f>
        <v>18037962.498</v>
      </c>
      <c r="AF323" s="15" t="str" cm="1">
        <f t="array" ref="AF323">_xll.BDS("GCA Comdty","FUT_CHAIN", "CHAIN_DATE",A323,"endrow=1")</f>
        <v>GCH24 Comdty</v>
      </c>
      <c r="AG323" s="44" cm="1">
        <f t="array" ref="AG323">_xll.BDH(AF323,"FUT_AGGTE_OPEN_INT",A323)</f>
        <v>534119</v>
      </c>
      <c r="AH323" s="44">
        <f t="shared" si="155"/>
        <v>53411900</v>
      </c>
      <c r="AI323" s="48">
        <f t="shared" si="156"/>
        <v>0.33771430145716591</v>
      </c>
      <c r="AJ323" s="45"/>
      <c r="AK323" s="44" cm="1">
        <f t="array" ref="AK323">_xll.BDH("COMXSILV Comdty","PX_Last", N323)</f>
        <v>285192.03000000003</v>
      </c>
      <c r="AL323" s="15" t="str" cm="1">
        <f t="array" ref="AL323">_xll.BDS("SIA Comdty","FUT_CHAIN", "CHAIN_DATE",A323,"endrow=1")</f>
        <v>SIH24 Comdty</v>
      </c>
      <c r="AM323" s="47" cm="1">
        <f t="array" ref="AM323">_xll.BDH(AL323,"FUT_AGGTE_OPEN_INT",A323)</f>
        <v>142481</v>
      </c>
      <c r="AN323" s="45">
        <f t="shared" si="157"/>
        <v>400.32289217509708</v>
      </c>
      <c r="AO323" s="46">
        <f t="shared" si="158"/>
        <v>28519203000.000004</v>
      </c>
      <c r="AP323" s="46">
        <f t="shared" si="159"/>
        <v>712405</v>
      </c>
      <c r="AQ323" s="46"/>
    </row>
    <row r="324" spans="1:43" x14ac:dyDescent="0.2">
      <c r="A324" s="24">
        <v>45362</v>
      </c>
      <c r="B324" s="16" cm="1">
        <f t="array" ref="B324">_xll.BADDPERIODS(A324, "PER=WD", "NUMBEROFPERIODS=2", "BUSDAYADJ=-2", "CDR=GQ", "CDR=P9")</f>
        <v>45364</v>
      </c>
      <c r="C324" s="15" cm="1">
        <f t="array" ref="C324">_xll.BDH("XAU Curncy","PX_LAST",A324,A324)</f>
        <v>2182.75</v>
      </c>
      <c r="D324" s="26" t="str" cm="1">
        <f t="array" ref="D324">_xll.BDP("GCJ24 Comdty",$M$32)</f>
        <v>01/04/2024</v>
      </c>
      <c r="E324" s="15">
        <f t="shared" si="164"/>
        <v>19</v>
      </c>
      <c r="F324" s="23">
        <v>5.3999999999999999E-2</v>
      </c>
      <c r="G324" s="28">
        <f t="shared" si="167"/>
        <v>6.2208374999999991</v>
      </c>
      <c r="H324" s="12">
        <v>6.25</v>
      </c>
      <c r="I324" s="42">
        <f t="shared" si="168"/>
        <v>2.9162500000000868E-2</v>
      </c>
      <c r="J324" s="26">
        <v>4</v>
      </c>
      <c r="K324" s="26">
        <v>6</v>
      </c>
      <c r="L324" s="26">
        <v>8</v>
      </c>
      <c r="N324" s="24">
        <v>45362</v>
      </c>
      <c r="O324" s="16" cm="1">
        <f t="array" ref="O324">_xll.BADDPERIODS(N324, "PER=WD", "NUMBEROFPERIODS=2", "BUSDAYADJ=-2", "CDR=GQ", "CDR=P9")</f>
        <v>45364</v>
      </c>
      <c r="P324" s="15" cm="1">
        <f t="array" ref="P324">_xll.BDH("XAG Curncy","PX_LAST",N324,N324)</f>
        <v>24.468399999999999</v>
      </c>
      <c r="Q324" s="15" t="str" cm="1">
        <f t="array" ref="Q324">_xll.BDP("SIK24 Comdty",$M$32)</f>
        <v>01/05/2024</v>
      </c>
      <c r="R324" s="15">
        <f t="shared" si="165"/>
        <v>49</v>
      </c>
      <c r="S324" s="23">
        <v>5.4300000000000001E-2</v>
      </c>
      <c r="T324" s="21">
        <f t="shared" si="150"/>
        <v>0.18084186633333332</v>
      </c>
      <c r="U324" s="12">
        <v>0.21</v>
      </c>
      <c r="V324" s="43">
        <f t="shared" si="166"/>
        <v>2.9158133666666668</v>
      </c>
      <c r="W324" s="15">
        <v>15</v>
      </c>
      <c r="X324" s="15">
        <v>20</v>
      </c>
      <c r="Y324" s="15">
        <v>25</v>
      </c>
      <c r="Z324" s="18">
        <f t="shared" si="152"/>
        <v>18.084186633333331</v>
      </c>
      <c r="AA324" s="18">
        <f t="shared" si="162"/>
        <v>21</v>
      </c>
      <c r="AB324" s="18">
        <f t="shared" si="163"/>
        <v>2.9158133666666668</v>
      </c>
      <c r="AE324" s="44" cm="1">
        <f t="array" ref="AE324">_xll.BDH("COMXGOLD Comdty","PX_Last", N324)</f>
        <v>17889810.714000002</v>
      </c>
      <c r="AF324" s="15" t="str" cm="1">
        <f t="array" ref="AF324">_xll.BDS("GCA Comdty","FUT_CHAIN", "CHAIN_DATE",A324,"endrow=1")</f>
        <v>GCH24 Comdty</v>
      </c>
      <c r="AG324" s="44" cm="1">
        <f t="array" ref="AG324">_xll.BDH(AF324,"FUT_AGGTE_OPEN_INT",A324)</f>
        <v>529474</v>
      </c>
      <c r="AH324" s="44">
        <f t="shared" si="155"/>
        <v>52947400</v>
      </c>
      <c r="AI324" s="48">
        <f t="shared" si="156"/>
        <v>0.33787892727499369</v>
      </c>
      <c r="AJ324" s="45"/>
      <c r="AK324" s="44" cm="1">
        <f t="array" ref="AK324">_xll.BDH("COMXSILV Comdty","PX_Last", N324)</f>
        <v>285012.96999999997</v>
      </c>
      <c r="AL324" s="15" t="str" cm="1">
        <f t="array" ref="AL324">_xll.BDS("SIA Comdty","FUT_CHAIN", "CHAIN_DATE",A324,"endrow=1")</f>
        <v>SIH24 Comdty</v>
      </c>
      <c r="AM324" s="47" cm="1">
        <f t="array" ref="AM324">_xll.BDH(AL324,"FUT_AGGTE_OPEN_INT",A324)</f>
        <v>145248</v>
      </c>
      <c r="AN324" s="45">
        <f t="shared" si="157"/>
        <v>392.45011291033262</v>
      </c>
      <c r="AO324" s="46">
        <f t="shared" si="158"/>
        <v>28501296999.999996</v>
      </c>
      <c r="AP324" s="46">
        <f t="shared" si="159"/>
        <v>726240</v>
      </c>
      <c r="AQ324" s="46"/>
    </row>
    <row r="325" spans="1:43" x14ac:dyDescent="0.2">
      <c r="A325" s="24">
        <v>45363</v>
      </c>
      <c r="B325" s="16" cm="1">
        <f t="array" ref="B325">_xll.BADDPERIODS(A325, "PER=WD", "NUMBEROFPERIODS=2", "BUSDAYADJ=-2", "CDR=GQ", "CDR=P9")</f>
        <v>45365</v>
      </c>
      <c r="C325" s="15" cm="1">
        <f t="array" ref="C325">_xll.BDH("XAU Curncy","PX_LAST",A325,A325)</f>
        <v>2158.34</v>
      </c>
      <c r="D325" s="26" t="str" cm="1">
        <f t="array" ref="D325">_xll.BDP("GCJ24 Comdty",$M$32)</f>
        <v>01/04/2024</v>
      </c>
      <c r="E325" s="15">
        <f t="shared" si="164"/>
        <v>18</v>
      </c>
      <c r="F325" s="23">
        <v>5.3999999999999999E-2</v>
      </c>
      <c r="G325" s="28">
        <f t="shared" si="167"/>
        <v>5.8275180000000004</v>
      </c>
      <c r="H325" s="12">
        <v>6</v>
      </c>
      <c r="I325" s="42">
        <f t="shared" si="168"/>
        <v>0.17248199999999958</v>
      </c>
      <c r="J325" s="26">
        <v>4</v>
      </c>
      <c r="K325" s="26">
        <v>6</v>
      </c>
      <c r="L325" s="26">
        <v>8</v>
      </c>
      <c r="N325" s="24">
        <v>45363</v>
      </c>
      <c r="O325" s="16" cm="1">
        <f t="array" ref="O325">_xll.BADDPERIODS(N325, "PER=WD", "NUMBEROFPERIODS=2", "BUSDAYADJ=-2", "CDR=GQ", "CDR=P9")</f>
        <v>45365</v>
      </c>
      <c r="P325" s="15" cm="1">
        <f t="array" ref="P325">_xll.BDH("XAG Curncy","PX_LAST",N325,N325)</f>
        <v>24.1448</v>
      </c>
      <c r="Q325" s="15" t="str" cm="1">
        <f t="array" ref="Q325">_xll.BDP("SIK24 Comdty",$M$32)</f>
        <v>01/05/2024</v>
      </c>
      <c r="R325" s="15">
        <f t="shared" si="165"/>
        <v>48</v>
      </c>
      <c r="S325" s="23">
        <v>5.45E-2</v>
      </c>
      <c r="T325" s="21">
        <f t="shared" si="150"/>
        <v>0.17545221333333333</v>
      </c>
      <c r="U325" s="12">
        <v>0.20749999999999999</v>
      </c>
      <c r="V325" s="43">
        <f t="shared" si="166"/>
        <v>3.204778666666666</v>
      </c>
      <c r="W325" s="15">
        <v>15</v>
      </c>
      <c r="X325" s="15">
        <v>20</v>
      </c>
      <c r="Y325" s="15">
        <v>25</v>
      </c>
      <c r="Z325" s="18">
        <f t="shared" si="152"/>
        <v>17.545221333333334</v>
      </c>
      <c r="AA325" s="18">
        <f t="shared" si="162"/>
        <v>20.75</v>
      </c>
      <c r="AB325" s="18">
        <f t="shared" si="163"/>
        <v>3.204778666666666</v>
      </c>
      <c r="AE325" s="44" cm="1">
        <f t="array" ref="AE325">_xll.BDH("COMXGOLD Comdty","PX_Last", N325)</f>
        <v>17887532.221000001</v>
      </c>
      <c r="AF325" s="15" t="str" cm="1">
        <f t="array" ref="AF325">_xll.BDS("GCA Comdty","FUT_CHAIN", "CHAIN_DATE",A325,"endrow=1")</f>
        <v>GCH24 Comdty</v>
      </c>
      <c r="AG325" s="44" cm="1">
        <f t="array" ref="AG325">_xll.BDH(AF325,"FUT_AGGTE_OPEN_INT",A325)</f>
        <v>516057</v>
      </c>
      <c r="AH325" s="44">
        <f t="shared" si="155"/>
        <v>51605700</v>
      </c>
      <c r="AI325" s="48">
        <f t="shared" si="156"/>
        <v>0.34661931183958361</v>
      </c>
      <c r="AJ325" s="45"/>
      <c r="AK325" s="44" cm="1">
        <f t="array" ref="AK325">_xll.BDH("COMXSILV Comdty","PX_Last", N325)</f>
        <v>286486.38</v>
      </c>
      <c r="AL325" s="15" t="str" cm="1">
        <f t="array" ref="AL325">_xll.BDS("SIA Comdty","FUT_CHAIN", "CHAIN_DATE",A325,"endrow=1")</f>
        <v>SIH24 Comdty</v>
      </c>
      <c r="AM325" s="47" cm="1">
        <f t="array" ref="AM325">_xll.BDH(AL325,"FUT_AGGTE_OPEN_INT",A325)</f>
        <v>144534</v>
      </c>
      <c r="AN325" s="45">
        <f t="shared" si="157"/>
        <v>396.42766407904026</v>
      </c>
      <c r="AO325" s="46">
        <f t="shared" si="158"/>
        <v>28648638000</v>
      </c>
      <c r="AP325" s="46">
        <f t="shared" si="159"/>
        <v>722670</v>
      </c>
      <c r="AQ325" s="46"/>
    </row>
    <row r="326" spans="1:43" x14ac:dyDescent="0.2">
      <c r="A326" s="24">
        <v>45364</v>
      </c>
      <c r="B326" s="16" cm="1">
        <f t="array" ref="B326">_xll.BADDPERIODS(A326, "PER=WD", "NUMBEROFPERIODS=2", "BUSDAYADJ=-2", "CDR=GQ", "CDR=P9")</f>
        <v>45366</v>
      </c>
      <c r="C326" s="15" cm="1">
        <f t="array" ref="C326">_xll.BDH("XAU Curncy","PX_LAST",A326,A326)</f>
        <v>2174.41</v>
      </c>
      <c r="D326" s="26" t="str" cm="1">
        <f t="array" ref="D326">_xll.BDP("GCJ24 Comdty",$M$32)</f>
        <v>01/04/2024</v>
      </c>
      <c r="E326" s="15">
        <f t="shared" si="164"/>
        <v>17</v>
      </c>
      <c r="F326" s="23">
        <v>5.3999999999999999E-2</v>
      </c>
      <c r="G326" s="28">
        <f t="shared" si="167"/>
        <v>5.5447454999999994</v>
      </c>
      <c r="H326" s="12">
        <v>5.35</v>
      </c>
      <c r="I326" s="42">
        <f t="shared" si="168"/>
        <v>-0.19474549999999979</v>
      </c>
      <c r="J326" s="26">
        <v>4</v>
      </c>
      <c r="K326" s="26">
        <v>6</v>
      </c>
      <c r="L326" s="26">
        <v>8</v>
      </c>
      <c r="N326" s="24">
        <v>45364</v>
      </c>
      <c r="O326" s="16" cm="1">
        <f t="array" ref="O326">_xll.BADDPERIODS(N326, "PER=WD", "NUMBEROFPERIODS=2", "BUSDAYADJ=-2", "CDR=GQ", "CDR=P9")</f>
        <v>45366</v>
      </c>
      <c r="P326" s="15" cm="1">
        <f t="array" ref="P326">_xll.BDH("XAG Curncy","PX_LAST",N326,N326)</f>
        <v>25.0062</v>
      </c>
      <c r="Q326" s="15" t="str" cm="1">
        <f t="array" ref="Q326">_xll.BDP("SIK24 Comdty",$M$32)</f>
        <v>01/05/2024</v>
      </c>
      <c r="R326" s="15">
        <f t="shared" si="165"/>
        <v>47</v>
      </c>
      <c r="S326" s="23">
        <v>5.45E-2</v>
      </c>
      <c r="T326" s="21">
        <f t="shared" si="150"/>
        <v>0.17792605916666668</v>
      </c>
      <c r="U326" s="12">
        <v>0.20749999999999999</v>
      </c>
      <c r="V326" s="43">
        <f t="shared" si="166"/>
        <v>2.9573940833333312</v>
      </c>
      <c r="W326" s="15">
        <v>15</v>
      </c>
      <c r="X326" s="15">
        <v>20</v>
      </c>
      <c r="Y326" s="15">
        <v>25</v>
      </c>
      <c r="Z326" s="18">
        <f t="shared" si="152"/>
        <v>17.792605916666666</v>
      </c>
      <c r="AA326" s="18">
        <f t="shared" si="162"/>
        <v>20.75</v>
      </c>
      <c r="AB326" s="18">
        <f t="shared" si="163"/>
        <v>2.9573940833333312</v>
      </c>
      <c r="AE326" s="44" cm="1">
        <f t="array" ref="AE326">_xll.BDH("COMXGOLD Comdty","PX_Last", N326)</f>
        <v>17874252.300000001</v>
      </c>
      <c r="AF326" s="15" t="str" cm="1">
        <f t="array" ref="AF326">_xll.BDS("GCA Comdty","FUT_CHAIN", "CHAIN_DATE",A326,"endrow=1")</f>
        <v>GCH24 Comdty</v>
      </c>
      <c r="AG326" s="44" cm="1">
        <f t="array" ref="AG326">_xll.BDH(AF326,"FUT_AGGTE_OPEN_INT",A326)</f>
        <v>540654</v>
      </c>
      <c r="AH326" s="44">
        <f t="shared" si="155"/>
        <v>54065400</v>
      </c>
      <c r="AI326" s="48">
        <f t="shared" si="156"/>
        <v>0.33060427371294765</v>
      </c>
      <c r="AJ326" s="45"/>
      <c r="AK326" s="44" cm="1">
        <f t="array" ref="AK326">_xll.BDH("COMXSILV Comdty","PX_Last", N326)</f>
        <v>286486.38</v>
      </c>
      <c r="AL326" s="15" t="str" cm="1">
        <f t="array" ref="AL326">_xll.BDS("SIA Comdty","FUT_CHAIN", "CHAIN_DATE",A326,"endrow=1")</f>
        <v>SIH24 Comdty</v>
      </c>
      <c r="AM326" s="47" cm="1">
        <f t="array" ref="AM326">_xll.BDH(AL326,"FUT_AGGTE_OPEN_INT",A326)</f>
        <v>147424</v>
      </c>
      <c r="AN326" s="45">
        <f t="shared" si="157"/>
        <v>388.65636531365317</v>
      </c>
      <c r="AO326" s="46">
        <f t="shared" si="158"/>
        <v>28648638000</v>
      </c>
      <c r="AP326" s="46">
        <f t="shared" si="159"/>
        <v>737120</v>
      </c>
      <c r="AQ326" s="46"/>
    </row>
    <row r="327" spans="1:43" x14ac:dyDescent="0.2">
      <c r="A327" s="24">
        <v>45365</v>
      </c>
      <c r="B327" s="16" cm="1">
        <f t="array" ref="B327">_xll.BADDPERIODS(A327, "PER=WD", "NUMBEROFPERIODS=2", "BUSDAYADJ=-2", "CDR=GQ", "CDR=P9")</f>
        <v>45369</v>
      </c>
      <c r="C327" s="15" cm="1">
        <f t="array" ref="C327">_xll.BDH("XAU Curncy","PX_LAST",A327,A327)</f>
        <v>2162.19</v>
      </c>
      <c r="D327" s="26" t="str" cm="1">
        <f t="array" ref="D327">_xll.BDP("GCJ24 Comdty",$M$32)</f>
        <v>01/04/2024</v>
      </c>
      <c r="E327" s="15">
        <f t="shared" si="164"/>
        <v>14</v>
      </c>
      <c r="F327" s="23">
        <v>5.3999999999999999E-2</v>
      </c>
      <c r="G327" s="28">
        <f t="shared" si="167"/>
        <v>4.5405990000000003</v>
      </c>
      <c r="H327" s="12">
        <v>4.3</v>
      </c>
      <c r="I327" s="42">
        <f t="shared" si="168"/>
        <v>-0.24059900000000045</v>
      </c>
      <c r="J327" s="26">
        <v>4</v>
      </c>
      <c r="K327" s="26">
        <v>6</v>
      </c>
      <c r="L327" s="26">
        <v>8</v>
      </c>
      <c r="N327" s="24">
        <v>45365</v>
      </c>
      <c r="O327" s="16" cm="1">
        <f t="array" ref="O327">_xll.BADDPERIODS(N327, "PER=WD", "NUMBEROFPERIODS=2", "BUSDAYADJ=-2", "CDR=GQ", "CDR=P9")</f>
        <v>45369</v>
      </c>
      <c r="P327" s="15" cm="1">
        <f t="array" ref="P327">_xll.BDH("XAG Curncy","PX_LAST",N327,N327)</f>
        <v>24.8169</v>
      </c>
      <c r="Q327" s="15" t="str" cm="1">
        <f t="array" ref="Q327">_xll.BDP("SIK24 Comdty",$M$32)</f>
        <v>01/05/2024</v>
      </c>
      <c r="R327" s="15">
        <f t="shared" si="165"/>
        <v>44</v>
      </c>
      <c r="S327" s="23">
        <v>5.4300000000000001E-2</v>
      </c>
      <c r="T327" s="21">
        <f t="shared" si="150"/>
        <v>0.16470149299999998</v>
      </c>
      <c r="U327" s="12">
        <v>0.21249999999999999</v>
      </c>
      <c r="V327" s="43">
        <f t="shared" si="166"/>
        <v>4.7798507000000017</v>
      </c>
      <c r="W327" s="15">
        <v>15</v>
      </c>
      <c r="X327" s="15">
        <v>20</v>
      </c>
      <c r="Y327" s="15">
        <v>25</v>
      </c>
      <c r="Z327" s="18">
        <f t="shared" si="152"/>
        <v>16.470149299999999</v>
      </c>
      <c r="AA327" s="18">
        <f t="shared" si="162"/>
        <v>21.25</v>
      </c>
      <c r="AB327" s="18">
        <f t="shared" si="163"/>
        <v>4.7798507000000017</v>
      </c>
      <c r="AE327" s="44" cm="1">
        <f t="array" ref="AE327">_xll.BDH("COMXGOLD Comdty","PX_Last", N327)</f>
        <v>17874252.300000001</v>
      </c>
      <c r="AF327" s="15" t="str" cm="1">
        <f t="array" ref="AF327">_xll.BDS("GCA Comdty","FUT_CHAIN", "CHAIN_DATE",A327,"endrow=1")</f>
        <v>GCH24 Comdty</v>
      </c>
      <c r="AG327" s="44" cm="1">
        <f t="array" ref="AG327">_xll.BDH(AF327,"FUT_AGGTE_OPEN_INT",A327)</f>
        <v>539571</v>
      </c>
      <c r="AH327" s="44">
        <f t="shared" si="155"/>
        <v>53957100</v>
      </c>
      <c r="AI327" s="48">
        <f t="shared" si="156"/>
        <v>0.33126784612219712</v>
      </c>
      <c r="AJ327" s="45"/>
      <c r="AK327" s="44" cm="1">
        <f t="array" ref="AK327">_xll.BDH("COMXSILV Comdty","PX_Last", N327)</f>
        <v>286483.69</v>
      </c>
      <c r="AL327" s="15" t="str" cm="1">
        <f t="array" ref="AL327">_xll.BDS("SIA Comdty","FUT_CHAIN", "CHAIN_DATE",A327,"endrow=1")</f>
        <v>SIH24 Comdty</v>
      </c>
      <c r="AM327" s="47" cm="1">
        <f t="array" ref="AM327">_xll.BDH(AL327,"FUT_AGGTE_OPEN_INT",A327)</f>
        <v>148533</v>
      </c>
      <c r="AN327" s="45">
        <f t="shared" si="157"/>
        <v>385.7508971070402</v>
      </c>
      <c r="AO327" s="46">
        <f t="shared" si="158"/>
        <v>28648369000</v>
      </c>
      <c r="AP327" s="46">
        <f t="shared" si="159"/>
        <v>742665</v>
      </c>
      <c r="AQ327" s="46"/>
    </row>
    <row r="328" spans="1:43" x14ac:dyDescent="0.2">
      <c r="A328" s="24">
        <v>45366</v>
      </c>
      <c r="B328" s="16" cm="1">
        <f t="array" ref="B328">_xll.BADDPERIODS(A328, "PER=WD", "NUMBEROFPERIODS=2", "BUSDAYADJ=-2", "CDR=GQ", "CDR=P9")</f>
        <v>45370</v>
      </c>
      <c r="C328" s="15" cm="1">
        <f t="array" ref="C328">_xll.BDH("XAU Curncy","PX_LAST",A328,A328)</f>
        <v>2155.9</v>
      </c>
      <c r="D328" s="26" t="str" cm="1">
        <f t="array" ref="D328">_xll.BDP("GCJ24 Comdty",$M$32)</f>
        <v>01/04/2024</v>
      </c>
      <c r="E328" s="15">
        <f t="shared" si="164"/>
        <v>13</v>
      </c>
      <c r="F328" s="23">
        <v>5.3999999999999999E-2</v>
      </c>
      <c r="G328" s="28">
        <f t="shared" si="167"/>
        <v>4.2040049999999995</v>
      </c>
      <c r="H328" s="12">
        <v>3.85</v>
      </c>
      <c r="I328" s="42">
        <f t="shared" si="168"/>
        <v>-0.35400499999999946</v>
      </c>
      <c r="J328" s="26">
        <v>4</v>
      </c>
      <c r="K328" s="26">
        <v>6</v>
      </c>
      <c r="L328" s="26">
        <v>8</v>
      </c>
      <c r="N328" s="24">
        <v>45366</v>
      </c>
      <c r="O328" s="16" cm="1">
        <f t="array" ref="O328">_xll.BADDPERIODS(N328, "PER=WD", "NUMBEROFPERIODS=2", "BUSDAYADJ=-2", "CDR=GQ", "CDR=P9")</f>
        <v>45370</v>
      </c>
      <c r="P328" s="15" cm="1">
        <f t="array" ref="P328">_xll.BDH("XAG Curncy","PX_LAST",N328,N328)</f>
        <v>25.186900000000001</v>
      </c>
      <c r="Q328" s="15" t="str" cm="1">
        <f t="array" ref="Q328">_xll.BDP("SIK24 Comdty",$M$32)</f>
        <v>01/05/2024</v>
      </c>
      <c r="R328" s="15">
        <f t="shared" si="165"/>
        <v>43</v>
      </c>
      <c r="S328" s="23">
        <v>5.45E-2</v>
      </c>
      <c r="T328" s="21">
        <f t="shared" si="150"/>
        <v>0.16395972263888892</v>
      </c>
      <c r="U328" s="12">
        <v>0.21</v>
      </c>
      <c r="V328" s="43">
        <f t="shared" si="166"/>
        <v>4.6040277361111075</v>
      </c>
      <c r="W328" s="15">
        <v>15</v>
      </c>
      <c r="X328" s="15">
        <v>20</v>
      </c>
      <c r="Y328" s="15">
        <v>25</v>
      </c>
      <c r="Z328" s="18">
        <f t="shared" si="152"/>
        <v>16.395972263888893</v>
      </c>
      <c r="AA328" s="18">
        <f t="shared" si="162"/>
        <v>21</v>
      </c>
      <c r="AB328" s="18">
        <f t="shared" si="163"/>
        <v>4.6040277361111075</v>
      </c>
      <c r="AC328" t="s">
        <v>18</v>
      </c>
      <c r="AE328" s="44" cm="1">
        <f t="array" ref="AE328">_xll.BDH("COMXGOLD Comdty","PX_Last", N328)</f>
        <v>17875735.177999999</v>
      </c>
      <c r="AF328" s="15" t="str" cm="1">
        <f t="array" ref="AF328">_xll.BDS("GCA Comdty","FUT_CHAIN", "CHAIN_DATE",A328,"endrow=1")</f>
        <v>GCH24 Comdty</v>
      </c>
      <c r="AG328" s="44" cm="1">
        <f t="array" ref="AG328">_xll.BDH(AF328,"FUT_AGGTE_OPEN_INT",A328)</f>
        <v>535274</v>
      </c>
      <c r="AH328" s="44">
        <f t="shared" si="155"/>
        <v>53527400</v>
      </c>
      <c r="AI328" s="48">
        <f t="shared" si="156"/>
        <v>0.33395485635394206</v>
      </c>
      <c r="AJ328" s="45"/>
      <c r="AK328" s="44" cm="1">
        <f t="array" ref="AK328">_xll.BDH("COMXSILV Comdty","PX_Last", N328)</f>
        <v>285358.21999999997</v>
      </c>
      <c r="AL328" s="15" t="str" cm="1">
        <f t="array" ref="AL328">_xll.BDS("SIA Comdty","FUT_CHAIN", "CHAIN_DATE",A328,"endrow=1")</f>
        <v>SIH24 Comdty</v>
      </c>
      <c r="AM328" s="47" cm="1">
        <f t="array" ref="AM328">_xll.BDH(AL328,"FUT_AGGTE_OPEN_INT",A328)</f>
        <v>150497</v>
      </c>
      <c r="AN328" s="45">
        <f t="shared" si="157"/>
        <v>379.22114062074326</v>
      </c>
      <c r="AO328" s="46">
        <f t="shared" si="158"/>
        <v>28535821999.999996</v>
      </c>
      <c r="AP328" s="46">
        <f t="shared" si="159"/>
        <v>752485</v>
      </c>
      <c r="AQ328" s="46"/>
    </row>
    <row r="329" spans="1:43" x14ac:dyDescent="0.2">
      <c r="A329" s="24">
        <v>45369</v>
      </c>
      <c r="B329" s="16" cm="1">
        <f t="array" ref="B329">_xll.BADDPERIODS(A329, "PER=WD", "NUMBEROFPERIODS=2", "BUSDAYADJ=-2", "CDR=GQ", "CDR=P9")</f>
        <v>45371</v>
      </c>
      <c r="C329" s="15" cm="1">
        <f t="array" ref="C329">_xll.BDH("XAU Curncy","PX_LAST",A329,A329)</f>
        <v>2160.36</v>
      </c>
      <c r="D329" s="26" t="str" cm="1">
        <f t="array" ref="D329">_xll.BDP("GCJ24 Comdty",$M$32)</f>
        <v>01/04/2024</v>
      </c>
      <c r="E329" s="15">
        <f t="shared" si="164"/>
        <v>12</v>
      </c>
      <c r="F329" s="23">
        <v>5.4100000000000002E-2</v>
      </c>
      <c r="G329" s="28">
        <f t="shared" si="167"/>
        <v>3.8958492000000002</v>
      </c>
      <c r="H329" s="12">
        <v>3.7</v>
      </c>
      <c r="I329" s="49">
        <f t="shared" si="168"/>
        <v>-0.19584920000000006</v>
      </c>
      <c r="J329" s="26">
        <v>4</v>
      </c>
      <c r="K329" s="26">
        <v>6</v>
      </c>
      <c r="L329" s="26">
        <v>8</v>
      </c>
      <c r="N329" s="24">
        <v>45369</v>
      </c>
      <c r="O329" s="16" cm="1">
        <f t="array" ref="O329">_xll.BADDPERIODS(N329, "PER=WD", "NUMBEROFPERIODS=2", "BUSDAYADJ=-2", "CDR=GQ", "CDR=P9")</f>
        <v>45371</v>
      </c>
      <c r="P329" s="15" cm="1">
        <f t="array" ref="P329">_xll.BDH("XAG Curncy","PX_LAST",N329,N329)</f>
        <v>25.037299999999998</v>
      </c>
      <c r="Q329" s="15" t="str" cm="1">
        <f t="array" ref="Q329">_xll.BDP("SIK24 Comdty",$M$32)</f>
        <v>01/05/2024</v>
      </c>
      <c r="R329" s="15">
        <f t="shared" si="165"/>
        <v>42</v>
      </c>
      <c r="S329" s="23">
        <v>5.4100000000000002E-2</v>
      </c>
      <c r="T329" s="21">
        <f t="shared" si="150"/>
        <v>0.15802709183333333</v>
      </c>
      <c r="U329" s="12">
        <v>0.21</v>
      </c>
      <c r="V329" s="50">
        <f t="shared" si="166"/>
        <v>5.1972908166666665</v>
      </c>
      <c r="W329" s="15">
        <v>15</v>
      </c>
      <c r="X329" s="15">
        <v>20</v>
      </c>
      <c r="Y329" s="15">
        <v>25</v>
      </c>
      <c r="Z329" s="18">
        <f t="shared" si="152"/>
        <v>15.802709183333333</v>
      </c>
      <c r="AA329" s="18">
        <f t="shared" si="162"/>
        <v>21</v>
      </c>
      <c r="AB329" s="18">
        <f t="shared" si="163"/>
        <v>5.1972908166666665</v>
      </c>
      <c r="AE329" s="44" cm="1">
        <f t="array" ref="AE329">_xll.BDH("COMXGOLD Comdty","PX_Last", N329)</f>
        <v>17818320.690000001</v>
      </c>
      <c r="AF329" s="15" t="str" cm="1">
        <f t="array" ref="AF329">_xll.BDS("GCA Comdty","FUT_CHAIN", "CHAIN_DATE",A329,"endrow=1")</f>
        <v>GCH24 Comdty</v>
      </c>
      <c r="AG329" s="44" cm="1">
        <f t="array" ref="AG329">_xll.BDH(AF329,"FUT_AGGTE_OPEN_INT",A329)</f>
        <v>539420</v>
      </c>
      <c r="AH329" s="44">
        <f t="shared" si="155"/>
        <v>53942000</v>
      </c>
      <c r="AI329" s="48">
        <f t="shared" si="156"/>
        <v>0.33032369378221055</v>
      </c>
      <c r="AK329" s="44" cm="1">
        <f t="array" ref="AK329">_xll.BDH("COMXSILV Comdty","PX_Last", N329)</f>
        <v>284361.5</v>
      </c>
      <c r="AL329" s="15" t="str" cm="1">
        <f t="array" ref="AL329">_xll.BDS("SIA Comdty","FUT_CHAIN", "CHAIN_DATE",A329,"endrow=1")</f>
        <v>SIH24 Comdty</v>
      </c>
      <c r="AM329" s="47" cm="1">
        <f t="array" ref="AM329">_xll.BDH(AL329,"FUT_AGGTE_OPEN_INT",A329)</f>
        <v>151389</v>
      </c>
      <c r="AN329" s="45">
        <f t="shared" ref="AN329:AN332" si="169">(AO329/AP329)/100</f>
        <v>375.66996281103644</v>
      </c>
      <c r="AO329" s="46">
        <f t="shared" ref="AO329:AO332" si="170">AK329*100000</f>
        <v>28436150000</v>
      </c>
      <c r="AP329" s="46">
        <f t="shared" ref="AP329:AP332" si="171">(AM329*5000)/1000</f>
        <v>756945</v>
      </c>
    </row>
    <row r="330" spans="1:43" x14ac:dyDescent="0.2">
      <c r="A330" s="24">
        <v>45370</v>
      </c>
      <c r="B330" s="16" cm="1">
        <f t="array" ref="B330">_xll.BADDPERIODS(A330, "PER=WD", "NUMBEROFPERIODS=2", "BUSDAYADJ=-2", "CDR=GQ", "CDR=P9")</f>
        <v>45372</v>
      </c>
      <c r="C330" s="15" cm="1">
        <f t="array" ref="C330">_xll.BDH("XAU Curncy","PX_LAST",A330,A330)</f>
        <v>2157.59</v>
      </c>
      <c r="D330" s="26" t="str" cm="1">
        <f t="array" ref="D330">_xll.BDP("GCJ24 Comdty",$M$32)</f>
        <v>01/04/2024</v>
      </c>
      <c r="E330" s="15">
        <f t="shared" si="164"/>
        <v>11</v>
      </c>
      <c r="F330" s="23">
        <v>5.3999999999999999E-2</v>
      </c>
      <c r="G330" s="28">
        <f t="shared" si="167"/>
        <v>3.5600235000000007</v>
      </c>
      <c r="H330" s="12">
        <v>3.3</v>
      </c>
      <c r="I330" s="49">
        <f t="shared" si="168"/>
        <v>-0.26002350000000085</v>
      </c>
      <c r="J330" s="26">
        <v>4</v>
      </c>
      <c r="K330" s="26">
        <v>6</v>
      </c>
      <c r="L330" s="26">
        <v>8</v>
      </c>
      <c r="N330" s="24">
        <v>45370</v>
      </c>
      <c r="O330" s="16" cm="1">
        <f t="array" ref="O330">_xll.BADDPERIODS(N330, "PER=WD", "NUMBEROFPERIODS=2", "BUSDAYADJ=-2", "CDR=GQ", "CDR=P9")</f>
        <v>45372</v>
      </c>
      <c r="P330" s="15" cm="1">
        <f t="array" ref="P330">_xll.BDH("XAG Curncy","PX_LAST",N330,N330)</f>
        <v>24.9148</v>
      </c>
      <c r="Q330" s="15" t="str" cm="1">
        <f t="array" ref="Q330">_xll.BDP("SIK24 Comdty",$M$32)</f>
        <v>01/05/2024</v>
      </c>
      <c r="R330" s="15">
        <f t="shared" si="165"/>
        <v>41</v>
      </c>
      <c r="S330" s="23">
        <v>5.4100000000000002E-2</v>
      </c>
      <c r="T330" s="21">
        <f t="shared" si="150"/>
        <v>0.1535097718888889</v>
      </c>
      <c r="U330" s="12">
        <v>0.19</v>
      </c>
      <c r="V330" s="50">
        <f t="shared" si="166"/>
        <v>3.6490228111111107</v>
      </c>
      <c r="W330" s="15">
        <v>15</v>
      </c>
      <c r="X330" s="15">
        <v>20</v>
      </c>
      <c r="Y330" s="15">
        <v>25</v>
      </c>
      <c r="Z330" s="18">
        <f t="shared" si="152"/>
        <v>15.350977188888889</v>
      </c>
      <c r="AA330" s="18">
        <f t="shared" si="162"/>
        <v>19</v>
      </c>
      <c r="AB330" s="18">
        <f t="shared" si="163"/>
        <v>3.6490228111111107</v>
      </c>
      <c r="AE330" s="44" cm="1">
        <f t="array" ref="AE330">_xll.BDH("COMXGOLD Comdty","PX_Last", N330)</f>
        <v>17779096.469999999</v>
      </c>
      <c r="AF330" s="15" t="str" cm="1">
        <f t="array" ref="AF330">_xll.BDS("GCA Comdty","FUT_CHAIN", "CHAIN_DATE",A330,"endrow=1")</f>
        <v>GCH24 Comdty</v>
      </c>
      <c r="AG330" s="44" cm="1">
        <f t="array" ref="AG330">_xll.BDH(AF330,"FUT_AGGTE_OPEN_INT",A330)</f>
        <v>535047</v>
      </c>
      <c r="AH330" s="44">
        <f t="shared" si="155"/>
        <v>53504700</v>
      </c>
      <c r="AI330" s="48">
        <f t="shared" si="156"/>
        <v>0.33229036832278286</v>
      </c>
      <c r="AK330" s="44" cm="1">
        <f t="array" ref="AK330">_xll.BDH("COMXSILV Comdty","PX_Last", N330)</f>
        <v>285110.69</v>
      </c>
      <c r="AL330" s="15" t="str" cm="1">
        <f t="array" ref="AL330">_xll.BDS("SIA Comdty","FUT_CHAIN", "CHAIN_DATE",A330,"endrow=1")</f>
        <v>SIH24 Comdty</v>
      </c>
      <c r="AM330" s="47" cm="1">
        <f t="array" ref="AM330">_xll.BDH(AL330,"FUT_AGGTE_OPEN_INT",A330)</f>
        <v>153154</v>
      </c>
      <c r="AN330" s="45">
        <f t="shared" si="169"/>
        <v>372.31896000104467</v>
      </c>
      <c r="AO330" s="46">
        <f t="shared" si="170"/>
        <v>28511069000</v>
      </c>
      <c r="AP330" s="46">
        <f t="shared" si="171"/>
        <v>765770</v>
      </c>
    </row>
    <row r="331" spans="1:43" x14ac:dyDescent="0.2">
      <c r="A331" s="24">
        <v>45371</v>
      </c>
      <c r="B331" s="16" cm="1">
        <f t="array" ref="B331">_xll.BADDPERIODS(A331, "PER=WD", "NUMBEROFPERIODS=2", "BUSDAYADJ=-2", "CDR=GQ", "CDR=P9")</f>
        <v>45373</v>
      </c>
      <c r="C331" s="15" cm="1">
        <f t="array" ref="C331">_xll.BDH("XAU Curncy","PX_LAST",A331,A331)</f>
        <v>2186.39</v>
      </c>
      <c r="D331" s="26" t="str" cm="1">
        <f t="array" ref="D331">_xll.BDP("GCJ24 Comdty",$M$32)</f>
        <v>01/04/2024</v>
      </c>
      <c r="E331" s="15">
        <f t="shared" si="164"/>
        <v>10</v>
      </c>
      <c r="F331" s="23">
        <v>5.3999999999999999E-2</v>
      </c>
      <c r="G331" s="28">
        <f t="shared" si="167"/>
        <v>3.279585</v>
      </c>
      <c r="H331" s="12">
        <v>2.9</v>
      </c>
      <c r="I331" s="49">
        <f t="shared" si="168"/>
        <v>-0.37958500000000006</v>
      </c>
      <c r="J331" s="26">
        <v>4</v>
      </c>
      <c r="K331" s="26">
        <v>6</v>
      </c>
      <c r="L331" s="26">
        <v>8</v>
      </c>
      <c r="N331" s="24">
        <v>45371</v>
      </c>
      <c r="O331" s="16" cm="1">
        <f t="array" ref="O331">_xll.BADDPERIODS(N331, "PER=WD", "NUMBEROFPERIODS=2", "BUSDAYADJ=-2", "CDR=GQ", "CDR=P9")</f>
        <v>45373</v>
      </c>
      <c r="P331" s="15" cm="1">
        <f t="array" ref="P331">_xll.BDH("XAG Curncy","PX_LAST",N331,N331)</f>
        <v>25.5824</v>
      </c>
      <c r="Q331" s="15" t="str" cm="1">
        <f t="array" ref="Q331">_xll.BDP("SIK24 Comdty",$M$32)</f>
        <v>01/05/2024</v>
      </c>
      <c r="R331" s="15">
        <f t="shared" si="165"/>
        <v>40</v>
      </c>
      <c r="S331" s="23">
        <v>5.4100000000000002E-2</v>
      </c>
      <c r="T331" s="21">
        <f t="shared" si="150"/>
        <v>0.15377864888888887</v>
      </c>
      <c r="U331" s="12">
        <v>0.185</v>
      </c>
      <c r="V331" s="50">
        <f>100*(U331-T331)</f>
        <v>3.1221351111111129</v>
      </c>
      <c r="W331" s="15">
        <v>15</v>
      </c>
      <c r="X331" s="15">
        <v>20</v>
      </c>
      <c r="Y331" s="15">
        <v>25</v>
      </c>
      <c r="Z331" s="18">
        <f t="shared" si="152"/>
        <v>15.377864888888887</v>
      </c>
      <c r="AA331" s="18">
        <f t="shared" si="162"/>
        <v>18.5</v>
      </c>
      <c r="AB331" s="18">
        <f t="shared" si="163"/>
        <v>3.1221351111111129</v>
      </c>
      <c r="AE331" s="44" cm="1">
        <f t="array" ref="AE331">_xll.BDH("COMXGOLD Comdty","PX_Last", N331)</f>
        <v>17733522.260000002</v>
      </c>
      <c r="AF331" s="15" t="str" cm="1">
        <f t="array" ref="AF331">_xll.BDS("GCA Comdty","FUT_CHAIN", "CHAIN_DATE",A331,"endrow=1")</f>
        <v>GCH24 Comdty</v>
      </c>
      <c r="AG331" s="44" cm="1">
        <f t="array" ref="AG331">_xll.BDH(AF331,"FUT_AGGTE_OPEN_INT",A331)</f>
        <v>537614</v>
      </c>
      <c r="AH331" s="44">
        <f t="shared" si="155"/>
        <v>53761400</v>
      </c>
      <c r="AI331" s="48">
        <f t="shared" si="156"/>
        <v>0.3298560353711027</v>
      </c>
      <c r="AK331" s="44" cm="1">
        <f t="array" ref="AK331">_xll.BDH("COMXSILV Comdty","PX_Last", N331)</f>
        <v>285110.69</v>
      </c>
      <c r="AL331" s="15" t="str" cm="1">
        <f t="array" ref="AL331">_xll.BDS("SIA Comdty","FUT_CHAIN", "CHAIN_DATE",A331,"endrow=1")</f>
        <v>SIH24 Comdty</v>
      </c>
      <c r="AM331" s="47" cm="1">
        <f t="array" ref="AM331">_xll.BDH(AL331,"FUT_AGGTE_OPEN_INT",A331)</f>
        <v>156670</v>
      </c>
      <c r="AN331" s="45">
        <f t="shared" si="169"/>
        <v>363.96334971596349</v>
      </c>
      <c r="AO331" s="46">
        <f t="shared" si="170"/>
        <v>28511069000</v>
      </c>
      <c r="AP331" s="46">
        <f t="shared" si="171"/>
        <v>783350</v>
      </c>
    </row>
    <row r="332" spans="1:43" x14ac:dyDescent="0.2">
      <c r="A332" s="24">
        <v>45372</v>
      </c>
      <c r="B332" s="16" cm="1">
        <f t="array" ref="B332">_xll.BADDPERIODS(A332, "PER=WD", "NUMBEROFPERIODS=2", "BUSDAYADJ=-2", "CDR=GQ", "CDR=P9")</f>
        <v>45376</v>
      </c>
      <c r="C332" s="15" cm="1">
        <f t="array" ref="C332">_xll.BDH("XAU Curncy","PX_LAST",A332,A332)</f>
        <v>2181.33</v>
      </c>
      <c r="D332" s="26" t="str" cm="1">
        <f t="array" ref="D332">_xll.BDP("GCJ24 Comdty",$M$32)</f>
        <v>01/04/2024</v>
      </c>
      <c r="E332" s="15">
        <f t="shared" ref="E332:E357" si="172">_xlfn.DAYS(D332,B332)</f>
        <v>7</v>
      </c>
      <c r="F332" s="23">
        <v>5.3999999999999999E-2</v>
      </c>
      <c r="G332" s="28">
        <f t="shared" si="167"/>
        <v>2.2903964999999999</v>
      </c>
      <c r="H332" s="12">
        <v>2.1</v>
      </c>
      <c r="I332" s="49">
        <f t="shared" si="168"/>
        <v>-0.19039649999999986</v>
      </c>
      <c r="J332" s="26">
        <v>4</v>
      </c>
      <c r="K332" s="26">
        <v>6</v>
      </c>
      <c r="L332" s="26">
        <v>8</v>
      </c>
      <c r="N332" s="24">
        <v>45372</v>
      </c>
      <c r="O332" s="16" cm="1">
        <f t="array" ref="O332">_xll.BADDPERIODS(N332, "PER=WD", "NUMBEROFPERIODS=2", "BUSDAYADJ=-2", "CDR=GQ", "CDR=P9")</f>
        <v>45376</v>
      </c>
      <c r="P332" s="15" cm="1">
        <f t="array" ref="P332">_xll.BDH("XAG Curncy","PX_LAST",N332,N332)</f>
        <v>24.7437</v>
      </c>
      <c r="Q332" s="15" t="str" cm="1">
        <f t="array" ref="Q332">_xll.BDP("SIK24 Comdty",$M$32)</f>
        <v>01/05/2024</v>
      </c>
      <c r="R332" s="15">
        <f t="shared" si="165"/>
        <v>37</v>
      </c>
      <c r="S332" s="23">
        <v>5.4100000000000002E-2</v>
      </c>
      <c r="T332" s="21">
        <f t="shared" si="150"/>
        <v>0.13758184525</v>
      </c>
      <c r="U332" s="12">
        <v>0.18</v>
      </c>
      <c r="V332" s="50">
        <f>100*(U332-T332)</f>
        <v>4.2418154749999992</v>
      </c>
      <c r="W332" s="15">
        <v>15</v>
      </c>
      <c r="X332" s="15">
        <v>20</v>
      </c>
      <c r="Y332" s="15">
        <v>25</v>
      </c>
      <c r="Z332" s="18">
        <f t="shared" si="152"/>
        <v>13.758184525000001</v>
      </c>
      <c r="AA332" s="18">
        <f t="shared" si="162"/>
        <v>18</v>
      </c>
      <c r="AB332" s="18">
        <f t="shared" si="163"/>
        <v>4.2418154749999992</v>
      </c>
      <c r="AE332" s="44" cm="1">
        <f t="array" ref="AE332">_xll.BDH("COMXGOLD Comdty","PX_Last", N332)</f>
        <v>17733522.260000002</v>
      </c>
      <c r="AF332" s="15" t="str" cm="1">
        <f t="array" ref="AF332">_xll.BDS("GCA Comdty","FUT_CHAIN", "CHAIN_DATE",A332,"endrow=1")</f>
        <v>GCH24 Comdty</v>
      </c>
      <c r="AG332" s="44" cm="1">
        <f t="array" ref="AG332">_xll.BDH(AF332,"FUT_AGGTE_OPEN_INT",A332)</f>
        <v>538677</v>
      </c>
      <c r="AH332" s="44">
        <f t="shared" si="155"/>
        <v>53867700</v>
      </c>
      <c r="AI332" s="48">
        <f t="shared" si="156"/>
        <v>0.32920511289696797</v>
      </c>
      <c r="AK332" s="44" cm="1">
        <f t="array" ref="AK332">_xll.BDH("COMXSILV Comdty","PX_Last", N332)</f>
        <v>285053.21999999997</v>
      </c>
      <c r="AL332" s="15" t="str" cm="1">
        <f t="array" ref="AL332">_xll.BDS("SIA Comdty","FUT_CHAIN", "CHAIN_DATE",A332,"endrow=1")</f>
        <v>SIH24 Comdty</v>
      </c>
      <c r="AM332" s="47" cm="1">
        <f t="array" ref="AM332">_xll.BDH(AL332,"FUT_AGGTE_OPEN_INT",A332)</f>
        <v>159536</v>
      </c>
      <c r="AN332" s="45">
        <f t="shared" si="169"/>
        <v>357.35284825995382</v>
      </c>
      <c r="AO332" s="46">
        <f t="shared" si="170"/>
        <v>28505321999.999996</v>
      </c>
      <c r="AP332" s="46">
        <f t="shared" si="171"/>
        <v>797680</v>
      </c>
    </row>
    <row r="333" spans="1:43" x14ac:dyDescent="0.2">
      <c r="A333" s="24">
        <v>45373</v>
      </c>
      <c r="B333" s="16" cm="1">
        <f t="array" ref="B333">_xll.BADDPERIODS(A333, "PER=WD", "NUMBEROFPERIODS=2", "BUSDAYADJ=-2", "CDR=GQ", "CDR=P9")</f>
        <v>45377</v>
      </c>
      <c r="C333" s="15" cm="1">
        <f t="array" ref="C333">_xll.BDH("XAU Curncy","PX_LAST",A333,A333)</f>
        <v>2165.44</v>
      </c>
      <c r="D333" s="26" t="str" cm="1">
        <f t="array" ref="D333">_xll.BDP("GCJ24 Comdty",$M$32)</f>
        <v>01/04/2024</v>
      </c>
      <c r="E333" s="15">
        <f t="shared" si="172"/>
        <v>6</v>
      </c>
      <c r="F333" s="23">
        <v>5.3999999999999999E-2</v>
      </c>
      <c r="G333" s="28">
        <f t="shared" si="167"/>
        <v>1.9488959999999997</v>
      </c>
      <c r="H333" s="12">
        <v>1.6</v>
      </c>
      <c r="I333" s="49">
        <f t="shared" si="168"/>
        <v>-0.34889599999999965</v>
      </c>
      <c r="J333" s="26">
        <v>4</v>
      </c>
      <c r="K333" s="26">
        <v>6</v>
      </c>
      <c r="L333" s="26">
        <v>8</v>
      </c>
      <c r="N333" s="24">
        <v>45373</v>
      </c>
      <c r="O333" s="16" cm="1">
        <f t="array" ref="O333">_xll.BADDPERIODS(N333, "PER=WD", "NUMBEROFPERIODS=2", "BUSDAYADJ=-2", "CDR=GQ", "CDR=P9")</f>
        <v>45377</v>
      </c>
      <c r="P333" s="15" cm="1">
        <f t="array" ref="P333">_xll.BDH("XAG Curncy","PX_LAST",N333,N333)</f>
        <v>24.673300000000001</v>
      </c>
      <c r="Q333" s="15" t="str" cm="1">
        <f t="array" ref="Q333">_xll.BDP("SIK24 Comdty",$M$32)</f>
        <v>01/05/2024</v>
      </c>
      <c r="R333" s="15">
        <f t="shared" si="165"/>
        <v>36</v>
      </c>
      <c r="S333" s="23">
        <v>5.4100000000000002E-2</v>
      </c>
      <c r="T333" s="21">
        <f t="shared" si="150"/>
        <v>0.13348255300000003</v>
      </c>
      <c r="U333" s="12">
        <v>0.17</v>
      </c>
      <c r="V333" s="50">
        <f t="shared" si="166"/>
        <v>3.6517446999999983</v>
      </c>
      <c r="W333" s="15">
        <v>15</v>
      </c>
      <c r="X333" s="15">
        <v>20</v>
      </c>
      <c r="Y333" s="15">
        <v>25</v>
      </c>
      <c r="Z333" s="18">
        <f t="shared" si="152"/>
        <v>13.348255300000003</v>
      </c>
      <c r="AA333" s="18">
        <f t="shared" si="162"/>
        <v>17</v>
      </c>
      <c r="AB333" s="18">
        <f t="shared" si="163"/>
        <v>3.6517446999999983</v>
      </c>
      <c r="AE333" s="44" cm="1">
        <f t="array" ref="AE333">_xll.BDH("COMXGOLD Comdty","PX_Last", N333)</f>
        <v>17733522.260000002</v>
      </c>
      <c r="AF333" s="15" t="str" cm="1">
        <f t="array" ref="AF333">_xll.BDS("GCA Comdty","FUT_CHAIN", "CHAIN_DATE",A333,"endrow=1")</f>
        <v>GCH24 Comdty</v>
      </c>
      <c r="AG333" s="44" cm="1">
        <f t="array" ref="AG333">_xll.BDH(AF333,"FUT_AGGTE_OPEN_INT",A333)</f>
        <v>528410</v>
      </c>
      <c r="AH333" s="44">
        <f t="shared" ref="AH333:AH341" si="173">AG333*$AG$17</f>
        <v>52841000</v>
      </c>
      <c r="AI333" s="48">
        <f t="shared" ref="AI333:AI341" si="174">AE333/AH333</f>
        <v>0.3356015643155883</v>
      </c>
      <c r="AK333" s="44" cm="1">
        <f t="array" ref="AK333">_xll.BDH("COMXSILV Comdty","PX_Last", N333)</f>
        <v>284273.56</v>
      </c>
      <c r="AL333" s="15" t="str" cm="1">
        <f t="array" ref="AL333">_xll.BDS("SIA Comdty","FUT_CHAIN", "CHAIN_DATE",A333,"endrow=1")</f>
        <v>SIH24 Comdty</v>
      </c>
      <c r="AM333" s="47" cm="1">
        <f t="array" ref="AM333">_xll.BDH(AL333,"FUT_AGGTE_OPEN_INT",A333)</f>
        <v>159038</v>
      </c>
      <c r="AN333" s="45">
        <f t="shared" ref="AN333:AN379" si="175">(AO333/AP333)/100</f>
        <v>357.49136684314442</v>
      </c>
      <c r="AO333" s="46">
        <f t="shared" ref="AO333:AO340" si="176">AK333*100000</f>
        <v>28427356000</v>
      </c>
      <c r="AP333" s="46">
        <f t="shared" ref="AP333:AP340" si="177">(AM333*5000)/1000</f>
        <v>795190</v>
      </c>
    </row>
    <row r="334" spans="1:43" x14ac:dyDescent="0.2">
      <c r="A334" s="24">
        <v>45376</v>
      </c>
      <c r="B334" s="16" cm="1">
        <f t="array" ref="B334">_xll.BADDPERIODS(A334, "PER=WD", "NUMBEROFPERIODS=2", "BUSDAYADJ=-2", "CDR=GQ", "CDR=P9")</f>
        <v>45378</v>
      </c>
      <c r="C334" s="15" cm="1">
        <f t="array" ref="C334">_xll.BDH("XAU Curncy","PX_LAST",A334,A334)</f>
        <v>2171.83</v>
      </c>
      <c r="D334" s="26" t="str" cm="1">
        <f t="array" ref="D334">_xll.BDP("GCJ24 Comdty",$M$32)</f>
        <v>01/04/2024</v>
      </c>
      <c r="E334" s="15">
        <f t="shared" si="172"/>
        <v>5</v>
      </c>
      <c r="F334" s="23">
        <v>5.3999999999999999E-2</v>
      </c>
      <c r="G334" s="28">
        <f t="shared" si="167"/>
        <v>1.6288724999999999</v>
      </c>
      <c r="H334" s="12">
        <v>0.9</v>
      </c>
      <c r="I334" s="51">
        <f>H334-G334</f>
        <v>-0.72887249999999992</v>
      </c>
      <c r="J334" s="26">
        <v>4</v>
      </c>
      <c r="K334" s="26">
        <v>6</v>
      </c>
      <c r="L334" s="26">
        <v>8</v>
      </c>
      <c r="M334" s="15"/>
      <c r="N334" s="24">
        <v>45376</v>
      </c>
      <c r="O334" s="16" cm="1">
        <f t="array" ref="O334">_xll.BADDPERIODS(N334, "PER=WD", "NUMBEROFPERIODS=2", "BUSDAYADJ=-2", "CDR=GQ", "CDR=P9")</f>
        <v>45378</v>
      </c>
      <c r="P334" s="15" cm="1">
        <f t="array" ref="P334">_xll.BDH("XAG Curncy","PX_LAST",N334,N334)</f>
        <v>24.683399999999999</v>
      </c>
      <c r="Q334" s="15" t="str" cm="1">
        <f t="array" ref="Q334">_xll.BDP("SIK24 Comdty",$M$32)</f>
        <v>01/05/2024</v>
      </c>
      <c r="R334" s="15">
        <f t="shared" si="165"/>
        <v>35</v>
      </c>
      <c r="S334" s="23">
        <v>5.4100000000000002E-2</v>
      </c>
      <c r="T334" s="21">
        <f>P334*(R334/360)*S334</f>
        <v>0.12982782749999999</v>
      </c>
      <c r="U334" s="12">
        <v>0.15</v>
      </c>
      <c r="V334" s="52">
        <f t="shared" si="166"/>
        <v>2.0172172500000003</v>
      </c>
      <c r="W334" s="15">
        <v>15</v>
      </c>
      <c r="X334" s="15">
        <v>20</v>
      </c>
      <c r="Y334" s="15">
        <v>25</v>
      </c>
      <c r="Z334" s="18">
        <f t="shared" ref="Z334:Z336" si="178">100*T334</f>
        <v>12.982782749999998</v>
      </c>
      <c r="AA334" s="18">
        <f t="shared" si="162"/>
        <v>15</v>
      </c>
      <c r="AB334" s="18">
        <f t="shared" si="163"/>
        <v>2.0172172500000003</v>
      </c>
      <c r="AE334" s="44" cm="1">
        <f t="array" ref="AE334">_xll.BDH("COMXGOLD Comdty","PX_Last", N334)</f>
        <v>17653625.809</v>
      </c>
      <c r="AF334" s="15" t="str" cm="1">
        <f t="array" ref="AF334">_xll.BDS("GCA Comdty","FUT_CHAIN", "CHAIN_DATE",A334,"endrow=1")</f>
        <v>GCH24 Comdty</v>
      </c>
      <c r="AG334" s="44" cm="1">
        <f t="array" ref="AG334">_xll.BDH(AF334,"FUT_AGGTE_OPEN_INT",A334)</f>
        <v>515458</v>
      </c>
      <c r="AH334" s="44">
        <f t="shared" si="173"/>
        <v>51545800</v>
      </c>
      <c r="AI334" s="48">
        <f t="shared" si="174"/>
        <v>0.34248427241404733</v>
      </c>
      <c r="AK334" s="44" cm="1">
        <f t="array" ref="AK334">_xll.BDH("COMXSILV Comdty","PX_Last", N334)</f>
        <v>285041.44</v>
      </c>
      <c r="AL334" s="15" t="str" cm="1">
        <f t="array" ref="AL334">_xll.BDS("SIA Comdty","FUT_CHAIN", "CHAIN_DATE",A334,"endrow=1")</f>
        <v>SIH24 Comdty</v>
      </c>
      <c r="AM334" s="47" cm="1">
        <f t="array" ref="AM334">_xll.BDH(AL334,"FUT_AGGTE_OPEN_INT",A334)</f>
        <v>160251</v>
      </c>
      <c r="AN334" s="45">
        <f t="shared" si="175"/>
        <v>355.74372702822444</v>
      </c>
      <c r="AO334" s="46">
        <f t="shared" si="176"/>
        <v>28504144000</v>
      </c>
      <c r="AP334" s="46">
        <f t="shared" si="177"/>
        <v>801255</v>
      </c>
    </row>
    <row r="335" spans="1:43" x14ac:dyDescent="0.2">
      <c r="A335" s="24">
        <v>45377</v>
      </c>
      <c r="B335" s="16" cm="1">
        <f t="array" ref="B335">_xll.BADDPERIODS(A335, "PER=WD", "NUMBEROFPERIODS=2", "BUSDAYADJ=-2", "CDR=GQ", "CDR=P9")</f>
        <v>45379</v>
      </c>
      <c r="C335" s="15" cm="1">
        <f t="array" ref="C335">_xll.BDH("XAU Curncy","PX_LAST",A335,A335)</f>
        <v>2178.8000000000002</v>
      </c>
      <c r="D335" s="26" t="str" cm="1">
        <f t="array" ref="D335">_xll.BDP("GCJ24 Comdty",$M$32)</f>
        <v>01/04/2024</v>
      </c>
      <c r="E335" s="15">
        <f t="shared" si="172"/>
        <v>4</v>
      </c>
      <c r="F335" s="23">
        <v>5.4300000000000001E-2</v>
      </c>
      <c r="G335" s="28">
        <f>C335*(E335/360)*F335</f>
        <v>1.3145426666666669</v>
      </c>
      <c r="H335" s="12">
        <v>0.5</v>
      </c>
      <c r="I335" s="51">
        <f t="shared" si="168"/>
        <v>-0.81454266666666686</v>
      </c>
      <c r="J335" s="26">
        <v>4</v>
      </c>
      <c r="K335" s="26">
        <v>6</v>
      </c>
      <c r="L335" s="26">
        <v>8</v>
      </c>
      <c r="M335" s="15"/>
      <c r="N335" s="24">
        <v>45377</v>
      </c>
      <c r="O335" s="16" cm="1">
        <f t="array" ref="O335">_xll.BADDPERIODS(N335, "PER=WD", "NUMBEROFPERIODS=2", "BUSDAYADJ=-2", "CDR=GQ", "CDR=P9")</f>
        <v>45379</v>
      </c>
      <c r="P335" s="15" cm="1">
        <f t="array" ref="P335">_xll.BDH("XAG Curncy","PX_LAST",N335,N335)</f>
        <v>24.455300000000001</v>
      </c>
      <c r="Q335" s="15" t="str" cm="1">
        <f t="array" ref="Q335">_xll.BDP("SIK24 Comdty",$M$32)</f>
        <v>01/05/2024</v>
      </c>
      <c r="R335" s="15">
        <f t="shared" si="165"/>
        <v>34</v>
      </c>
      <c r="S335" s="23">
        <v>5.4100000000000002E-2</v>
      </c>
      <c r="T335" s="21">
        <f t="shared" ref="T335:T336" si="179">P335*(R335/360)*S335</f>
        <v>0.12495299672222222</v>
      </c>
      <c r="U335" s="12">
        <v>0.13</v>
      </c>
      <c r="V335" s="52">
        <f>100*(U335-T335)</f>
        <v>0.50470032777777818</v>
      </c>
      <c r="W335" s="15">
        <v>15</v>
      </c>
      <c r="X335" s="15">
        <v>20</v>
      </c>
      <c r="Y335" s="15">
        <v>25</v>
      </c>
      <c r="Z335" s="18">
        <f t="shared" si="178"/>
        <v>12.495299672222222</v>
      </c>
      <c r="AA335" s="18">
        <f t="shared" si="162"/>
        <v>13</v>
      </c>
      <c r="AB335" s="18">
        <f t="shared" si="163"/>
        <v>0.50470032777777818</v>
      </c>
      <c r="AE335" s="44" cm="1">
        <f t="array" ref="AE335">_xll.BDH("COMXGOLD Comdty","PX_Last", N335)</f>
        <v>17653625.809</v>
      </c>
      <c r="AF335" s="15" t="str" cm="1">
        <f t="array" ref="AF335">_xll.BDS("GCA Comdty","FUT_CHAIN", "CHAIN_DATE",A335,"endrow=1")</f>
        <v>GCH24 Comdty</v>
      </c>
      <c r="AG335" s="44" cm="1">
        <f t="array" ref="AG335">_xll.BDH(AF335,"FUT_AGGTE_OPEN_INT",A335)</f>
        <v>503642</v>
      </c>
      <c r="AH335" s="44">
        <f t="shared" si="173"/>
        <v>50364200</v>
      </c>
      <c r="AI335" s="48">
        <f t="shared" si="174"/>
        <v>0.35051933335583607</v>
      </c>
      <c r="AK335" s="44" cm="1">
        <f t="array" ref="AK335">_xll.BDH("COMXSILV Comdty","PX_Last", N335)</f>
        <v>287162.84000000003</v>
      </c>
      <c r="AL335" s="15" t="str" cm="1">
        <f t="array" ref="AL335">_xll.BDS("SIA Comdty","FUT_CHAIN", "CHAIN_DATE",A335,"endrow=1")</f>
        <v>SIH24 Comdty</v>
      </c>
      <c r="AM335" s="47" cm="1">
        <f t="array" ref="AM335">_xll.BDH(AL335,"FUT_AGGTE_OPEN_INT",A335)</f>
        <v>160327</v>
      </c>
      <c r="AN335" s="45">
        <f t="shared" si="175"/>
        <v>358.22143494233666</v>
      </c>
      <c r="AO335" s="46">
        <f t="shared" si="176"/>
        <v>28716284000.000004</v>
      </c>
      <c r="AP335" s="46">
        <f t="shared" si="177"/>
        <v>801635</v>
      </c>
    </row>
    <row r="336" spans="1:43" x14ac:dyDescent="0.2">
      <c r="A336" s="24">
        <v>45378</v>
      </c>
      <c r="B336" s="16" cm="1">
        <f t="array" ref="B336">_xll.BADDPERIODS(A336, "PER=WD", "NUMBEROFPERIODS=2", "BUSDAYADJ=-2", "CDR=GQ", "CDR=P9")</f>
        <v>45384</v>
      </c>
      <c r="C336" s="15" cm="1">
        <f t="array" ref="C336">_xll.BDH("XAU Curncy","PX_LAST",A336,A336)</f>
        <v>2194.79</v>
      </c>
      <c r="D336" s="15" t="str" cm="1">
        <f t="array" ref="D336">_xll.BDP("GCM24 Comdty",$M$32)</f>
        <v>03/06/2024</v>
      </c>
      <c r="E336" s="15">
        <f t="shared" si="172"/>
        <v>62</v>
      </c>
      <c r="F336" s="23">
        <v>5.4300000000000001E-2</v>
      </c>
      <c r="G336" s="28">
        <f t="shared" si="167"/>
        <v>20.524944483333336</v>
      </c>
      <c r="H336" s="12">
        <v>20.7</v>
      </c>
      <c r="I336" s="51">
        <f t="shared" si="168"/>
        <v>0.17505551666666364</v>
      </c>
      <c r="J336" s="26">
        <v>4</v>
      </c>
      <c r="K336" s="26">
        <v>6</v>
      </c>
      <c r="L336" s="26">
        <v>8</v>
      </c>
      <c r="M336" s="15"/>
      <c r="N336" s="24">
        <v>45378</v>
      </c>
      <c r="O336" s="16" cm="1">
        <f t="array" ref="O336">_xll.BADDPERIODS(N336, "PER=WD", "NUMBEROFPERIODS=2", "BUSDAYADJ=-2", "CDR=GQ", "CDR=P9")</f>
        <v>45384</v>
      </c>
      <c r="P336" s="15" cm="1">
        <f t="array" ref="P336">_xll.BDH("XAG Curncy","PX_LAST",N336,N336)</f>
        <v>24.648800000000001</v>
      </c>
      <c r="Q336" s="15" t="str" cm="1">
        <f t="array" ref="Q336">_xll.BDP("SIK24 Comdty",$M$32)</f>
        <v>01/05/2024</v>
      </c>
      <c r="R336" s="15">
        <f t="shared" si="165"/>
        <v>29</v>
      </c>
      <c r="S336" s="23">
        <v>5.4100000000000002E-2</v>
      </c>
      <c r="T336" s="21">
        <f t="shared" si="179"/>
        <v>0.10742083977777779</v>
      </c>
      <c r="U336" s="12">
        <v>0.12</v>
      </c>
      <c r="V336" s="52">
        <f t="shared" si="166"/>
        <v>1.2579160222222205</v>
      </c>
      <c r="W336" s="15">
        <v>15</v>
      </c>
      <c r="X336" s="15">
        <v>20</v>
      </c>
      <c r="Y336" s="15">
        <v>25</v>
      </c>
      <c r="Z336" s="18">
        <f t="shared" si="178"/>
        <v>10.74208397777778</v>
      </c>
      <c r="AA336" s="18">
        <f t="shared" si="162"/>
        <v>12</v>
      </c>
      <c r="AB336" s="18">
        <f t="shared" si="163"/>
        <v>1.2579160222222205</v>
      </c>
      <c r="AE336" s="44" cm="1">
        <f t="array" ref="AE336">_xll.BDH("COMXGOLD Comdty","PX_Last", N336)</f>
        <v>17653625.809</v>
      </c>
      <c r="AF336" s="15" t="str" cm="1">
        <f t="array" ref="AF336">_xll.BDS("GCA Comdty","FUT_CHAIN", "CHAIN_DATE",A336,"endrow=1")</f>
        <v>GCJ24 Comdty</v>
      </c>
      <c r="AG336" s="44" cm="1">
        <f t="array" ref="AG336">_xll.BDH(AF336,"FUT_AGGTE_OPEN_INT",A336)</f>
        <v>500741</v>
      </c>
      <c r="AH336" s="44">
        <f t="shared" si="173"/>
        <v>50074100</v>
      </c>
      <c r="AI336" s="48">
        <f t="shared" si="174"/>
        <v>0.35255003702512877</v>
      </c>
      <c r="AK336" s="44" cm="1">
        <f t="array" ref="AK336">_xll.BDH("COMXSILV Comdty","PX_Last", N336)</f>
        <v>287737.46999999997</v>
      </c>
      <c r="AL336" s="15" t="str" cm="1">
        <f t="array" ref="AL336">_xll.BDS("SIA Comdty","FUT_CHAIN", "CHAIN_DATE",A336,"endrow=1")</f>
        <v>SIJ24 Comdty</v>
      </c>
      <c r="AM336" s="47" cm="1">
        <f t="array" ref="AM336">_xll.BDH(AL336,"FUT_AGGTE_OPEN_INT",A336)</f>
        <v>160525</v>
      </c>
      <c r="AN336" s="45">
        <f t="shared" si="175"/>
        <v>358.4955240616726</v>
      </c>
      <c r="AO336" s="46">
        <f t="shared" si="176"/>
        <v>28773746999.999996</v>
      </c>
      <c r="AP336" s="46">
        <f t="shared" si="177"/>
        <v>802625</v>
      </c>
    </row>
    <row r="337" spans="1:42" x14ac:dyDescent="0.2">
      <c r="A337" s="24">
        <v>45379</v>
      </c>
      <c r="B337" s="16" cm="1">
        <f t="array" ref="B337">_xll.BADDPERIODS(A337, "PER=WD", "NUMBEROFPERIODS=2", "BUSDAYADJ=-2", "CDR=GQ", "CDR=P9")</f>
        <v>45385</v>
      </c>
      <c r="C337" s="15" cm="1">
        <f t="array" ref="C337">_xll.BDH("XAU Curncy","PX_LAST",A337,A337)</f>
        <v>2229.87</v>
      </c>
      <c r="D337" s="15" t="str" cm="1">
        <f t="array" ref="D337">_xll.BDP("GCM24 Comdty",$M$32)</f>
        <v>03/06/2024</v>
      </c>
      <c r="E337" s="15">
        <f t="shared" si="172"/>
        <v>61</v>
      </c>
      <c r="F337" s="23">
        <v>5.4300000000000001E-2</v>
      </c>
      <c r="G337" s="28">
        <f t="shared" si="167"/>
        <v>20.516662225000001</v>
      </c>
      <c r="H337" s="12">
        <v>20.5</v>
      </c>
      <c r="I337" s="51">
        <f t="shared" si="168"/>
        <v>-1.666222500000103E-2</v>
      </c>
      <c r="J337" s="26">
        <v>4</v>
      </c>
      <c r="K337" s="26">
        <v>6</v>
      </c>
      <c r="L337" s="26">
        <v>8</v>
      </c>
      <c r="N337" s="24">
        <v>45379</v>
      </c>
      <c r="O337" s="16" cm="1">
        <f t="array" ref="O337">_xll.BADDPERIODS(N337, "PER=WD", "NUMBEROFPERIODS=2", "BUSDAYADJ=-2", "CDR=GQ", "CDR=P9")</f>
        <v>45385</v>
      </c>
      <c r="P337" s="15" cm="1">
        <f t="array" ref="P337">_xll.BDH("XAG Curncy","PX_LAST",N337,N337)</f>
        <v>24.963100000000001</v>
      </c>
      <c r="Q337" s="15" t="str" cm="1">
        <f t="array" ref="Q337">_xll.BDP("SIK24 Comdty",$M$32)</f>
        <v>01/05/2024</v>
      </c>
      <c r="R337" s="15">
        <f t="shared" ref="R337:R380" si="180">_xlfn.DAYS(Q337,O337)</f>
        <v>28</v>
      </c>
      <c r="S337" s="23">
        <v>5.4100000000000002E-2</v>
      </c>
      <c r="T337" s="21">
        <f t="shared" ref="T337:T400" si="181">P337*(R337/360)*S337</f>
        <v>0.10503917744444445</v>
      </c>
      <c r="U337" s="22">
        <v>0.115</v>
      </c>
      <c r="V337" s="52">
        <f t="shared" ref="V337:V400" si="182">100*(U337-T337)</f>
        <v>0.99608225555555541</v>
      </c>
      <c r="W337" s="15">
        <v>15</v>
      </c>
      <c r="X337" s="15">
        <v>20</v>
      </c>
      <c r="Y337" s="15">
        <v>25</v>
      </c>
      <c r="Z337" s="18">
        <f t="shared" ref="Z337:Z400" si="183">100*T337</f>
        <v>10.503917744444445</v>
      </c>
      <c r="AA337" s="18">
        <f t="shared" ref="AA337:AA411" si="184">U337*100</f>
        <v>11.5</v>
      </c>
      <c r="AB337" s="18">
        <f t="shared" ref="AB337:AB400" si="185">V337</f>
        <v>0.99608225555555541</v>
      </c>
      <c r="AE337" s="44" cm="1">
        <f t="array" ref="AE337">_xll.BDH("COMXGOLD Comdty","PX_Last", N337)</f>
        <v>17653625.809</v>
      </c>
      <c r="AF337" s="15" t="str" cm="1">
        <f t="array" ref="AF337">_xll.BDS("GCA Comdty","FUT_CHAIN", "CHAIN_DATE",A337,"endrow=1")</f>
        <v>GCJ24 Comdty</v>
      </c>
      <c r="AG337" s="44" cm="1">
        <f t="array" ref="AG337">_xll.BDH(AF337,"FUT_AGGTE_OPEN_INT",A337)</f>
        <v>507834</v>
      </c>
      <c r="AH337" s="44">
        <f t="shared" si="173"/>
        <v>50783400</v>
      </c>
      <c r="AI337" s="48">
        <f t="shared" si="174"/>
        <v>0.34762591336932935</v>
      </c>
      <c r="AK337" s="44" cm="1">
        <f t="array" ref="AK337">_xll.BDH("COMXSILV Comdty","PX_Last", N337)</f>
        <v>287737.46999999997</v>
      </c>
      <c r="AL337" s="15" t="str" cm="1">
        <f t="array" ref="AL337">_xll.BDS("SIA Comdty","FUT_CHAIN", "CHAIN_DATE",A337,"endrow=1")</f>
        <v>SIJ24 Comdty</v>
      </c>
      <c r="AM337" s="47" cm="1">
        <f t="array" ref="AM337">_xll.BDH(AL337,"FUT_AGGTE_OPEN_INT",A337)</f>
        <v>160771</v>
      </c>
      <c r="AN337" s="45">
        <f t="shared" si="175"/>
        <v>357.94698048777451</v>
      </c>
      <c r="AO337" s="46">
        <f t="shared" si="176"/>
        <v>28773746999.999996</v>
      </c>
      <c r="AP337" s="46">
        <f t="shared" si="177"/>
        <v>803855</v>
      </c>
    </row>
    <row r="338" spans="1:42" x14ac:dyDescent="0.2">
      <c r="A338" s="24">
        <v>45384</v>
      </c>
      <c r="B338" s="16" cm="1">
        <f t="array" ref="B338">_xll.BADDPERIODS(A338, "PER=WD", "NUMBEROFPERIODS=2", "BUSDAYADJ=-2", "CDR=GQ", "CDR=P9")</f>
        <v>45386</v>
      </c>
      <c r="C338" s="15" cm="1">
        <f t="array" ref="C338">_xll.BDH("XAU Curncy","PX_LAST",A338,A338)</f>
        <v>2280.67</v>
      </c>
      <c r="D338" s="15" t="str" cm="1">
        <f t="array" ref="D338">_xll.BDP("GCM24 Comdty",$M$32)</f>
        <v>03/06/2024</v>
      </c>
      <c r="E338" s="15">
        <f t="shared" si="172"/>
        <v>60</v>
      </c>
      <c r="F338" s="23">
        <v>5.4300000000000001E-2</v>
      </c>
      <c r="G338" s="28">
        <f t="shared" si="167"/>
        <v>20.6400635</v>
      </c>
      <c r="H338" s="12">
        <v>20.350000000000001</v>
      </c>
      <c r="I338" s="53">
        <f t="shared" si="168"/>
        <v>-0.2900634999999987</v>
      </c>
      <c r="J338" s="26">
        <v>4</v>
      </c>
      <c r="K338" s="26">
        <v>6</v>
      </c>
      <c r="L338" s="26">
        <v>8</v>
      </c>
      <c r="N338" s="24">
        <v>45384</v>
      </c>
      <c r="O338" s="16" cm="1">
        <f t="array" ref="O338">_xll.BADDPERIODS(N338, "PER=WD", "NUMBEROFPERIODS=2", "BUSDAYADJ=-2", "CDR=GQ", "CDR=P9")</f>
        <v>45386</v>
      </c>
      <c r="P338" s="15" cm="1">
        <f t="array" ref="P338">_xll.BDH("XAG Curncy","PX_LAST",N338,N338)</f>
        <v>26.141100000000002</v>
      </c>
      <c r="Q338" s="15" t="str" cm="1">
        <f t="array" ref="Q338">_xll.BDP("SIK24 Comdty",$M$32)</f>
        <v>01/05/2024</v>
      </c>
      <c r="R338" s="15">
        <f t="shared" si="180"/>
        <v>27</v>
      </c>
      <c r="S338" s="23">
        <v>5.4100000000000002E-2</v>
      </c>
      <c r="T338" s="21">
        <f t="shared" si="181"/>
        <v>0.10606751325000001</v>
      </c>
      <c r="U338" s="12">
        <v>0.13</v>
      </c>
      <c r="V338" s="54">
        <f t="shared" si="182"/>
        <v>2.3932486749999997</v>
      </c>
      <c r="W338" s="15">
        <v>15</v>
      </c>
      <c r="X338" s="15">
        <v>20</v>
      </c>
      <c r="Y338" s="15">
        <v>25</v>
      </c>
      <c r="Z338" s="18">
        <f t="shared" si="183"/>
        <v>10.606751325000001</v>
      </c>
      <c r="AA338" s="18">
        <f t="shared" si="184"/>
        <v>13</v>
      </c>
      <c r="AB338" s="18">
        <f t="shared" si="185"/>
        <v>2.3932486749999997</v>
      </c>
      <c r="AE338" s="44" cm="1">
        <f t="array" ref="AE338">_xll.BDH("COMXGOLD Comdty","PX_Last", N338)</f>
        <v>17779096.359999999</v>
      </c>
      <c r="AF338" s="15" t="str" cm="1">
        <f t="array" ref="AF338">_xll.BDS("GCA Comdty","FUT_CHAIN", "CHAIN_DATE",A338,"endrow=1")</f>
        <v>GCJ24 Comdty</v>
      </c>
      <c r="AG338" s="44" cm="1">
        <f t="array" ref="AG338">_xll.BDH(AF338,"FUT_AGGTE_OPEN_INT",A338)</f>
        <v>500045</v>
      </c>
      <c r="AH338" s="44">
        <f t="shared" si="173"/>
        <v>50004500</v>
      </c>
      <c r="AI338" s="48">
        <f t="shared" si="174"/>
        <v>0.3555499277065064</v>
      </c>
      <c r="AK338" s="44" cm="1">
        <f t="array" ref="AK338">_xll.BDH("COMXSILV Comdty","PX_Last", N338)</f>
        <v>288012.46999999997</v>
      </c>
      <c r="AL338" s="15" t="str" cm="1">
        <f t="array" ref="AL338">_xll.BDS("SIA Comdty","FUT_CHAIN", "CHAIN_DATE",A338,"endrow=1")</f>
        <v>SIJ24 Comdty</v>
      </c>
      <c r="AM338" s="47" cm="1">
        <f t="array" ref="AM338">_xll.BDH(AL338,"FUT_AGGTE_OPEN_INT",A338)</f>
        <v>166823</v>
      </c>
      <c r="AN338" s="45">
        <f t="shared" si="175"/>
        <v>345.29108096605376</v>
      </c>
      <c r="AO338" s="46">
        <f t="shared" si="176"/>
        <v>28801246999.999996</v>
      </c>
      <c r="AP338" s="46">
        <f t="shared" si="177"/>
        <v>834115</v>
      </c>
    </row>
    <row r="339" spans="1:42" x14ac:dyDescent="0.2">
      <c r="A339" s="24">
        <v>45385</v>
      </c>
      <c r="B339" s="16" cm="1">
        <f t="array" ref="B339">_xll.BADDPERIODS(A339, "PER=WD", "NUMBEROFPERIODS=2", "BUSDAYADJ=-2", "CDR=GQ", "CDR=P9")</f>
        <v>45387</v>
      </c>
      <c r="C339" s="15" cm="1">
        <f t="array" ref="C339">_xll.BDH("XAU Curncy","PX_LAST",A339,A339)</f>
        <v>2300</v>
      </c>
      <c r="D339" s="15" t="str" cm="1">
        <f t="array" ref="D339">_xll.BDP("GCM24 Comdty",$M$32)</f>
        <v>03/06/2024</v>
      </c>
      <c r="E339" s="15">
        <f t="shared" si="172"/>
        <v>59</v>
      </c>
      <c r="F339" s="23">
        <v>5.4300000000000001E-2</v>
      </c>
      <c r="G339" s="28">
        <f t="shared" si="167"/>
        <v>20.468083333333336</v>
      </c>
      <c r="H339" s="12">
        <v>20.350000000000001</v>
      </c>
      <c r="I339" s="53">
        <f t="shared" si="168"/>
        <v>-0.11808333333333465</v>
      </c>
      <c r="J339" s="26">
        <v>4</v>
      </c>
      <c r="K339" s="26">
        <v>6</v>
      </c>
      <c r="L339" s="26">
        <v>8</v>
      </c>
      <c r="N339" s="24">
        <v>45385</v>
      </c>
      <c r="O339" s="16" cm="1">
        <f t="array" ref="O339">_xll.BADDPERIODS(N339, "PER=WD", "NUMBEROFPERIODS=2", "BUSDAYADJ=-2", "CDR=GQ", "CDR=P9")</f>
        <v>45387</v>
      </c>
      <c r="P339" s="15" cm="1">
        <f t="array" ref="P339">_xll.BDH("XAG Curncy","PX_LAST",N339,N339)</f>
        <v>27.182200000000002</v>
      </c>
      <c r="Q339" s="15" t="str" cm="1">
        <f t="array" ref="Q339">_xll.BDP("SIK24 Comdty",$M$32)</f>
        <v>01/05/2024</v>
      </c>
      <c r="R339" s="15">
        <f t="shared" si="180"/>
        <v>26</v>
      </c>
      <c r="S339" s="23">
        <v>5.4100000000000002E-2</v>
      </c>
      <c r="T339" s="21">
        <f t="shared" si="181"/>
        <v>0.10620689588888889</v>
      </c>
      <c r="U339" s="12">
        <v>0.125</v>
      </c>
      <c r="V339" s="54">
        <f t="shared" si="182"/>
        <v>1.8793104111111112</v>
      </c>
      <c r="W339" s="15">
        <v>15</v>
      </c>
      <c r="X339" s="15">
        <v>20</v>
      </c>
      <c r="Y339" s="15">
        <v>25</v>
      </c>
      <c r="Z339" s="18">
        <f t="shared" si="183"/>
        <v>10.620689588888888</v>
      </c>
      <c r="AA339" s="18">
        <f t="shared" si="184"/>
        <v>12.5</v>
      </c>
      <c r="AB339" s="18">
        <f t="shared" si="185"/>
        <v>1.8793104111111112</v>
      </c>
      <c r="AE339" s="44" cm="1">
        <f t="array" ref="AE339">_xll.BDH("COMXGOLD Comdty","PX_Last", N339)</f>
        <v>17778614.098000001</v>
      </c>
      <c r="AF339" s="15" t="str" cm="1">
        <f t="array" ref="AF339">_xll.BDS("GCA Comdty","FUT_CHAIN", "CHAIN_DATE",A339,"endrow=1")</f>
        <v>GCJ24 Comdty</v>
      </c>
      <c r="AG339" s="44" cm="1">
        <f t="array" ref="AG339">_xll.BDH(AF339,"FUT_AGGTE_OPEN_INT",A339)</f>
        <v>499606</v>
      </c>
      <c r="AH339" s="44">
        <f t="shared" si="173"/>
        <v>49960600</v>
      </c>
      <c r="AI339" s="48">
        <f t="shared" si="174"/>
        <v>0.35585269388277968</v>
      </c>
      <c r="AK339" s="44" cm="1">
        <f t="array" ref="AK339">_xll.BDH("COMXSILV Comdty","PX_Last", N339)</f>
        <v>288645.96999999997</v>
      </c>
      <c r="AL339" s="15" t="str" cm="1">
        <f t="array" ref="AL339">_xll.BDS("SIA Comdty","FUT_CHAIN", "CHAIN_DATE",A339,"endrow=1")</f>
        <v>SIJ24 Comdty</v>
      </c>
      <c r="AM339" s="47" cm="1">
        <f t="array" ref="AM339">_xll.BDH(AL339,"FUT_AGGTE_OPEN_INT",A339)</f>
        <v>171379</v>
      </c>
      <c r="AN339" s="45">
        <f t="shared" si="175"/>
        <v>336.85103775841844</v>
      </c>
      <c r="AO339" s="46">
        <f t="shared" si="176"/>
        <v>28864596999.999996</v>
      </c>
      <c r="AP339" s="46">
        <f t="shared" si="177"/>
        <v>856895</v>
      </c>
    </row>
    <row r="340" spans="1:42" x14ac:dyDescent="0.2">
      <c r="A340" s="24">
        <v>45386</v>
      </c>
      <c r="B340" s="16" cm="1">
        <f t="array" ref="B340">_xll.BADDPERIODS(A340, "PER=WD", "NUMBEROFPERIODS=2", "BUSDAYADJ=-2", "CDR=GQ", "CDR=P9")</f>
        <v>45390</v>
      </c>
      <c r="C340" s="15" cm="1">
        <f t="array" ref="C340">_xll.BDH("XAU Curncy","PX_LAST",A340,A340)</f>
        <v>2290.94</v>
      </c>
      <c r="D340" s="15" t="str" cm="1">
        <f t="array" ref="D340">_xll.BDP("GCM24 Comdty",$M$32)</f>
        <v>03/06/2024</v>
      </c>
      <c r="E340" s="15">
        <f t="shared" si="172"/>
        <v>56</v>
      </c>
      <c r="F340" s="23">
        <v>5.4300000000000001E-2</v>
      </c>
      <c r="G340" s="28">
        <f t="shared" si="167"/>
        <v>19.350806533333333</v>
      </c>
      <c r="H340" s="12">
        <v>19.350000000000001</v>
      </c>
      <c r="I340" s="53">
        <f t="shared" si="168"/>
        <v>-8.0653333333202681E-4</v>
      </c>
      <c r="J340" s="26">
        <v>4</v>
      </c>
      <c r="K340" s="26">
        <v>6</v>
      </c>
      <c r="L340" s="26">
        <v>8</v>
      </c>
      <c r="N340" s="24">
        <v>45386</v>
      </c>
      <c r="O340" s="16" cm="1">
        <f t="array" ref="O340">_xll.BADDPERIODS(N340, "PER=WD", "NUMBEROFPERIODS=2", "BUSDAYADJ=-2", "CDR=GQ", "CDR=P9")</f>
        <v>45390</v>
      </c>
      <c r="P340" s="15" cm="1">
        <f t="array" ref="P340">_xll.BDH("XAG Curncy","PX_LAST",N340,N340)</f>
        <v>26.914100000000001</v>
      </c>
      <c r="Q340" s="15" t="str" cm="1">
        <f t="array" ref="Q340">_xll.BDP("SIK24 Comdty",$M$32)</f>
        <v>01/05/2024</v>
      </c>
      <c r="R340" s="15">
        <f t="shared" si="180"/>
        <v>23</v>
      </c>
      <c r="S340" s="23">
        <v>5.4100000000000002E-2</v>
      </c>
      <c r="T340" s="21">
        <f t="shared" si="181"/>
        <v>9.3025596194444449E-2</v>
      </c>
      <c r="U340" s="12">
        <v>0.12</v>
      </c>
      <c r="V340" s="54">
        <f t="shared" si="182"/>
        <v>2.6974403805555545</v>
      </c>
      <c r="W340" s="15">
        <v>15</v>
      </c>
      <c r="X340" s="15">
        <v>20</v>
      </c>
      <c r="Y340" s="15">
        <v>25</v>
      </c>
      <c r="Z340" s="18">
        <f t="shared" si="183"/>
        <v>9.3025596194444446</v>
      </c>
      <c r="AA340" s="18">
        <f t="shared" si="184"/>
        <v>12</v>
      </c>
      <c r="AB340" s="18">
        <f t="shared" si="185"/>
        <v>2.6974403805555545</v>
      </c>
      <c r="AE340" s="44" cm="1">
        <f t="array" ref="AE340">_xll.BDH("COMXGOLD Comdty","PX_Last", N340)</f>
        <v>17778614.098000001</v>
      </c>
      <c r="AF340" s="15" t="str" cm="1">
        <f t="array" ref="AF340">_xll.BDS("GCA Comdty","FUT_CHAIN", "CHAIN_DATE",A340,"endrow=1")</f>
        <v>GCJ24 Comdty</v>
      </c>
      <c r="AG340" s="44" cm="1">
        <f t="array" ref="AG340">_xll.BDH(AF340,"FUT_AGGTE_OPEN_INT",A340)</f>
        <v>499257</v>
      </c>
      <c r="AH340" s="44">
        <f t="shared" si="173"/>
        <v>49925700</v>
      </c>
      <c r="AI340" s="48">
        <f t="shared" si="174"/>
        <v>0.35610144871278721</v>
      </c>
      <c r="AK340" s="44" cm="1">
        <f t="array" ref="AK340">_xll.BDH("COMXSILV Comdty","PX_Last", N340)</f>
        <v>288585.53000000003</v>
      </c>
      <c r="AL340" s="15" t="str" cm="1">
        <f t="array" ref="AL340">_xll.BDS("SIA Comdty","FUT_CHAIN", "CHAIN_DATE",A340,"endrow=1")</f>
        <v>SIJ24 Comdty</v>
      </c>
      <c r="AM340" s="47" cm="1">
        <f t="array" ref="AM340">_xll.BDH(AL340,"FUT_AGGTE_OPEN_INT",A340)</f>
        <v>172686</v>
      </c>
      <c r="AN340" s="45">
        <f t="shared" si="175"/>
        <v>334.23153006034079</v>
      </c>
      <c r="AO340" s="46">
        <f t="shared" si="176"/>
        <v>28858553000.000004</v>
      </c>
      <c r="AP340" s="46">
        <f t="shared" si="177"/>
        <v>863430</v>
      </c>
    </row>
    <row r="341" spans="1:42" x14ac:dyDescent="0.2">
      <c r="A341" s="24">
        <v>45387</v>
      </c>
      <c r="B341" s="16" cm="1">
        <f t="array" ref="B341">_xll.BADDPERIODS(A341, "PER=WD", "NUMBEROFPERIODS=2", "BUSDAYADJ=-2", "CDR=GQ", "CDR=P9")</f>
        <v>45391</v>
      </c>
      <c r="C341" s="15" cm="1">
        <f t="array" ref="C341">_xll.BDH("XAU Curncy","PX_LAST",A341,A341)</f>
        <v>2329.75</v>
      </c>
      <c r="D341" s="15" t="str" cm="1">
        <f t="array" ref="D341">_xll.BDP("GCM24 Comdty",$M$32)</f>
        <v>03/06/2024</v>
      </c>
      <c r="E341" s="15">
        <f t="shared" si="172"/>
        <v>55</v>
      </c>
      <c r="F341" s="23">
        <v>5.4300000000000001E-2</v>
      </c>
      <c r="G341" s="28">
        <f t="shared" si="167"/>
        <v>19.327217708333336</v>
      </c>
      <c r="H341" s="12">
        <v>19.3</v>
      </c>
      <c r="I341" s="53">
        <f t="shared" si="168"/>
        <v>-2.7217708333335366E-2</v>
      </c>
      <c r="J341" s="26">
        <v>4</v>
      </c>
      <c r="K341" s="26">
        <v>6</v>
      </c>
      <c r="L341" s="26">
        <v>8</v>
      </c>
      <c r="N341" s="24">
        <v>45387</v>
      </c>
      <c r="O341" s="16" cm="1">
        <f t="array" ref="O341">_xll.BADDPERIODS(N341, "PER=WD", "NUMBEROFPERIODS=2", "BUSDAYADJ=-2", "CDR=GQ", "CDR=P9")</f>
        <v>45391</v>
      </c>
      <c r="P341" s="15" cm="1">
        <f t="array" ref="P341">_xll.BDH("XAG Curncy","PX_LAST",N341,N341)</f>
        <v>27.4757</v>
      </c>
      <c r="Q341" s="15" t="str" cm="1">
        <f t="array" ref="Q341">_xll.BDP("SIK24 Comdty",$M$32)</f>
        <v>01/05/2024</v>
      </c>
      <c r="R341" s="15">
        <f t="shared" si="180"/>
        <v>22</v>
      </c>
      <c r="S341" s="23">
        <v>5.4100000000000002E-2</v>
      </c>
      <c r="T341" s="21">
        <f t="shared" si="181"/>
        <v>9.0837717055555545E-2</v>
      </c>
      <c r="U341" s="12">
        <v>0.115</v>
      </c>
      <c r="V341" s="54">
        <f t="shared" si="182"/>
        <v>2.416228294444446</v>
      </c>
      <c r="W341" s="15">
        <v>15</v>
      </c>
      <c r="X341" s="15">
        <v>20</v>
      </c>
      <c r="Y341" s="15">
        <v>25</v>
      </c>
      <c r="Z341" s="18">
        <f t="shared" si="183"/>
        <v>9.083771705555554</v>
      </c>
      <c r="AA341" s="18">
        <f t="shared" si="184"/>
        <v>11.5</v>
      </c>
      <c r="AB341" s="18">
        <f t="shared" si="185"/>
        <v>2.416228294444446</v>
      </c>
      <c r="AE341" s="44" cm="1">
        <f t="array" ref="AE341">_xll.BDH("COMXGOLD Comdty","PX_Last", N341)</f>
        <v>17778614.098000001</v>
      </c>
      <c r="AF341" s="15" t="str" cm="1">
        <f t="array" ref="AF341">_xll.BDS("GCA Comdty","FUT_CHAIN", "CHAIN_DATE",A341,"endrow=1")</f>
        <v>GCJ24 Comdty</v>
      </c>
      <c r="AG341" s="44" cm="1">
        <f t="array" ref="AG341">_xll.BDH(AF341,"FUT_AGGTE_OPEN_INT",A341)</f>
        <v>509247</v>
      </c>
      <c r="AH341" s="44">
        <f t="shared" si="173"/>
        <v>50924700</v>
      </c>
      <c r="AI341" s="48">
        <f t="shared" si="174"/>
        <v>0.34911573554679753</v>
      </c>
      <c r="AK341" s="44" cm="1">
        <f t="array" ref="AK341">_xll.BDH("COMXSILV Comdty","PX_Last", N341)</f>
        <v>289514.69</v>
      </c>
      <c r="AL341" s="15" t="str" cm="1">
        <f t="array" ref="AL341">_xll.BDS("SIA Comdty","FUT_CHAIN", "CHAIN_DATE",A341,"endrow=1")</f>
        <v>SIJ24 Comdty</v>
      </c>
      <c r="AM341" s="47" cm="1">
        <f t="array" ref="AM341">_xll.BDH(AL341,"FUT_AGGTE_OPEN_INT",A341)</f>
        <v>174986</v>
      </c>
      <c r="AN341" s="45">
        <f t="shared" si="175"/>
        <v>330.90040346084834</v>
      </c>
      <c r="AO341" s="46">
        <f t="shared" ref="AO341:AO346" si="186">AK341*100000</f>
        <v>28951469000</v>
      </c>
      <c r="AP341" s="46">
        <f t="shared" ref="AP341:AP346" si="187">(AM341*5000)/1000</f>
        <v>874930</v>
      </c>
    </row>
    <row r="342" spans="1:42" x14ac:dyDescent="0.2">
      <c r="A342" s="24">
        <v>45390</v>
      </c>
      <c r="B342" s="16" cm="1">
        <f t="array" ref="B342">_xll.BADDPERIODS(A342, "PER=WD", "NUMBEROFPERIODS=2", "BUSDAYADJ=-2", "CDR=GQ", "CDR=P9")</f>
        <v>45392</v>
      </c>
      <c r="C342" s="15" cm="1">
        <f t="array" ref="C342">_xll.BDH("XAU Curncy","PX_LAST",A342,A342)</f>
        <v>2339.0300000000002</v>
      </c>
      <c r="D342" s="15" t="str" cm="1">
        <f t="array" ref="D342">_xll.BDP("GCM24 Comdty",$M$32)</f>
        <v>03/06/2024</v>
      </c>
      <c r="E342" s="15">
        <f t="shared" si="172"/>
        <v>54</v>
      </c>
      <c r="F342" s="23">
        <v>5.4399999999999997E-2</v>
      </c>
      <c r="G342" s="28">
        <f t="shared" si="167"/>
        <v>19.086484800000001</v>
      </c>
      <c r="H342" s="12">
        <v>18.899999999999999</v>
      </c>
      <c r="I342" s="55">
        <f t="shared" si="168"/>
        <v>-0.18648480000000234</v>
      </c>
      <c r="J342" s="26">
        <v>4</v>
      </c>
      <c r="K342" s="26">
        <v>6</v>
      </c>
      <c r="L342" s="26">
        <v>8</v>
      </c>
      <c r="N342" s="24">
        <v>45390</v>
      </c>
      <c r="O342" s="16" cm="1">
        <f t="array" ref="O342">_xll.BADDPERIODS(N342, "PER=WD", "NUMBEROFPERIODS=2", "BUSDAYADJ=-2", "CDR=GQ", "CDR=P9")</f>
        <v>45392</v>
      </c>
      <c r="P342" s="15" cm="1">
        <f t="array" ref="P342">_xll.BDH("XAG Curncy","PX_LAST",N342,N342)</f>
        <v>27.8505</v>
      </c>
      <c r="Q342" s="15" t="str" cm="1">
        <f t="array" ref="Q342">_xll.BDP("SIK24 Comdty",$M$32)</f>
        <v>01/05/2024</v>
      </c>
      <c r="R342" s="15">
        <f t="shared" si="180"/>
        <v>21</v>
      </c>
      <c r="S342" s="23">
        <v>5.3999999999999999E-2</v>
      </c>
      <c r="T342" s="21">
        <f t="shared" si="181"/>
        <v>8.7729075000000004E-2</v>
      </c>
      <c r="U342" s="12">
        <v>0.1</v>
      </c>
      <c r="V342" s="56">
        <f t="shared" si="182"/>
        <v>1.2270925000000001</v>
      </c>
      <c r="W342" s="15">
        <v>15</v>
      </c>
      <c r="X342" s="15">
        <v>20</v>
      </c>
      <c r="Y342" s="15">
        <v>25</v>
      </c>
      <c r="Z342" s="18">
        <f t="shared" si="183"/>
        <v>8.7729075000000005</v>
      </c>
      <c r="AA342" s="18">
        <f t="shared" si="184"/>
        <v>10</v>
      </c>
      <c r="AB342" s="18">
        <f t="shared" si="185"/>
        <v>1.2270925000000001</v>
      </c>
      <c r="AE342" s="44" cm="1">
        <f t="array" ref="AE342">_xll.BDH("COMXGOLD Comdty","PX_Last", N342)</f>
        <v>17583380.138</v>
      </c>
      <c r="AF342" s="15" t="str" cm="1">
        <f t="array" ref="AF342">_xll.BDS("GCA Comdty","FUT_CHAIN", "CHAIN_DATE",A342,"endrow=1")</f>
        <v>GCJ24 Comdty</v>
      </c>
      <c r="AG342" s="44" cm="1">
        <f t="array" ref="AG342">_xll.BDH(AF342,"FUT_AGGTE_OPEN_INT",A342)</f>
        <v>503537</v>
      </c>
      <c r="AH342" s="44">
        <f t="shared" ref="AH342:AH346" si="188">AG342*$AG$17</f>
        <v>50353700</v>
      </c>
      <c r="AI342" s="48">
        <f t="shared" ref="AI342:AI346" si="189">AE342/AH342</f>
        <v>0.34919738049041082</v>
      </c>
      <c r="AK342" s="44" cm="1">
        <f t="array" ref="AK342">_xll.BDH("COMXSILV Comdty","PX_Last", N342)</f>
        <v>289497.56</v>
      </c>
      <c r="AL342" s="15" t="str" cm="1">
        <f t="array" ref="AL342">_xll.BDS("SIA Comdty","FUT_CHAIN", "CHAIN_DATE",A342,"endrow=1")</f>
        <v>SIJ24 Comdty</v>
      </c>
      <c r="AM342" s="47" cm="1">
        <f t="array" ref="AM342">_xll.BDH(AL342,"FUT_AGGTE_OPEN_INT",A342)</f>
        <v>174695</v>
      </c>
      <c r="AN342" s="45">
        <f t="shared" si="175"/>
        <v>331.43199290191478</v>
      </c>
      <c r="AO342" s="46">
        <f t="shared" si="186"/>
        <v>28949756000</v>
      </c>
      <c r="AP342" s="46">
        <f t="shared" si="187"/>
        <v>873475</v>
      </c>
    </row>
    <row r="343" spans="1:42" x14ac:dyDescent="0.2">
      <c r="A343" s="24">
        <v>45391</v>
      </c>
      <c r="B343" s="16" cm="1">
        <f t="array" ref="B343">_xll.BADDPERIODS(A343, "PER=WD", "NUMBEROFPERIODS=2", "BUSDAYADJ=-2", "CDR=GQ", "CDR=P9")</f>
        <v>45393</v>
      </c>
      <c r="C343" s="15" cm="1">
        <f t="array" ref="C343">_xll.BDH("XAU Curncy","PX_LAST",A343,A343)</f>
        <v>2352.7800000000002</v>
      </c>
      <c r="D343" s="15" t="str" cm="1">
        <f t="array" ref="D343">_xll.BDP("GCM24 Comdty",$M$32)</f>
        <v>03/06/2024</v>
      </c>
      <c r="E343" s="15">
        <f t="shared" si="172"/>
        <v>53</v>
      </c>
      <c r="F343" s="23">
        <v>5.4399999999999997E-2</v>
      </c>
      <c r="G343" s="28">
        <f t="shared" si="167"/>
        <v>18.843153600000001</v>
      </c>
      <c r="H343" s="12">
        <v>18.899999999999999</v>
      </c>
      <c r="I343" s="55">
        <f t="shared" si="168"/>
        <v>5.6846399999997743E-2</v>
      </c>
      <c r="J343" s="26">
        <v>4</v>
      </c>
      <c r="K343" s="26">
        <v>6</v>
      </c>
      <c r="L343" s="26">
        <v>8</v>
      </c>
      <c r="N343" s="24">
        <v>45391</v>
      </c>
      <c r="O343" s="16" cm="1">
        <f t="array" ref="O343">_xll.BADDPERIODS(N343, "PER=WD", "NUMBEROFPERIODS=2", "BUSDAYADJ=-2", "CDR=GQ", "CDR=P9")</f>
        <v>45393</v>
      </c>
      <c r="P343" s="15" cm="1">
        <f t="array" ref="P343">_xll.BDH("XAG Curncy","PX_LAST",N343,N343)</f>
        <v>28.152000000000001</v>
      </c>
      <c r="Q343" s="15" t="str" cm="1">
        <f t="array" ref="Q343">_xll.BDP("SIK24 Comdty",$M$32)</f>
        <v>01/05/2024</v>
      </c>
      <c r="R343" s="15">
        <f t="shared" si="180"/>
        <v>20</v>
      </c>
      <c r="S343" s="23">
        <v>5.3999999999999999E-2</v>
      </c>
      <c r="T343" s="21">
        <f t="shared" si="181"/>
        <v>8.4456000000000003E-2</v>
      </c>
      <c r="U343" s="12">
        <v>0.105</v>
      </c>
      <c r="V343" s="56">
        <f t="shared" si="182"/>
        <v>2.0543999999999993</v>
      </c>
      <c r="W343" s="15">
        <v>15</v>
      </c>
      <c r="X343" s="15">
        <v>20</v>
      </c>
      <c r="Y343" s="15">
        <v>25</v>
      </c>
      <c r="Z343" s="18">
        <f t="shared" si="183"/>
        <v>8.4456000000000007</v>
      </c>
      <c r="AA343" s="18">
        <f t="shared" si="184"/>
        <v>10.5</v>
      </c>
      <c r="AB343" s="18">
        <f t="shared" si="185"/>
        <v>2.0543999999999993</v>
      </c>
      <c r="AE343" s="44" cm="1">
        <f t="array" ref="AE343">_xll.BDH("COMXGOLD Comdty","PX_Last", N343)</f>
        <v>17582172.588</v>
      </c>
      <c r="AF343" s="15" t="str" cm="1">
        <f t="array" ref="AF343">_xll.BDS("GCA Comdty","FUT_CHAIN", "CHAIN_DATE",A343,"endrow=1")</f>
        <v>GCJ24 Comdty</v>
      </c>
      <c r="AG343" s="44" cm="1">
        <f t="array" ref="AG343">_xll.BDH(AF343,"FUT_AGGTE_OPEN_INT",A343)</f>
        <v>505214</v>
      </c>
      <c r="AH343" s="44">
        <f t="shared" si="188"/>
        <v>50521400</v>
      </c>
      <c r="AI343" s="48">
        <f t="shared" si="189"/>
        <v>0.3480143580344171</v>
      </c>
      <c r="AK343" s="44" cm="1">
        <f t="array" ref="AK343">_xll.BDH("COMXSILV Comdty","PX_Last", N343)</f>
        <v>290072.75</v>
      </c>
      <c r="AL343" s="15" t="str" cm="1">
        <f t="array" ref="AL343">_xll.BDS("SIA Comdty","FUT_CHAIN", "CHAIN_DATE",A343,"endrow=1")</f>
        <v>SIJ24 Comdty</v>
      </c>
      <c r="AM343" s="47" cm="1">
        <f t="array" ref="AM343">_xll.BDH(AL343,"FUT_AGGTE_OPEN_INT",A343)</f>
        <v>174397</v>
      </c>
      <c r="AN343" s="45">
        <f t="shared" si="175"/>
        <v>332.65795856580104</v>
      </c>
      <c r="AO343" s="46">
        <f t="shared" si="186"/>
        <v>29007275000</v>
      </c>
      <c r="AP343" s="46">
        <f t="shared" si="187"/>
        <v>871985</v>
      </c>
    </row>
    <row r="344" spans="1:42" x14ac:dyDescent="0.2">
      <c r="A344" s="24">
        <v>45392</v>
      </c>
      <c r="B344" s="16" cm="1">
        <f t="array" ref="B344">_xll.BADDPERIODS(A344, "PER=WD", "NUMBEROFPERIODS=2", "BUSDAYADJ=-2", "CDR=GQ", "CDR=P9")</f>
        <v>45394</v>
      </c>
      <c r="C344" s="15" cm="1">
        <f t="array" ref="C344">_xll.BDH("XAU Curncy","PX_LAST",A344,A344)</f>
        <v>2334.04</v>
      </c>
      <c r="D344" s="15" t="str" cm="1">
        <f t="array" ref="D344">_xll.BDP("GCM24 Comdty",$M$32)</f>
        <v>03/06/2024</v>
      </c>
      <c r="E344" s="15">
        <f t="shared" si="172"/>
        <v>52</v>
      </c>
      <c r="F344" s="23">
        <v>5.45E-2</v>
      </c>
      <c r="G344" s="28">
        <f t="shared" si="167"/>
        <v>18.374081555555552</v>
      </c>
      <c r="H344" s="12">
        <v>18.3</v>
      </c>
      <c r="I344" s="55">
        <f t="shared" si="168"/>
        <v>-7.4081555555551404E-2</v>
      </c>
      <c r="J344" s="26">
        <v>4</v>
      </c>
      <c r="K344" s="26">
        <v>6</v>
      </c>
      <c r="L344" s="26">
        <v>8</v>
      </c>
      <c r="N344" s="24">
        <v>45392</v>
      </c>
      <c r="O344" s="16" cm="1">
        <f t="array" ref="O344">_xll.BADDPERIODS(N344, "PER=WD", "NUMBEROFPERIODS=2", "BUSDAYADJ=-2", "CDR=GQ", "CDR=P9")</f>
        <v>45394</v>
      </c>
      <c r="P344" s="15" cm="1">
        <f t="array" ref="P344">_xll.BDH("XAG Curncy","PX_LAST",N344,N344)</f>
        <v>27.9481</v>
      </c>
      <c r="Q344" s="15" t="str" cm="1">
        <f t="array" ref="Q344">_xll.BDP("SIK24 Comdty",$M$32)</f>
        <v>01/05/2024</v>
      </c>
      <c r="R344" s="15">
        <f t="shared" si="180"/>
        <v>19</v>
      </c>
      <c r="S344" s="23">
        <v>5.3999999999999999E-2</v>
      </c>
      <c r="T344" s="21">
        <f t="shared" si="181"/>
        <v>7.9652084999999997E-2</v>
      </c>
      <c r="U344" s="12">
        <v>0.105</v>
      </c>
      <c r="V344" s="56">
        <f t="shared" si="182"/>
        <v>2.5347914999999999</v>
      </c>
      <c r="W344" s="15">
        <v>15</v>
      </c>
      <c r="X344" s="15">
        <v>20</v>
      </c>
      <c r="Y344" s="15">
        <v>25</v>
      </c>
      <c r="Z344" s="18">
        <f t="shared" si="183"/>
        <v>7.9652085000000001</v>
      </c>
      <c r="AA344" s="18">
        <f t="shared" si="184"/>
        <v>10.5</v>
      </c>
      <c r="AB344" s="18">
        <f t="shared" si="185"/>
        <v>2.5347914999999999</v>
      </c>
      <c r="AE344" s="44" cm="1">
        <f t="array" ref="AE344">_xll.BDH("COMXGOLD Comdty","PX_Last", N344)</f>
        <v>17582172.588</v>
      </c>
      <c r="AF344" s="15" t="str" cm="1">
        <f t="array" ref="AF344">_xll.BDS("GCA Comdty","FUT_CHAIN", "CHAIN_DATE",A344,"endrow=1")</f>
        <v>GCJ24 Comdty</v>
      </c>
      <c r="AG344" s="44" cm="1">
        <f t="array" ref="AG344">_xll.BDH(AF344,"FUT_AGGTE_OPEN_INT",A344)</f>
        <v>505601</v>
      </c>
      <c r="AH344" s="44">
        <f t="shared" si="188"/>
        <v>50560100</v>
      </c>
      <c r="AI344" s="48">
        <f t="shared" si="189"/>
        <v>0.34774797890035819</v>
      </c>
      <c r="AK344" s="44" cm="1">
        <f t="array" ref="AK344">_xll.BDH("COMXSILV Comdty","PX_Last", N344)</f>
        <v>289976.53000000003</v>
      </c>
      <c r="AL344" s="15" t="str" cm="1">
        <f t="array" ref="AL344">_xll.BDS("SIA Comdty","FUT_CHAIN", "CHAIN_DATE",A344,"endrow=1")</f>
        <v>SIJ24 Comdty</v>
      </c>
      <c r="AM344" s="47" cm="1">
        <f t="array" ref="AM344">_xll.BDH(AL344,"FUT_AGGTE_OPEN_INT",A344)</f>
        <v>175072</v>
      </c>
      <c r="AN344" s="45">
        <f t="shared" si="175"/>
        <v>331.26545649789807</v>
      </c>
      <c r="AO344" s="46">
        <f t="shared" si="186"/>
        <v>28997653000.000004</v>
      </c>
      <c r="AP344" s="46">
        <f t="shared" si="187"/>
        <v>875360</v>
      </c>
    </row>
    <row r="345" spans="1:42" x14ac:dyDescent="0.2">
      <c r="A345" s="24">
        <v>45393</v>
      </c>
      <c r="B345" s="16" cm="1">
        <f t="array" ref="B345">_xll.BADDPERIODS(A345, "PER=WD", "NUMBEROFPERIODS=2", "BUSDAYADJ=-2", "CDR=GQ", "CDR=P9")</f>
        <v>45397</v>
      </c>
      <c r="C345" s="15" cm="1">
        <f t="array" ref="C345">_xll.BDH("XAU Curncy","PX_LAST",A345,A345)</f>
        <v>2372.52</v>
      </c>
      <c r="D345" s="15" t="str" cm="1">
        <f t="array" ref="D345">_xll.BDP("GCM24 Comdty",$M$32)</f>
        <v>03/06/2024</v>
      </c>
      <c r="E345" s="15">
        <f t="shared" si="172"/>
        <v>49</v>
      </c>
      <c r="F345" s="23">
        <v>5.45E-2</v>
      </c>
      <c r="G345" s="28">
        <f t="shared" si="167"/>
        <v>17.599485166666664</v>
      </c>
      <c r="H345" s="12">
        <v>17.3</v>
      </c>
      <c r="I345" s="55">
        <f t="shared" si="168"/>
        <v>-0.29948516666666336</v>
      </c>
      <c r="J345" s="26">
        <v>4</v>
      </c>
      <c r="K345" s="26">
        <v>6</v>
      </c>
      <c r="L345" s="26">
        <v>8</v>
      </c>
      <c r="N345" s="24">
        <v>45393</v>
      </c>
      <c r="O345" s="16" cm="1">
        <f t="array" ref="O345">_xll.BADDPERIODS(N345, "PER=WD", "NUMBEROFPERIODS=2", "BUSDAYADJ=-2", "CDR=GQ", "CDR=P9")</f>
        <v>45397</v>
      </c>
      <c r="P345" s="15" cm="1">
        <f t="array" ref="P345">_xll.BDH("XAG Curncy","PX_LAST",N345,N345)</f>
        <v>28.4437</v>
      </c>
      <c r="Q345" s="15" t="str" cm="1">
        <f t="array" ref="Q345">_xll.BDP("SIK24 Comdty",$M$32)</f>
        <v>01/05/2024</v>
      </c>
      <c r="R345" s="15">
        <f t="shared" si="180"/>
        <v>16</v>
      </c>
      <c r="S345" s="23">
        <v>5.3999999999999999E-2</v>
      </c>
      <c r="T345" s="21">
        <f t="shared" si="181"/>
        <v>6.826488E-2</v>
      </c>
      <c r="U345" s="12">
        <v>0.1</v>
      </c>
      <c r="V345" s="56">
        <f t="shared" si="182"/>
        <v>3.1735120000000006</v>
      </c>
      <c r="W345" s="15">
        <v>15</v>
      </c>
      <c r="X345" s="15">
        <v>20</v>
      </c>
      <c r="Y345" s="15">
        <v>25</v>
      </c>
      <c r="Z345" s="18">
        <f t="shared" si="183"/>
        <v>6.8264880000000003</v>
      </c>
      <c r="AA345" s="18">
        <f t="shared" si="184"/>
        <v>10</v>
      </c>
      <c r="AB345" s="18">
        <f t="shared" si="185"/>
        <v>3.1735120000000006</v>
      </c>
      <c r="AE345" s="44" cm="1">
        <f t="array" ref="AE345">_xll.BDH("COMXGOLD Comdty","PX_Last", N345)</f>
        <v>17582172.588</v>
      </c>
      <c r="AF345" s="15" t="str" cm="1">
        <f t="array" ref="AF345">_xll.BDS("GCA Comdty","FUT_CHAIN", "CHAIN_DATE",A345,"endrow=1")</f>
        <v>GCJ24 Comdty</v>
      </c>
      <c r="AG345" s="44" cm="1">
        <f t="array" ref="AG345">_xll.BDH(AF345,"FUT_AGGTE_OPEN_INT",A345)</f>
        <v>523277</v>
      </c>
      <c r="AH345" s="44">
        <f t="shared" si="188"/>
        <v>52327700</v>
      </c>
      <c r="AI345" s="48">
        <f t="shared" si="189"/>
        <v>0.33600124958673894</v>
      </c>
      <c r="AK345" s="44" cm="1">
        <f t="array" ref="AK345">_xll.BDH("COMXSILV Comdty","PX_Last", N345)</f>
        <v>290933.21999999997</v>
      </c>
      <c r="AL345" s="15" t="str" cm="1">
        <f t="array" ref="AL345">_xll.BDS("SIA Comdty","FUT_CHAIN", "CHAIN_DATE",A345,"endrow=1")</f>
        <v>SIJ24 Comdty</v>
      </c>
      <c r="AM345" s="47" cm="1">
        <f t="array" ref="AM345">_xll.BDH(AL345,"FUT_AGGTE_OPEN_INT",A345)</f>
        <v>178881</v>
      </c>
      <c r="AN345" s="45">
        <f t="shared" si="175"/>
        <v>325.28129874050342</v>
      </c>
      <c r="AO345" s="46">
        <f t="shared" si="186"/>
        <v>29093321999.999996</v>
      </c>
      <c r="AP345" s="46">
        <f t="shared" si="187"/>
        <v>894405</v>
      </c>
    </row>
    <row r="346" spans="1:42" x14ac:dyDescent="0.2">
      <c r="A346" s="24">
        <v>45394</v>
      </c>
      <c r="B346" s="16" cm="1">
        <f t="array" ref="B346">_xll.BADDPERIODS(A346, "PER=WD", "NUMBEROFPERIODS=2", "BUSDAYADJ=-2", "CDR=GQ", "CDR=P9")</f>
        <v>45398</v>
      </c>
      <c r="C346" s="15" cm="1">
        <f t="array" ref="C346">_xll.BDH("XAU Curncy","PX_LAST",A346,A346)</f>
        <v>2344.37</v>
      </c>
      <c r="D346" s="15" t="str" cm="1">
        <f t="array" ref="D346">_xll.BDP("GCM24 Comdty",$M$32)</f>
        <v>03/06/2024</v>
      </c>
      <c r="E346" s="15">
        <f t="shared" si="172"/>
        <v>48</v>
      </c>
      <c r="F346" s="23">
        <v>5.45E-2</v>
      </c>
      <c r="G346" s="28">
        <f t="shared" si="167"/>
        <v>17.035755333333331</v>
      </c>
      <c r="H346" s="12">
        <v>16.2</v>
      </c>
      <c r="I346" s="55">
        <f t="shared" si="168"/>
        <v>-0.83575533333333141</v>
      </c>
      <c r="J346" s="26">
        <v>4</v>
      </c>
      <c r="K346" s="26">
        <v>6</v>
      </c>
      <c r="L346" s="26">
        <v>8</v>
      </c>
      <c r="N346" s="24">
        <v>45394</v>
      </c>
      <c r="O346" s="16" cm="1">
        <f t="array" ref="O346">_xll.BADDPERIODS(N346, "PER=WD", "NUMBEROFPERIODS=2", "BUSDAYADJ=-2", "CDR=GQ", "CDR=P9")</f>
        <v>45398</v>
      </c>
      <c r="P346" s="15" cm="1">
        <f t="array" ref="P346">_xll.BDH("XAG Curncy","PX_LAST",N346,N346)</f>
        <v>27.877300000000002</v>
      </c>
      <c r="Q346" s="15" t="str" cm="1">
        <f t="array" ref="Q346">_xll.BDP("SIK24 Comdty",$M$32)</f>
        <v>01/05/2024</v>
      </c>
      <c r="R346" s="15">
        <f t="shared" si="180"/>
        <v>15</v>
      </c>
      <c r="S346" s="23">
        <v>5.3999999999999999E-2</v>
      </c>
      <c r="T346" s="21">
        <f t="shared" si="181"/>
        <v>6.2723925E-2</v>
      </c>
      <c r="U346" s="12">
        <v>0.1</v>
      </c>
      <c r="V346" s="56">
        <f t="shared" si="182"/>
        <v>3.7276075000000004</v>
      </c>
      <c r="W346" s="15">
        <v>15</v>
      </c>
      <c r="X346" s="15">
        <v>20</v>
      </c>
      <c r="Y346" s="15">
        <v>25</v>
      </c>
      <c r="Z346" s="18">
        <f t="shared" si="183"/>
        <v>6.2723924999999996</v>
      </c>
      <c r="AA346" s="18">
        <f t="shared" si="184"/>
        <v>10</v>
      </c>
      <c r="AB346" s="18">
        <f t="shared" si="185"/>
        <v>3.7276075000000004</v>
      </c>
      <c r="AE346" s="44" cm="1">
        <f t="array" ref="AE346">_xll.BDH("COMXGOLD Comdty","PX_Last", N346)</f>
        <v>17582172.588</v>
      </c>
      <c r="AF346" s="15" t="str" cm="1">
        <f t="array" ref="AF346">_xll.BDS("GCA Comdty","FUT_CHAIN", "CHAIN_DATE",A346,"endrow=1")</f>
        <v>GCJ24 Comdty</v>
      </c>
      <c r="AG346" s="44" cm="1">
        <f t="array" ref="AG346">_xll.BDH(AF346,"FUT_AGGTE_OPEN_INT",A346)</f>
        <v>513870</v>
      </c>
      <c r="AH346" s="44">
        <f t="shared" si="188"/>
        <v>51387000</v>
      </c>
      <c r="AI346" s="48">
        <f t="shared" si="189"/>
        <v>0.34215215108879676</v>
      </c>
      <c r="AK346" s="44" cm="1">
        <f t="array" ref="AK346">_xll.BDH("COMXSILV Comdty","PX_Last", N346)</f>
        <v>291756.28000000003</v>
      </c>
      <c r="AL346" s="15" t="str" cm="1">
        <f t="array" ref="AL346">_xll.BDS("SIA Comdty","FUT_CHAIN", "CHAIN_DATE",A346,"endrow=1")</f>
        <v>SIJ24 Comdty</v>
      </c>
      <c r="AM346" s="47" cm="1">
        <f t="array" ref="AM346">_xll.BDH(AL346,"FUT_AGGTE_OPEN_INT",A346)</f>
        <v>174962</v>
      </c>
      <c r="AN346" s="45">
        <f t="shared" si="175"/>
        <v>333.50816748779738</v>
      </c>
      <c r="AO346" s="46">
        <f t="shared" si="186"/>
        <v>29175628000.000004</v>
      </c>
      <c r="AP346" s="46">
        <f t="shared" si="187"/>
        <v>874810</v>
      </c>
    </row>
    <row r="347" spans="1:42" x14ac:dyDescent="0.2">
      <c r="A347" s="24">
        <v>45397</v>
      </c>
      <c r="B347" s="16" cm="1">
        <f t="array" ref="B347">_xll.BADDPERIODS(A347, "PER=WD", "NUMBEROFPERIODS=2", "BUSDAYADJ=-2", "CDR=GQ", "CDR=P9")</f>
        <v>45399</v>
      </c>
      <c r="C347" s="15" cm="1">
        <f t="array" ref="C347">_xll.BDH("XAU Curncy","PX_LAST",A347,A347)</f>
        <v>2383.34</v>
      </c>
      <c r="D347" s="15" t="str" cm="1">
        <f t="array" ref="D347">_xll.BDP("GCM24 Comdty",$M$32)</f>
        <v>03/06/2024</v>
      </c>
      <c r="E347" s="15">
        <f t="shared" si="172"/>
        <v>47</v>
      </c>
      <c r="F347" s="23">
        <v>5.3999999999999999E-2</v>
      </c>
      <c r="G347" s="28">
        <f t="shared" si="167"/>
        <v>16.802547000000001</v>
      </c>
      <c r="H347" s="12">
        <v>16</v>
      </c>
      <c r="I347" s="57">
        <f t="shared" si="168"/>
        <v>-0.80254700000000057</v>
      </c>
      <c r="J347" s="26">
        <v>4</v>
      </c>
      <c r="K347" s="26">
        <v>6</v>
      </c>
      <c r="L347" s="26">
        <v>8</v>
      </c>
      <c r="N347" s="24">
        <v>45397</v>
      </c>
      <c r="O347" s="16" cm="1">
        <f t="array" ref="O347">_xll.BADDPERIODS(N347, "PER=WD", "NUMBEROFPERIODS=2", "BUSDAYADJ=-2", "CDR=GQ", "CDR=P9")</f>
        <v>45399</v>
      </c>
      <c r="P347" s="15" cm="1">
        <f t="array" ref="P347">_xll.BDH("XAG Curncy","PX_LAST",N347,N347)</f>
        <v>28.872</v>
      </c>
      <c r="Q347" s="15" t="str" cm="1">
        <f t="array" ref="Q347">_xll.BDP("SIK24 Comdty",$M$32)</f>
        <v>01/05/2024</v>
      </c>
      <c r="R347" s="15">
        <f t="shared" si="180"/>
        <v>14</v>
      </c>
      <c r="S347" s="23">
        <v>5.5500000000000001E-2</v>
      </c>
      <c r="T347" s="21">
        <f t="shared" si="181"/>
        <v>6.23154E-2</v>
      </c>
      <c r="U347" s="12">
        <v>0.1</v>
      </c>
      <c r="V347" s="58">
        <f t="shared" si="182"/>
        <v>3.7684600000000006</v>
      </c>
      <c r="W347" s="15">
        <v>15</v>
      </c>
      <c r="X347" s="15">
        <v>20</v>
      </c>
      <c r="Y347" s="15">
        <v>25</v>
      </c>
      <c r="Z347" s="18">
        <f t="shared" si="183"/>
        <v>6.2315399999999999</v>
      </c>
      <c r="AA347" s="18">
        <f t="shared" si="184"/>
        <v>10</v>
      </c>
      <c r="AB347" s="18">
        <f t="shared" si="185"/>
        <v>3.7684600000000006</v>
      </c>
      <c r="AE347" s="44" cm="1">
        <f t="array" ref="AE347">_xll.BDH("COMXGOLD Comdty","PX_Last", N347)</f>
        <v>17484087.588</v>
      </c>
      <c r="AF347" s="15" t="str" cm="1">
        <f t="array" ref="AF347">_xll.BDS("GCA Comdty","FUT_CHAIN", "CHAIN_DATE",A347,"endrow=1")</f>
        <v>GCJ24 Comdty</v>
      </c>
      <c r="AG347" s="44" cm="1">
        <f t="array" ref="AG347">_xll.BDH(AF347,"FUT_AGGTE_OPEN_INT",A347)</f>
        <v>513150</v>
      </c>
      <c r="AH347" s="44">
        <f t="shared" ref="AH347:AH379" si="190">AG347*$AG$17</f>
        <v>51315000</v>
      </c>
      <c r="AI347" s="48">
        <f t="shared" ref="AI347:AI379" si="191">AE347/AH347</f>
        <v>0.34072079485530543</v>
      </c>
      <c r="AK347" s="44" cm="1">
        <f t="array" ref="AK347">_xll.BDH("COMXSILV Comdty","PX_Last", N347)</f>
        <v>291091.13</v>
      </c>
      <c r="AL347" s="15" t="str" cm="1">
        <f t="array" ref="AL347">_xll.BDS("SIA Comdty","FUT_CHAIN", "CHAIN_DATE",A347,"endrow=1")</f>
        <v>SIJ24 Comdty</v>
      </c>
      <c r="AM347" s="47" cm="1">
        <f t="array" ref="AM347">_xll.BDH(AL347,"FUT_AGGTE_OPEN_INT",A347)</f>
        <v>176605</v>
      </c>
      <c r="AN347" s="45">
        <f t="shared" si="175"/>
        <v>329.65219557770166</v>
      </c>
      <c r="AO347" s="46">
        <f t="shared" ref="AO347:AO379" si="192">AK347*100000</f>
        <v>29109113000</v>
      </c>
      <c r="AP347" s="46">
        <f t="shared" ref="AP347:AP379" si="193">(AM347*5000)/1000</f>
        <v>883025</v>
      </c>
    </row>
    <row r="348" spans="1:42" x14ac:dyDescent="0.2">
      <c r="A348" s="24">
        <v>45398</v>
      </c>
      <c r="B348" s="16" cm="1">
        <f t="array" ref="B348">_xll.BADDPERIODS(A348, "PER=WD", "NUMBEROFPERIODS=2", "BUSDAYADJ=-2", "CDR=GQ", "CDR=P9")</f>
        <v>45400</v>
      </c>
      <c r="C348" s="15" cm="1">
        <f t="array" ref="C348">_xll.BDH("XAU Curncy","PX_LAST",A348,A348)</f>
        <v>2382.89</v>
      </c>
      <c r="D348" s="15" t="str" cm="1">
        <f t="array" ref="D348">_xll.BDP("GCM24 Comdty",$M$32)</f>
        <v>03/06/2024</v>
      </c>
      <c r="E348" s="15">
        <f t="shared" si="172"/>
        <v>46</v>
      </c>
      <c r="F348" s="23">
        <v>5.3999999999999999E-2</v>
      </c>
      <c r="G348" s="28">
        <f t="shared" si="167"/>
        <v>16.441940999999996</v>
      </c>
      <c r="H348" s="12">
        <v>16.2</v>
      </c>
      <c r="I348" s="57">
        <f t="shared" si="168"/>
        <v>-0.24194099999999708</v>
      </c>
      <c r="J348" s="26">
        <v>4</v>
      </c>
      <c r="K348" s="26">
        <v>6</v>
      </c>
      <c r="L348" s="26">
        <v>8</v>
      </c>
      <c r="N348" s="24">
        <v>45398</v>
      </c>
      <c r="O348" s="16" cm="1">
        <f t="array" ref="O348">_xll.BADDPERIODS(N348, "PER=WD", "NUMBEROFPERIODS=2", "BUSDAYADJ=-2", "CDR=GQ", "CDR=P9")</f>
        <v>45400</v>
      </c>
      <c r="P348" s="15" cm="1">
        <f t="array" ref="P348">_xll.BDH("XAG Curncy","PX_LAST",N348,N348)</f>
        <v>28.106999999999999</v>
      </c>
      <c r="Q348" s="15" t="str" cm="1">
        <f t="array" ref="Q348">_xll.BDP("SIK24 Comdty",$M$32)</f>
        <v>01/05/2024</v>
      </c>
      <c r="R348" s="15">
        <f t="shared" si="180"/>
        <v>13</v>
      </c>
      <c r="S348" s="23">
        <v>5.6000000000000001E-2</v>
      </c>
      <c r="T348" s="21">
        <f t="shared" si="181"/>
        <v>5.6838599999999996E-2</v>
      </c>
      <c r="U348" s="12">
        <v>8.5000000000000006E-2</v>
      </c>
      <c r="V348" s="58">
        <f t="shared" si="182"/>
        <v>2.8161400000000012</v>
      </c>
      <c r="W348" s="15">
        <v>15</v>
      </c>
      <c r="X348" s="15">
        <v>20</v>
      </c>
      <c r="Y348" s="15">
        <v>25</v>
      </c>
      <c r="Z348" s="18">
        <f t="shared" si="183"/>
        <v>5.6838599999999992</v>
      </c>
      <c r="AA348" s="18">
        <f t="shared" si="184"/>
        <v>8.5</v>
      </c>
      <c r="AB348" s="18">
        <f t="shared" si="185"/>
        <v>2.8161400000000012</v>
      </c>
      <c r="AE348" s="44" cm="1">
        <f t="array" ref="AE348">_xll.BDH("COMXGOLD Comdty","PX_Last", N348)</f>
        <v>17570655.515999999</v>
      </c>
      <c r="AF348" s="15" t="str" cm="1">
        <f t="array" ref="AF348">_xll.BDS("GCA Comdty","FUT_CHAIN", "CHAIN_DATE",A348,"endrow=1")</f>
        <v>GCJ24 Comdty</v>
      </c>
      <c r="AG348" s="44" cm="1">
        <f t="array" ref="AG348">_xll.BDH(AF348,"FUT_AGGTE_OPEN_INT",A348)</f>
        <v>517193</v>
      </c>
      <c r="AH348" s="44">
        <f t="shared" si="190"/>
        <v>51719300</v>
      </c>
      <c r="AI348" s="48">
        <f t="shared" si="191"/>
        <v>0.33973111615973145</v>
      </c>
      <c r="AK348" s="44" cm="1">
        <f t="array" ref="AK348">_xll.BDH("COMXSILV Comdty","PX_Last", N348)</f>
        <v>291028.90999999997</v>
      </c>
      <c r="AL348" s="15" t="str" cm="1">
        <f t="array" ref="AL348">_xll.BDS("SIA Comdty","FUT_CHAIN", "CHAIN_DATE",A348,"endrow=1")</f>
        <v>SIJ24 Comdty</v>
      </c>
      <c r="AM348" s="47" cm="1">
        <f t="array" ref="AM348">_xll.BDH(AL348,"FUT_AGGTE_OPEN_INT",A348)</f>
        <v>175784</v>
      </c>
      <c r="AN348" s="45">
        <f t="shared" si="175"/>
        <v>331.12104628407587</v>
      </c>
      <c r="AO348" s="46">
        <f t="shared" si="192"/>
        <v>29102890999.999996</v>
      </c>
      <c r="AP348" s="46">
        <f t="shared" si="193"/>
        <v>878920</v>
      </c>
    </row>
    <row r="349" spans="1:42" x14ac:dyDescent="0.2">
      <c r="A349" s="24">
        <v>45399</v>
      </c>
      <c r="B349" s="16" cm="1">
        <f t="array" ref="B349">_xll.BADDPERIODS(A349, "PER=WD", "NUMBEROFPERIODS=2", "BUSDAYADJ=-2", "CDR=GQ", "CDR=P9")</f>
        <v>45401</v>
      </c>
      <c r="C349" s="15" cm="1">
        <f t="array" ref="C349">_xll.BDH("XAU Curncy","PX_LAST",A349,A349)</f>
        <v>2361.02</v>
      </c>
      <c r="D349" s="15" t="str" cm="1">
        <f t="array" ref="D349">_xll.BDP("GCM24 Comdty",$M$32)</f>
        <v>03/06/2024</v>
      </c>
      <c r="E349" s="15">
        <f t="shared" si="172"/>
        <v>45</v>
      </c>
      <c r="F349" s="23">
        <v>5.3999999999999999E-2</v>
      </c>
      <c r="G349" s="28">
        <f t="shared" si="167"/>
        <v>15.936885</v>
      </c>
      <c r="H349" s="12">
        <v>15.1</v>
      </c>
      <c r="I349" s="57">
        <f t="shared" si="168"/>
        <v>-0.83688500000000055</v>
      </c>
      <c r="J349" s="26">
        <v>4</v>
      </c>
      <c r="K349" s="26">
        <v>6</v>
      </c>
      <c r="L349" s="26">
        <v>8</v>
      </c>
      <c r="N349" s="24">
        <v>45399</v>
      </c>
      <c r="O349" s="16" cm="1">
        <f t="array" ref="O349">_xll.BADDPERIODS(N349, "PER=WD", "NUMBEROFPERIODS=2", "BUSDAYADJ=-2", "CDR=GQ", "CDR=P9")</f>
        <v>45401</v>
      </c>
      <c r="P349" s="15" cm="1">
        <f t="array" ref="P349">_xll.BDH("XAG Curncy","PX_LAST",N349,N349)</f>
        <v>28.223299999999998</v>
      </c>
      <c r="Q349" s="15" t="str" cm="1">
        <f t="array" ref="Q349">_xll.BDP("SIK24 Comdty",$M$32)</f>
        <v>01/05/2024</v>
      </c>
      <c r="R349" s="15">
        <f t="shared" si="180"/>
        <v>12</v>
      </c>
      <c r="S349" s="23">
        <v>5.6300000000000003E-2</v>
      </c>
      <c r="T349" s="21">
        <f t="shared" si="181"/>
        <v>5.2965726333333331E-2</v>
      </c>
      <c r="U349" s="12">
        <v>8.7499999999999994E-2</v>
      </c>
      <c r="V349" s="58">
        <f t="shared" si="182"/>
        <v>3.4534273666666664</v>
      </c>
      <c r="W349" s="15">
        <v>15</v>
      </c>
      <c r="X349" s="15">
        <v>20</v>
      </c>
      <c r="Y349" s="15">
        <v>25</v>
      </c>
      <c r="Z349" s="18">
        <f t="shared" si="183"/>
        <v>5.2965726333333327</v>
      </c>
      <c r="AA349" s="18">
        <f t="shared" si="184"/>
        <v>8.75</v>
      </c>
      <c r="AB349" s="18">
        <f t="shared" si="185"/>
        <v>3.4534273666666664</v>
      </c>
      <c r="AE349" s="44" cm="1">
        <f t="array" ref="AE349">_xll.BDH("COMXGOLD Comdty","PX_Last", N349)</f>
        <v>17586130.145</v>
      </c>
      <c r="AF349" s="15" t="str" cm="1">
        <f t="array" ref="AF349">_xll.BDS("GCA Comdty","FUT_CHAIN", "CHAIN_DATE",A349,"endrow=1")</f>
        <v>GCJ24 Comdty</v>
      </c>
      <c r="AG349" s="44" cm="1">
        <f t="array" ref="AG349">_xll.BDH(AF349,"FUT_AGGTE_OPEN_INT",A349)</f>
        <v>515463</v>
      </c>
      <c r="AH349" s="44">
        <f t="shared" si="190"/>
        <v>51546300</v>
      </c>
      <c r="AI349" s="48">
        <f t="shared" si="191"/>
        <v>0.34117153209832712</v>
      </c>
      <c r="AK349" s="44" cm="1">
        <f t="array" ref="AK349">_xll.BDH("COMXSILV Comdty","PX_Last", N349)</f>
        <v>292055.28000000003</v>
      </c>
      <c r="AL349" s="15" t="str" cm="1">
        <f t="array" ref="AL349">_xll.BDS("SIA Comdty","FUT_CHAIN", "CHAIN_DATE",A349,"endrow=1")</f>
        <v>SIJ24 Comdty</v>
      </c>
      <c r="AM349" s="47" cm="1">
        <f t="array" ref="AM349">_xll.BDH(AL349,"FUT_AGGTE_OPEN_INT",A349)</f>
        <v>176266</v>
      </c>
      <c r="AN349" s="45">
        <f t="shared" si="175"/>
        <v>331.38016407021212</v>
      </c>
      <c r="AO349" s="46">
        <f t="shared" si="192"/>
        <v>29205528000.000004</v>
      </c>
      <c r="AP349" s="46">
        <f t="shared" si="193"/>
        <v>881330</v>
      </c>
    </row>
    <row r="350" spans="1:42" x14ac:dyDescent="0.2">
      <c r="A350" s="24">
        <v>45400</v>
      </c>
      <c r="B350" s="16" cm="1">
        <f t="array" ref="B350">_xll.BADDPERIODS(A350, "PER=WD", "NUMBEROFPERIODS=2", "BUSDAYADJ=-2", "CDR=GQ", "CDR=P9")</f>
        <v>45404</v>
      </c>
      <c r="C350" s="15" cm="1">
        <f t="array" ref="C350">_xll.BDH("XAU Curncy","PX_LAST",A350,A350)</f>
        <v>2379.04</v>
      </c>
      <c r="D350" s="15" t="str" cm="1">
        <f t="array" ref="D350">_xll.BDP("GCM24 Comdty",$M$32)</f>
        <v>03/06/2024</v>
      </c>
      <c r="E350" s="15">
        <f t="shared" si="172"/>
        <v>42</v>
      </c>
      <c r="F350" s="23">
        <v>5.45E-2</v>
      </c>
      <c r="G350" s="28">
        <f t="shared" si="167"/>
        <v>15.126729333333333</v>
      </c>
      <c r="H350" s="12">
        <v>14</v>
      </c>
      <c r="I350" s="57">
        <f t="shared" si="168"/>
        <v>-1.1267293333333335</v>
      </c>
      <c r="J350" s="26">
        <v>4</v>
      </c>
      <c r="K350" s="26">
        <v>6</v>
      </c>
      <c r="L350" s="26">
        <v>8</v>
      </c>
      <c r="N350" s="24">
        <v>45400</v>
      </c>
      <c r="O350" s="16" cm="1">
        <f t="array" ref="O350">_xll.BADDPERIODS(N350, "PER=WD", "NUMBEROFPERIODS=2", "BUSDAYADJ=-2", "CDR=GQ", "CDR=P9")</f>
        <v>45404</v>
      </c>
      <c r="P350" s="15" cm="1">
        <f t="array" ref="P350">_xll.BDH("XAG Curncy","PX_LAST",N350,N350)</f>
        <v>28.244599999999998</v>
      </c>
      <c r="Q350" s="15" t="str" cm="1">
        <f t="array" ref="Q350">_xll.BDP("SIK24 Comdty",$M$32)</f>
        <v>01/05/2024</v>
      </c>
      <c r="R350" s="15">
        <f t="shared" si="180"/>
        <v>9</v>
      </c>
      <c r="S350" s="23">
        <v>5.6300000000000003E-2</v>
      </c>
      <c r="T350" s="21">
        <f t="shared" si="181"/>
        <v>3.9754274500000006E-2</v>
      </c>
      <c r="U350" s="12">
        <v>7.0000000000000007E-2</v>
      </c>
      <c r="V350" s="58">
        <f t="shared" si="182"/>
        <v>3.0245725500000002</v>
      </c>
      <c r="W350" s="15">
        <v>15</v>
      </c>
      <c r="X350" s="15">
        <v>20</v>
      </c>
      <c r="Y350" s="15">
        <v>25</v>
      </c>
      <c r="Z350" s="18">
        <f t="shared" si="183"/>
        <v>3.9754274500000006</v>
      </c>
      <c r="AA350" s="18">
        <f t="shared" si="184"/>
        <v>7.0000000000000009</v>
      </c>
      <c r="AB350" s="18">
        <f t="shared" si="185"/>
        <v>3.0245725500000002</v>
      </c>
      <c r="AE350" s="44" cm="1">
        <f t="array" ref="AE350">_xll.BDH("COMXGOLD Comdty","PX_Last", N350)</f>
        <v>17586130.145</v>
      </c>
      <c r="AF350" s="15" t="str" cm="1">
        <f t="array" ref="AF350">_xll.BDS("GCA Comdty","FUT_CHAIN", "CHAIN_DATE",A350,"endrow=1")</f>
        <v>GCJ24 Comdty</v>
      </c>
      <c r="AG350" s="44" cm="1">
        <f t="array" ref="AG350">_xll.BDH(AF350,"FUT_AGGTE_OPEN_INT",A350)</f>
        <v>520484</v>
      </c>
      <c r="AH350" s="44">
        <f t="shared" si="190"/>
        <v>52048400</v>
      </c>
      <c r="AI350" s="48">
        <f t="shared" si="191"/>
        <v>0.33788032187348699</v>
      </c>
      <c r="AK350" s="44" cm="1">
        <f t="array" ref="AK350">_xll.BDH("COMXSILV Comdty","PX_Last", N350)</f>
        <v>292054.31</v>
      </c>
      <c r="AL350" s="15" t="str" cm="1">
        <f t="array" ref="AL350">_xll.BDS("SIA Comdty","FUT_CHAIN", "CHAIN_DATE",A350,"endrow=1")</f>
        <v>SIJ24 Comdty</v>
      </c>
      <c r="AM350" s="47" cm="1">
        <f t="array" ref="AM350">_xll.BDH(AL350,"FUT_AGGTE_OPEN_INT",A350)</f>
        <v>178712</v>
      </c>
      <c r="AN350" s="45">
        <f t="shared" si="175"/>
        <v>326.84353596848558</v>
      </c>
      <c r="AO350" s="46">
        <f t="shared" si="192"/>
        <v>29205431000</v>
      </c>
      <c r="AP350" s="46">
        <f t="shared" si="193"/>
        <v>893560</v>
      </c>
    </row>
    <row r="351" spans="1:42" x14ac:dyDescent="0.2">
      <c r="A351" s="24">
        <v>45404</v>
      </c>
      <c r="B351" s="16" cm="1">
        <f t="array" ref="B351">_xll.BADDPERIODS(A351, "PER=WD", "NUMBEROFPERIODS=2", "BUSDAYADJ=-2", "CDR=GQ", "CDR=P9")</f>
        <v>45406</v>
      </c>
      <c r="C351" s="15" cm="1">
        <f t="array" ref="C351">_xll.BDH("XAU Curncy","PX_LAST",A351,A351)</f>
        <v>2327.3000000000002</v>
      </c>
      <c r="D351" s="15" t="str" cm="1">
        <f t="array" ref="D351">_xll.BDP("GCM24 Comdty",$M$32)</f>
        <v>03/06/2024</v>
      </c>
      <c r="E351" s="15">
        <f t="shared" si="172"/>
        <v>40</v>
      </c>
      <c r="F351" s="23">
        <v>5.45E-2</v>
      </c>
      <c r="G351" s="28">
        <f t="shared" si="167"/>
        <v>14.093094444444445</v>
      </c>
      <c r="H351" s="12">
        <v>13.6</v>
      </c>
      <c r="I351" s="57">
        <f t="shared" si="168"/>
        <v>-0.49309444444444495</v>
      </c>
      <c r="J351" s="26">
        <v>4</v>
      </c>
      <c r="K351" s="26">
        <v>6</v>
      </c>
      <c r="L351" s="26">
        <v>8</v>
      </c>
      <c r="N351" s="24">
        <v>45404</v>
      </c>
      <c r="O351" s="16" cm="1">
        <f t="array" ref="O351">_xll.BADDPERIODS(N351, "PER=WD", "NUMBEROFPERIODS=2", "BUSDAYADJ=-2", "CDR=GQ", "CDR=P9")</f>
        <v>45406</v>
      </c>
      <c r="P351" s="15" cm="1">
        <f t="array" ref="P351">_xll.BDH("XAG Curncy","PX_LAST",N351,N351)</f>
        <v>27.1965</v>
      </c>
      <c r="Q351" s="15" t="str" cm="1">
        <f t="array" ref="Q351">_xll.BDP("SIK24 Comdty",$M$32)</f>
        <v>01/05/2024</v>
      </c>
      <c r="R351" s="15">
        <f t="shared" si="180"/>
        <v>7</v>
      </c>
      <c r="S351" s="23">
        <v>5.5800000000000002E-2</v>
      </c>
      <c r="T351" s="21">
        <f t="shared" si="181"/>
        <v>2.95082025E-2</v>
      </c>
      <c r="U351" s="12">
        <v>0.05</v>
      </c>
      <c r="V351" s="59">
        <f t="shared" si="182"/>
        <v>2.0491797500000004</v>
      </c>
      <c r="W351" s="15">
        <v>15</v>
      </c>
      <c r="X351" s="15">
        <v>20</v>
      </c>
      <c r="Y351" s="15">
        <v>25</v>
      </c>
      <c r="Z351" s="18">
        <f t="shared" si="183"/>
        <v>2.95082025</v>
      </c>
      <c r="AA351" s="18">
        <f t="shared" si="184"/>
        <v>5</v>
      </c>
      <c r="AB351" s="18">
        <f t="shared" si="185"/>
        <v>2.0491797500000004</v>
      </c>
      <c r="AE351" s="44" cm="1">
        <f t="array" ref="AE351">_xll.BDH("COMXGOLD Comdty","PX_Last", N351)</f>
        <v>17585422.822999999</v>
      </c>
      <c r="AF351" s="15" t="str" cm="1">
        <f t="array" ref="AF351">_xll.BDS("GCA Comdty","FUT_CHAIN", "CHAIN_DATE",A351,"endrow=1")</f>
        <v>GCJ24 Comdty</v>
      </c>
      <c r="AG351" s="44" cm="1">
        <f t="array" ref="AG351">_xll.BDH(AF351,"FUT_AGGTE_OPEN_INT",A351)</f>
        <v>514937</v>
      </c>
      <c r="AH351" s="44">
        <f t="shared" si="190"/>
        <v>51493700</v>
      </c>
      <c r="AI351" s="48">
        <f t="shared" si="191"/>
        <v>0.34150629733346016</v>
      </c>
      <c r="AK351" s="44" cm="1">
        <f t="array" ref="AK351">_xll.BDH("COMXSILV Comdty","PX_Last", N351)</f>
        <v>292418.96999999997</v>
      </c>
      <c r="AL351" s="15" t="str" cm="1">
        <f t="array" ref="AL351">_xll.BDS("SIA Comdty","FUT_CHAIN", "CHAIN_DATE",A351,"endrow=1")</f>
        <v>SIJ24 Comdty</v>
      </c>
      <c r="AM351" s="47" cm="1">
        <f t="array" ref="AM351">_xll.BDH(AL351,"FUT_AGGTE_OPEN_INT",A351)</f>
        <v>174134</v>
      </c>
      <c r="AN351" s="45">
        <f t="shared" si="175"/>
        <v>335.8551115807366</v>
      </c>
      <c r="AO351" s="46">
        <f t="shared" si="192"/>
        <v>29241896999.999996</v>
      </c>
      <c r="AP351" s="46">
        <f t="shared" si="193"/>
        <v>870670</v>
      </c>
    </row>
    <row r="352" spans="1:42" x14ac:dyDescent="0.2">
      <c r="A352" s="24">
        <v>45405</v>
      </c>
      <c r="B352" s="16" cm="1">
        <f t="array" ref="B352">_xll.BADDPERIODS(A352, "PER=WD", "NUMBEROFPERIODS=2", "BUSDAYADJ=-2", "CDR=GQ", "CDR=P9")</f>
        <v>45407</v>
      </c>
      <c r="C352" s="15" cm="1">
        <f t="array" ref="C352">_xll.BDH("XAU Curncy","PX_LAST",A352,A352)</f>
        <v>2322.02</v>
      </c>
      <c r="D352" s="15" t="str" cm="1">
        <f t="array" ref="D352">_xll.BDP("GCM24 Comdty",$M$32)</f>
        <v>03/06/2024</v>
      </c>
      <c r="E352" s="15">
        <f t="shared" si="172"/>
        <v>39</v>
      </c>
      <c r="F352" s="23">
        <v>5.45E-2</v>
      </c>
      <c r="G352" s="28">
        <f t="shared" si="167"/>
        <v>13.709593083333333</v>
      </c>
      <c r="H352" s="12">
        <v>13.25</v>
      </c>
      <c r="I352" s="57">
        <f t="shared" si="168"/>
        <v>-0.45959308333333304</v>
      </c>
      <c r="J352" s="26">
        <v>4</v>
      </c>
      <c r="K352" s="26">
        <v>6</v>
      </c>
      <c r="L352" s="26">
        <v>8</v>
      </c>
      <c r="N352" s="24">
        <v>45405</v>
      </c>
      <c r="O352" s="16" cm="1">
        <f t="array" ref="O352">_xll.BADDPERIODS(N352, "PER=WD", "NUMBEROFPERIODS=2", "BUSDAYADJ=-2", "CDR=GQ", "CDR=P9")</f>
        <v>45407</v>
      </c>
      <c r="P352" s="15" cm="1">
        <f t="array" ref="P352">_xll.BDH("XAG Curncy","PX_LAST",N352,N352)</f>
        <v>27.306799999999999</v>
      </c>
      <c r="Q352" s="15" t="str" cm="1">
        <f t="array" ref="Q352">_xll.BDP("SIK24 Comdty",$M$32)</f>
        <v>01/05/2024</v>
      </c>
      <c r="R352" s="15">
        <f t="shared" si="180"/>
        <v>6</v>
      </c>
      <c r="S352" s="23">
        <v>5.5599999999999997E-2</v>
      </c>
      <c r="T352" s="21">
        <f t="shared" si="181"/>
        <v>2.5304301333333331E-2</v>
      </c>
      <c r="U352" s="12">
        <v>4.4999999999999998E-2</v>
      </c>
      <c r="V352" s="59">
        <f t="shared" si="182"/>
        <v>1.9695698666666668</v>
      </c>
      <c r="W352" s="15">
        <v>15</v>
      </c>
      <c r="X352" s="15">
        <v>20</v>
      </c>
      <c r="Y352" s="15">
        <v>25</v>
      </c>
      <c r="Z352" s="18">
        <f t="shared" si="183"/>
        <v>2.5304301333333332</v>
      </c>
      <c r="AA352" s="18">
        <f t="shared" si="184"/>
        <v>4.5</v>
      </c>
      <c r="AB352" s="18">
        <f t="shared" si="185"/>
        <v>1.9695698666666668</v>
      </c>
      <c r="AE352" s="44" cm="1">
        <f t="array" ref="AE352">_xll.BDH("COMXGOLD Comdty","PX_Last", N352)</f>
        <v>17585422.822999999</v>
      </c>
      <c r="AF352" s="15" t="str" cm="1">
        <f t="array" ref="AF352">_xll.BDS("GCA Comdty","FUT_CHAIN", "CHAIN_DATE",A352,"endrow=1")</f>
        <v>GCJ24 Comdty</v>
      </c>
      <c r="AG352" s="44" cm="1">
        <f t="array" ref="AG352">_xll.BDH(AF352,"FUT_AGGTE_OPEN_INT",A352)</f>
        <v>516249</v>
      </c>
      <c r="AH352" s="44">
        <f t="shared" si="190"/>
        <v>51624900</v>
      </c>
      <c r="AI352" s="48">
        <f t="shared" si="191"/>
        <v>0.34063839005983543</v>
      </c>
      <c r="AK352" s="44" cm="1">
        <f t="array" ref="AK352">_xll.BDH("COMXSILV Comdty","PX_Last", N352)</f>
        <v>292775.28000000003</v>
      </c>
      <c r="AL352" s="15" t="str" cm="1">
        <f t="array" ref="AL352">_xll.BDS("SIA Comdty","FUT_CHAIN", "CHAIN_DATE",A352,"endrow=1")</f>
        <v>SIJ24 Comdty</v>
      </c>
      <c r="AM352" s="47" cm="1">
        <f t="array" ref="AM352">_xll.BDH(AL352,"FUT_AGGTE_OPEN_INT",A352)</f>
        <v>175740</v>
      </c>
      <c r="AN352" s="45">
        <f t="shared" si="175"/>
        <v>333.19139638101746</v>
      </c>
      <c r="AO352" s="46">
        <f t="shared" si="192"/>
        <v>29277528000.000004</v>
      </c>
      <c r="AP352" s="46">
        <f t="shared" si="193"/>
        <v>878700</v>
      </c>
    </row>
    <row r="353" spans="1:42" x14ac:dyDescent="0.2">
      <c r="A353" s="24">
        <v>45406</v>
      </c>
      <c r="B353" s="16" cm="1">
        <f t="array" ref="B353">_xll.BADDPERIODS(A353, "PER=WD", "NUMBEROFPERIODS=2", "BUSDAYADJ=-2", "CDR=GQ", "CDR=P9")</f>
        <v>45408</v>
      </c>
      <c r="C353" s="15" cm="1">
        <f t="array" ref="C353">_xll.BDH("XAU Curncy","PX_LAST",A353,A353)</f>
        <v>2316.17</v>
      </c>
      <c r="D353" s="15" t="str" cm="1">
        <f t="array" ref="D353">_xll.BDP("GCM24 Comdty",$M$32)</f>
        <v>03/06/2024</v>
      </c>
      <c r="E353" s="15">
        <f t="shared" si="172"/>
        <v>38</v>
      </c>
      <c r="F353" s="23">
        <v>5.45E-2</v>
      </c>
      <c r="G353" s="28">
        <f t="shared" si="167"/>
        <v>13.324411305555556</v>
      </c>
      <c r="H353" s="12">
        <v>12.4</v>
      </c>
      <c r="I353" s="57">
        <f t="shared" si="168"/>
        <v>-0.92441130555555517</v>
      </c>
      <c r="J353" s="26">
        <v>4</v>
      </c>
      <c r="K353" s="26">
        <v>6</v>
      </c>
      <c r="L353" s="26">
        <v>8</v>
      </c>
      <c r="N353" s="24">
        <v>45406</v>
      </c>
      <c r="O353" s="16" cm="1">
        <f t="array" ref="O353">_xll.BADDPERIODS(N353, "PER=WD", "NUMBEROFPERIODS=2", "BUSDAYADJ=-2", "CDR=GQ", "CDR=P9")</f>
        <v>45408</v>
      </c>
      <c r="P353" s="15" cm="1">
        <f t="array" ref="P353">_xll.BDH("XAG Curncy","PX_LAST",N353,N353)</f>
        <v>27.162600000000001</v>
      </c>
      <c r="Q353" s="15" t="str" cm="1">
        <f t="array" ref="Q353">_xll.BDP("SIK24 Comdty",$M$32)</f>
        <v>01/05/2024</v>
      </c>
      <c r="R353" s="15">
        <f t="shared" si="180"/>
        <v>5</v>
      </c>
      <c r="S353" s="23">
        <v>5.5800000000000002E-2</v>
      </c>
      <c r="T353" s="21">
        <f t="shared" si="181"/>
        <v>2.1051014999999999E-2</v>
      </c>
      <c r="U353" s="12">
        <v>0.04</v>
      </c>
      <c r="V353" s="59">
        <f t="shared" si="182"/>
        <v>1.8948985</v>
      </c>
      <c r="W353" s="15">
        <v>15</v>
      </c>
      <c r="X353" s="15">
        <v>20</v>
      </c>
      <c r="Y353" s="15">
        <v>25</v>
      </c>
      <c r="Z353" s="18">
        <f t="shared" si="183"/>
        <v>2.1051015</v>
      </c>
      <c r="AA353" s="18">
        <f t="shared" si="184"/>
        <v>4</v>
      </c>
      <c r="AB353" s="18">
        <f t="shared" si="185"/>
        <v>1.8948985</v>
      </c>
      <c r="AE353" s="44" cm="1">
        <f t="array" ref="AE353">_xll.BDH("COMXGOLD Comdty","PX_Last", N353)</f>
        <v>17590422.592999998</v>
      </c>
      <c r="AF353" s="15" t="str" cm="1">
        <f t="array" ref="AF353">_xll.BDS("GCA Comdty","FUT_CHAIN", "CHAIN_DATE",A353,"endrow=1")</f>
        <v>GCJ24 Comdty</v>
      </c>
      <c r="AG353" s="44" cm="1">
        <f t="array" ref="AG353">_xll.BDH(AF353,"FUT_AGGTE_OPEN_INT",A353)</f>
        <v>517590</v>
      </c>
      <c r="AH353" s="44">
        <f t="shared" si="190"/>
        <v>51759000</v>
      </c>
      <c r="AI353" s="48">
        <f t="shared" si="191"/>
        <v>0.33985244291813982</v>
      </c>
      <c r="AK353" s="44" cm="1">
        <f t="array" ref="AK353">_xll.BDH("COMXSILV Comdty","PX_Last", N353)</f>
        <v>293974.21999999997</v>
      </c>
      <c r="AL353" s="15" t="str" cm="1">
        <f t="array" ref="AL353">_xll.BDS("SIA Comdty","FUT_CHAIN", "CHAIN_DATE",A353,"endrow=1")</f>
        <v>SIJ24 Comdty</v>
      </c>
      <c r="AM353" s="47" cm="1">
        <f t="array" ref="AM353">_xll.BDH(AL353,"FUT_AGGTE_OPEN_INT",A353)</f>
        <v>173045</v>
      </c>
      <c r="AN353" s="45">
        <f t="shared" si="175"/>
        <v>339.7662111011586</v>
      </c>
      <c r="AO353" s="46">
        <f t="shared" si="192"/>
        <v>29397421999.999996</v>
      </c>
      <c r="AP353" s="46">
        <f t="shared" si="193"/>
        <v>865225</v>
      </c>
    </row>
    <row r="354" spans="1:42" x14ac:dyDescent="0.2">
      <c r="A354" s="24">
        <v>45407</v>
      </c>
      <c r="B354" s="16" cm="1">
        <f t="array" ref="B354">_xll.BADDPERIODS(A354, "PER=WD", "NUMBEROFPERIODS=2", "BUSDAYADJ=-2", "CDR=GQ", "CDR=P9")</f>
        <v>45411</v>
      </c>
      <c r="C354" s="15" cm="1">
        <f t="array" ref="C354">_xll.BDH("XAU Curncy","PX_LAST",A354,A354)</f>
        <v>2332.46</v>
      </c>
      <c r="D354" s="15" t="str" cm="1">
        <f t="array" ref="D354">_xll.BDP("GCM24 Comdty",$M$32)</f>
        <v>03/06/2024</v>
      </c>
      <c r="E354" s="15">
        <f t="shared" si="172"/>
        <v>35</v>
      </c>
      <c r="F354" s="23">
        <v>5.45E-2</v>
      </c>
      <c r="G354" s="28">
        <f t="shared" si="167"/>
        <v>12.358798472222222</v>
      </c>
      <c r="H354" s="12">
        <v>12.4</v>
      </c>
      <c r="I354" s="57">
        <f t="shared" si="168"/>
        <v>4.1201527777777969E-2</v>
      </c>
      <c r="J354" s="26">
        <v>4</v>
      </c>
      <c r="K354" s="26">
        <v>6</v>
      </c>
      <c r="L354" s="26">
        <v>8</v>
      </c>
      <c r="N354" s="24">
        <v>45407</v>
      </c>
      <c r="O354" s="16" cm="1">
        <f t="array" ref="O354">_xll.BADDPERIODS(N354, "PER=WD", "NUMBEROFPERIODS=2", "BUSDAYADJ=-2", "CDR=GQ", "CDR=P9")</f>
        <v>45411</v>
      </c>
      <c r="P354" s="15" cm="1">
        <f t="array" ref="P354">_xll.BDH("XAG Curncy","PX_LAST",N354,N354)</f>
        <v>27.434000000000001</v>
      </c>
      <c r="Q354" s="15" t="str" cm="1">
        <f t="array" ref="Q354">_xll.BDP("SIK24 Comdty",$M$32)</f>
        <v>01/05/2024</v>
      </c>
      <c r="R354" s="15">
        <f t="shared" si="180"/>
        <v>2</v>
      </c>
      <c r="S354" s="23">
        <v>5.5800000000000002E-2</v>
      </c>
      <c r="T354" s="21">
        <f t="shared" si="181"/>
        <v>8.5045400000000014E-3</v>
      </c>
      <c r="U354" s="12">
        <v>2.5000000000000001E-2</v>
      </c>
      <c r="V354" s="59">
        <f t="shared" si="182"/>
        <v>1.649546</v>
      </c>
      <c r="W354" s="15">
        <v>15</v>
      </c>
      <c r="X354" s="15">
        <v>20</v>
      </c>
      <c r="Y354" s="15">
        <v>25</v>
      </c>
      <c r="Z354" s="18">
        <f t="shared" si="183"/>
        <v>0.85045400000000015</v>
      </c>
      <c r="AA354" s="18">
        <f t="shared" si="184"/>
        <v>2.5</v>
      </c>
      <c r="AB354" s="18">
        <f t="shared" si="185"/>
        <v>1.649546</v>
      </c>
      <c r="AE354" s="44" cm="1">
        <f t="array" ref="AE354">_xll.BDH("COMXGOLD Comdty","PX_Last", N354)</f>
        <v>17622636.482999999</v>
      </c>
      <c r="AF354" s="15" t="str" cm="1">
        <f t="array" ref="AF354">_xll.BDS("GCA Comdty","FUT_CHAIN", "CHAIN_DATE",A354,"endrow=1")</f>
        <v>GCJ24 Comdty</v>
      </c>
      <c r="AG354" s="44" cm="1">
        <f t="array" ref="AG354">_xll.BDH(AF354,"FUT_AGGTE_OPEN_INT",A354)</f>
        <v>520914</v>
      </c>
      <c r="AH354" s="44">
        <f t="shared" si="190"/>
        <v>52091400</v>
      </c>
      <c r="AI354" s="48">
        <f t="shared" si="191"/>
        <v>0.33830222422511197</v>
      </c>
      <c r="AK354" s="44" cm="1">
        <f t="array" ref="AK354">_xll.BDH("COMXSILV Comdty","PX_Last", N354)</f>
        <v>295107.65999999997</v>
      </c>
      <c r="AL354" s="15" t="str" cm="1">
        <f t="array" ref="AL354">_xll.BDS("SIA Comdty","FUT_CHAIN", "CHAIN_DATE",A354,"endrow=1")</f>
        <v>SIJ24 Comdty</v>
      </c>
      <c r="AM354" s="47" cm="1">
        <f t="array" ref="AM354">_xll.BDH(AL354,"FUT_AGGTE_OPEN_INT",A354)</f>
        <v>170266</v>
      </c>
      <c r="AN354" s="45">
        <f t="shared" si="175"/>
        <v>346.64308787426728</v>
      </c>
      <c r="AO354" s="46">
        <f t="shared" si="192"/>
        <v>29510765999.999996</v>
      </c>
      <c r="AP354" s="46">
        <f t="shared" si="193"/>
        <v>851330</v>
      </c>
    </row>
    <row r="355" spans="1:42" x14ac:dyDescent="0.2">
      <c r="A355" s="24">
        <v>45408</v>
      </c>
      <c r="B355" s="16" cm="1">
        <f t="array" ref="B355">_xll.BADDPERIODS(A355, "PER=WD", "NUMBEROFPERIODS=2", "BUSDAYADJ=-2", "CDR=GQ", "CDR=P9")</f>
        <v>45412</v>
      </c>
      <c r="C355" s="15" cm="1">
        <f t="array" ref="C355">_xll.BDH("XAU Curncy","PX_LAST",A355,A355)</f>
        <v>2337.96</v>
      </c>
      <c r="D355" s="15" t="str" cm="1">
        <f t="array" ref="D355">_xll.BDP("GCM24 Comdty",$M$32)</f>
        <v>03/06/2024</v>
      </c>
      <c r="E355" s="15">
        <f t="shared" si="172"/>
        <v>34</v>
      </c>
      <c r="F355" s="23">
        <v>5.4800000000000001E-2</v>
      </c>
      <c r="G355" s="28">
        <f t="shared" si="167"/>
        <v>12.100241866666668</v>
      </c>
      <c r="H355" s="12">
        <v>12.4</v>
      </c>
      <c r="I355" s="57">
        <f t="shared" si="168"/>
        <v>0.29975813333333257</v>
      </c>
      <c r="J355" s="26">
        <v>4</v>
      </c>
      <c r="K355" s="26">
        <v>6</v>
      </c>
      <c r="L355" s="26">
        <v>8</v>
      </c>
      <c r="N355" s="24">
        <v>45408</v>
      </c>
      <c r="O355" s="16" cm="1">
        <f t="array" ref="O355">_xll.BADDPERIODS(N355, "PER=WD", "NUMBEROFPERIODS=2", "BUSDAYADJ=-2", "CDR=GQ", "CDR=P9")</f>
        <v>45412</v>
      </c>
      <c r="P355" s="15" cm="1">
        <f t="array" ref="P355">_xll.BDH("XAG Curncy","PX_LAST",N355,N355)</f>
        <v>27.2058</v>
      </c>
      <c r="Q355" s="15" t="str" cm="1">
        <f t="array" ref="Q355">_xll.BDP("SIK24 Comdty",$M$32)</f>
        <v>01/05/2024</v>
      </c>
      <c r="R355" s="15">
        <f t="shared" si="180"/>
        <v>1</v>
      </c>
      <c r="S355" s="23">
        <v>5.5800000000000002E-2</v>
      </c>
      <c r="T355" s="21">
        <f t="shared" si="181"/>
        <v>4.2168990000000005E-3</v>
      </c>
      <c r="U355" s="12">
        <v>2.5000000000000001E-2</v>
      </c>
      <c r="V355" s="59">
        <f t="shared" si="182"/>
        <v>2.0783101000000004</v>
      </c>
      <c r="W355" s="15">
        <v>15</v>
      </c>
      <c r="X355" s="15">
        <v>20</v>
      </c>
      <c r="Y355" s="15">
        <v>25</v>
      </c>
      <c r="Z355" s="18">
        <f t="shared" si="183"/>
        <v>0.42168990000000006</v>
      </c>
      <c r="AA355" s="18">
        <f t="shared" si="184"/>
        <v>2.5</v>
      </c>
      <c r="AB355" s="18">
        <f t="shared" si="185"/>
        <v>2.0783101000000004</v>
      </c>
      <c r="AE355" s="44" cm="1">
        <f t="array" ref="AE355">_xll.BDH("COMXGOLD Comdty","PX_Last", N355)</f>
        <v>17622732.936000001</v>
      </c>
      <c r="AF355" s="15" t="str" cm="1">
        <f t="array" ref="AF355">_xll.BDS("GCA Comdty","FUT_CHAIN", "CHAIN_DATE",A355,"endrow=1")</f>
        <v>GCJ24 Comdty</v>
      </c>
      <c r="AG355" s="44" cm="1">
        <f t="array" ref="AG355">_xll.BDH(AF355,"FUT_AGGTE_OPEN_INT",A355)</f>
        <v>521317</v>
      </c>
      <c r="AH355" s="44">
        <f t="shared" si="190"/>
        <v>52131700</v>
      </c>
      <c r="AI355" s="48">
        <f t="shared" si="191"/>
        <v>0.3380425525352137</v>
      </c>
      <c r="AK355" s="44" cm="1">
        <f t="array" ref="AK355">_xll.BDH("COMXSILV Comdty","PX_Last", N355)</f>
        <v>294016.78000000003</v>
      </c>
      <c r="AL355" s="15" t="str" cm="1">
        <f t="array" ref="AL355">_xll.BDS("SIA Comdty","FUT_CHAIN", "CHAIN_DATE",A355,"endrow=1")</f>
        <v>SIJ24 Comdty</v>
      </c>
      <c r="AM355" s="47" cm="1">
        <f t="array" ref="AM355">_xll.BDH(AL355,"FUT_AGGTE_OPEN_INT",A355)</f>
        <v>169094</v>
      </c>
      <c r="AN355" s="45">
        <f t="shared" si="175"/>
        <v>347.75542597608438</v>
      </c>
      <c r="AO355" s="46">
        <f t="shared" si="192"/>
        <v>29401678000.000004</v>
      </c>
      <c r="AP355" s="46">
        <f t="shared" si="193"/>
        <v>845470</v>
      </c>
    </row>
    <row r="356" spans="1:42" x14ac:dyDescent="0.2">
      <c r="A356" s="24">
        <v>45411</v>
      </c>
      <c r="B356" s="16" cm="1">
        <f t="array" ref="B356">_xll.BADDPERIODS(A356, "PER=WD", "NUMBEROFPERIODS=2", "BUSDAYADJ=-2", "CDR=GQ", "CDR=P9")</f>
        <v>45413</v>
      </c>
      <c r="C356" s="15" cm="1">
        <f t="array" ref="C356">_xll.BDH("XAU Curncy","PX_LAST",A356,A356)</f>
        <v>2335.66</v>
      </c>
      <c r="D356" s="15" t="str" cm="1">
        <f t="array" ref="D356">_xll.BDP("GCM24 Comdty",$M$32)</f>
        <v>03/06/2024</v>
      </c>
      <c r="E356" s="15">
        <f t="shared" si="172"/>
        <v>33</v>
      </c>
      <c r="F356" s="23">
        <v>5.5E-2</v>
      </c>
      <c r="G356" s="28">
        <f t="shared" si="167"/>
        <v>11.775619166666665</v>
      </c>
      <c r="H356" s="12">
        <v>11</v>
      </c>
      <c r="I356" s="57">
        <f t="shared" si="168"/>
        <v>-0.77561916666666519</v>
      </c>
      <c r="J356" s="26">
        <v>4</v>
      </c>
      <c r="K356" s="26">
        <v>6</v>
      </c>
      <c r="L356" s="26">
        <v>8</v>
      </c>
      <c r="N356" s="24">
        <v>45411</v>
      </c>
      <c r="O356" s="16" cm="1">
        <f t="array" ref="O356">_xll.BADDPERIODS(N356, "PER=WD", "NUMBEROFPERIODS=2", "BUSDAYADJ=-2", "CDR=GQ", "CDR=P9")</f>
        <v>45413</v>
      </c>
      <c r="P356" s="15" cm="1">
        <f t="array" ref="P356">_xll.BDH("XAG Curncy","PX_LAST",N356,N356)</f>
        <v>27.142900000000001</v>
      </c>
      <c r="Q356" s="15" t="str" cm="1">
        <f t="array" ref="Q356">_xll.BDP("SIN24 Comdty",$M$32)</f>
        <v>01/07/2024</v>
      </c>
      <c r="R356" s="15">
        <f t="shared" si="180"/>
        <v>61</v>
      </c>
      <c r="S356" s="23">
        <v>5.6000000000000001E-2</v>
      </c>
      <c r="T356" s="21">
        <f>P356*(R356/360)*S356</f>
        <v>0.25755596222222227</v>
      </c>
      <c r="U356" s="12">
        <v>0.29499999999999998</v>
      </c>
      <c r="V356" s="59">
        <f t="shared" si="182"/>
        <v>3.7444037777777717</v>
      </c>
      <c r="W356" s="15">
        <v>15</v>
      </c>
      <c r="X356" s="15">
        <v>20</v>
      </c>
      <c r="Y356" s="15">
        <v>25</v>
      </c>
      <c r="Z356" s="18">
        <f t="shared" si="183"/>
        <v>25.755596222222227</v>
      </c>
      <c r="AA356" s="18">
        <f t="shared" si="184"/>
        <v>29.5</v>
      </c>
      <c r="AB356" s="18">
        <f t="shared" si="185"/>
        <v>3.7444037777777717</v>
      </c>
      <c r="AE356" s="44" cm="1">
        <f t="array" ref="AE356">_xll.BDH("COMXGOLD Comdty","PX_Last", N356)</f>
        <v>17622732.936000001</v>
      </c>
      <c r="AF356" s="15" t="str" cm="1">
        <f t="array" ref="AF356">_xll.BDS("GCA Comdty","FUT_CHAIN", "CHAIN_DATE",A356,"endrow=1")</f>
        <v>GCK24 Comdty</v>
      </c>
      <c r="AG356" s="44" cm="1">
        <f t="array" ref="AG356">_xll.BDH(AF356,"FUT_AGGTE_OPEN_INT",A356)</f>
        <v>524852</v>
      </c>
      <c r="AH356" s="44">
        <f t="shared" si="190"/>
        <v>52485200</v>
      </c>
      <c r="AI356" s="48">
        <f t="shared" si="191"/>
        <v>0.33576575750878346</v>
      </c>
      <c r="AK356" s="44" cm="1">
        <f t="array" ref="AK356">_xll.BDH("COMXSILV Comdty","PX_Last", N356)</f>
        <v>293268.09000000003</v>
      </c>
      <c r="AL356" s="15" t="str" cm="1">
        <f t="array" ref="AL356">_xll.BDS("SIA Comdty","FUT_CHAIN", "CHAIN_DATE",A356,"endrow=1")</f>
        <v>SIK24 Comdty</v>
      </c>
      <c r="AM356" s="47" cm="1">
        <f t="array" ref="AM356">_xll.BDH(AL356,"FUT_AGGTE_OPEN_INT",A356)</f>
        <v>169739</v>
      </c>
      <c r="AN356" s="45">
        <f t="shared" si="175"/>
        <v>345.55180600804772</v>
      </c>
      <c r="AO356" s="46">
        <f t="shared" si="192"/>
        <v>29326809000.000004</v>
      </c>
      <c r="AP356" s="46">
        <f t="shared" si="193"/>
        <v>848695</v>
      </c>
    </row>
    <row r="357" spans="1:42" x14ac:dyDescent="0.2">
      <c r="A357" s="24">
        <v>45412</v>
      </c>
      <c r="B357" s="16" cm="1">
        <f t="array" ref="B357">_xll.BADDPERIODS(A357, "PER=WD", "NUMBEROFPERIODS=2", "BUSDAYADJ=-2", "CDR=GQ", "CDR=P9")</f>
        <v>45414</v>
      </c>
      <c r="C357" s="15" cm="1">
        <f t="array" ref="C357">_xll.BDH("XAU Curncy","PX_LAST",A357,A357)</f>
        <v>2286.25</v>
      </c>
      <c r="D357" s="15" t="str" cm="1">
        <f t="array" ref="D357">_xll.BDP("GCM24 Comdty",$M$32)</f>
        <v>03/06/2024</v>
      </c>
      <c r="E357" s="15">
        <f t="shared" si="172"/>
        <v>32</v>
      </c>
      <c r="F357" s="23">
        <v>5.5300000000000002E-2</v>
      </c>
      <c r="G357" s="28">
        <f t="shared" si="167"/>
        <v>11.238188888888889</v>
      </c>
      <c r="H357" s="12">
        <v>10.6</v>
      </c>
      <c r="I357" s="57">
        <f t="shared" si="168"/>
        <v>-0.63818888888888914</v>
      </c>
      <c r="J357" s="26">
        <v>4</v>
      </c>
      <c r="K357" s="26">
        <v>6</v>
      </c>
      <c r="L357" s="26">
        <v>8</v>
      </c>
      <c r="N357" s="24">
        <v>45412</v>
      </c>
      <c r="O357" s="16" cm="1">
        <f t="array" ref="O357">_xll.BADDPERIODS(N357, "PER=WD", "NUMBEROFPERIODS=2", "BUSDAYADJ=-2", "CDR=GQ", "CDR=P9")</f>
        <v>45414</v>
      </c>
      <c r="P357" s="15" cm="1">
        <f t="array" ref="P357">_xll.BDH("XAG Curncy","PX_LAST",N357,N357)</f>
        <v>26.2942</v>
      </c>
      <c r="Q357" s="15" t="str" cm="1">
        <f t="array" ref="Q357">_xll.BDP("SIN24 Comdty",$M$32)</f>
        <v>01/07/2024</v>
      </c>
      <c r="R357" s="15">
        <f t="shared" si="180"/>
        <v>60</v>
      </c>
      <c r="S357" s="23">
        <v>5.6000000000000001E-2</v>
      </c>
      <c r="T357" s="21">
        <f t="shared" si="181"/>
        <v>0.24541253333333329</v>
      </c>
      <c r="U357" s="12">
        <v>0.29499999999999998</v>
      </c>
      <c r="V357" s="59">
        <f t="shared" si="182"/>
        <v>4.9587466666666691</v>
      </c>
      <c r="W357" s="15">
        <v>15</v>
      </c>
      <c r="X357" s="15">
        <v>20</v>
      </c>
      <c r="Y357" s="15">
        <v>25</v>
      </c>
      <c r="Z357" s="18">
        <f t="shared" si="183"/>
        <v>24.54125333333333</v>
      </c>
      <c r="AA357" s="18">
        <f t="shared" si="184"/>
        <v>29.5</v>
      </c>
      <c r="AB357" s="18">
        <f t="shared" si="185"/>
        <v>4.9587466666666691</v>
      </c>
      <c r="AE357" s="44" cm="1">
        <f t="array" ref="AE357">_xll.BDH("COMXGOLD Comdty","PX_Last", N357)</f>
        <v>17653319.791000001</v>
      </c>
      <c r="AF357" s="15" t="str" cm="1">
        <f t="array" ref="AF357">_xll.BDS("GCA Comdty","FUT_CHAIN", "CHAIN_DATE",A357,"endrow=1")</f>
        <v>GCK24 Comdty</v>
      </c>
      <c r="AG357" s="44" cm="1">
        <f t="array" ref="AG357">_xll.BDH(AF357,"FUT_AGGTE_OPEN_INT",A357)</f>
        <v>519791</v>
      </c>
      <c r="AH357" s="44">
        <f t="shared" si="190"/>
        <v>51979100</v>
      </c>
      <c r="AI357" s="48">
        <f t="shared" si="191"/>
        <v>0.33962342154827618</v>
      </c>
      <c r="AK357" s="44" cm="1">
        <f t="array" ref="AK357">_xll.BDH("COMXSILV Comdty","PX_Last", N357)</f>
        <v>294609.19</v>
      </c>
      <c r="AL357" s="15" t="str" cm="1">
        <f t="array" ref="AL357">_xll.BDS("SIA Comdty","FUT_CHAIN", "CHAIN_DATE",A357,"endrow=1")</f>
        <v>SIK24 Comdty</v>
      </c>
      <c r="AM357" s="47" cm="1">
        <f t="array" ref="AM357">_xll.BDH(AL357,"FUT_AGGTE_OPEN_INT",A357)</f>
        <v>166315</v>
      </c>
      <c r="AN357" s="45">
        <f t="shared" si="175"/>
        <v>354.27855575263806</v>
      </c>
      <c r="AO357" s="46">
        <f t="shared" si="192"/>
        <v>29460919000</v>
      </c>
      <c r="AP357" s="46">
        <f t="shared" si="193"/>
        <v>831575</v>
      </c>
    </row>
    <row r="358" spans="1:42" x14ac:dyDescent="0.2">
      <c r="A358" s="24">
        <v>45413</v>
      </c>
      <c r="B358" s="16" cm="1">
        <f t="array" ref="B358">_xll.BADDPERIODS(A358, "PER=WD", "NUMBEROFPERIODS=2", "BUSDAYADJ=-2", "CDR=GQ", "CDR=P9")</f>
        <v>45415</v>
      </c>
      <c r="C358" s="15" cm="1">
        <f t="array" ref="C358">_xll.BDH("XAU Curncy","PX_LAST",A358,A358)</f>
        <v>2319.56</v>
      </c>
      <c r="D358" s="15" t="str" cm="1">
        <f t="array" ref="D358">_xll.BDP("GCM24 Comdty",$M$32)</f>
        <v>03/06/2024</v>
      </c>
      <c r="E358" s="15">
        <f>_xlfn.DAYS(D358,B358)</f>
        <v>31</v>
      </c>
      <c r="F358" s="23">
        <v>5.5E-2</v>
      </c>
      <c r="G358" s="28">
        <f t="shared" si="167"/>
        <v>10.985693888888889</v>
      </c>
      <c r="H358" s="22">
        <v>10</v>
      </c>
      <c r="I358" s="57">
        <f t="shared" si="168"/>
        <v>-0.98569388888888909</v>
      </c>
      <c r="J358" s="26">
        <v>4</v>
      </c>
      <c r="K358" s="26">
        <v>6</v>
      </c>
      <c r="L358" s="26">
        <v>8</v>
      </c>
      <c r="N358" s="24">
        <v>45413</v>
      </c>
      <c r="O358" s="16" cm="1">
        <f t="array" ref="O358">_xll.BADDPERIODS(N358, "PER=WD", "NUMBEROFPERIODS=2", "BUSDAYADJ=-2", "CDR=GQ", "CDR=P9")</f>
        <v>45415</v>
      </c>
      <c r="P358" s="15" cm="1">
        <f t="array" ref="P358">_xll.BDH("XAG Curncy","PX_LAST",N358,N358)</f>
        <v>26.651</v>
      </c>
      <c r="Q358" s="15" t="str" cm="1">
        <f t="array" ref="Q358">_xll.BDP("SIN24 Comdty",$M$32)</f>
        <v>01/07/2024</v>
      </c>
      <c r="R358" s="15">
        <f t="shared" si="180"/>
        <v>59</v>
      </c>
      <c r="S358" s="23">
        <v>5.6000000000000001E-2</v>
      </c>
      <c r="T358" s="21">
        <f t="shared" si="181"/>
        <v>0.24459695555555555</v>
      </c>
      <c r="U358" s="12">
        <v>0.27</v>
      </c>
      <c r="V358" s="59">
        <f t="shared" si="182"/>
        <v>2.5403044444444465</v>
      </c>
      <c r="W358" s="15">
        <v>15</v>
      </c>
      <c r="X358" s="15">
        <v>20</v>
      </c>
      <c r="Y358" s="15">
        <v>25</v>
      </c>
      <c r="Z358" s="18">
        <f t="shared" si="183"/>
        <v>24.459695555555555</v>
      </c>
      <c r="AA358" s="18">
        <f t="shared" si="184"/>
        <v>27</v>
      </c>
      <c r="AB358" s="18">
        <f t="shared" si="185"/>
        <v>2.5403044444444465</v>
      </c>
      <c r="AE358" s="44" cm="1">
        <f t="array" ref="AE358">_xll.BDH("COMXGOLD Comdty","PX_Last", N358)</f>
        <v>17720882.638999999</v>
      </c>
      <c r="AF358" s="15" t="str" cm="1">
        <f t="array" ref="AF358">_xll.BDS("GCA Comdty","FUT_CHAIN", "CHAIN_DATE",A358,"endrow=1")</f>
        <v>GCK24 Comdty</v>
      </c>
      <c r="AG358" s="44" cm="1">
        <f t="array" ref="AG358">_xll.BDH(AF358,"FUT_AGGTE_OPEN_INT",A358)</f>
        <v>522588</v>
      </c>
      <c r="AH358" s="44">
        <f t="shared" si="190"/>
        <v>52258800</v>
      </c>
      <c r="AI358" s="48">
        <f t="shared" si="191"/>
        <v>0.33909853726071015</v>
      </c>
      <c r="AK358" s="44" cm="1">
        <f t="array" ref="AK358">_xll.BDH("COMXSILV Comdty","PX_Last", N358)</f>
        <v>294970.53000000003</v>
      </c>
      <c r="AL358" s="15" t="str" cm="1">
        <f t="array" ref="AL358">_xll.BDS("SIA Comdty","FUT_CHAIN", "CHAIN_DATE",A358,"endrow=1")</f>
        <v>SIK24 Comdty</v>
      </c>
      <c r="AM358" s="47" cm="1">
        <f t="array" ref="AM358">_xll.BDH(AL358,"FUT_AGGTE_OPEN_INT",A358)</f>
        <v>164995</v>
      </c>
      <c r="AN358" s="45">
        <f t="shared" si="175"/>
        <v>357.55087123852246</v>
      </c>
      <c r="AO358" s="46">
        <f t="shared" si="192"/>
        <v>29497053000.000004</v>
      </c>
      <c r="AP358" s="46">
        <f t="shared" si="193"/>
        <v>824975</v>
      </c>
    </row>
    <row r="359" spans="1:42" x14ac:dyDescent="0.2">
      <c r="A359" s="24">
        <v>45414</v>
      </c>
      <c r="B359" s="16" cm="1">
        <f t="array" ref="B359">_xll.BADDPERIODS(A359, "PER=WD", "NUMBEROFPERIODS=2", "BUSDAYADJ=-2", "CDR=GQ", "CDR=P9")</f>
        <v>45419</v>
      </c>
      <c r="C359" s="15" cm="1">
        <f t="array" ref="C359">_xll.BDH("XAU Curncy","PX_LAST",A359,A359)</f>
        <v>2303.83</v>
      </c>
      <c r="D359" s="15" t="str" cm="1">
        <f t="array" ref="D359">_xll.BDP("GCM24 Comdty",$M$32)</f>
        <v>03/06/2024</v>
      </c>
      <c r="E359" s="15">
        <f t="shared" ref="E359:E423" si="194">_xlfn.DAYS(D359,B359)</f>
        <v>27</v>
      </c>
      <c r="F359" s="23">
        <v>5.5E-2</v>
      </c>
      <c r="G359" s="28">
        <f t="shared" si="167"/>
        <v>9.5032987500000008</v>
      </c>
      <c r="H359" s="22">
        <v>8.6</v>
      </c>
      <c r="I359" s="60">
        <f t="shared" si="168"/>
        <v>-0.90329875000000115</v>
      </c>
      <c r="J359" s="26">
        <v>4</v>
      </c>
      <c r="K359" s="26">
        <v>6</v>
      </c>
      <c r="L359" s="26">
        <v>8</v>
      </c>
      <c r="N359" s="24">
        <v>45414</v>
      </c>
      <c r="O359" s="16" cm="1">
        <f t="array" ref="O359">_xll.BADDPERIODS(N359, "PER=WD", "NUMBEROFPERIODS=2", "BUSDAYADJ=-2", "CDR=GQ", "CDR=P9")</f>
        <v>45419</v>
      </c>
      <c r="P359" s="15" cm="1">
        <f t="array" ref="P359">_xll.BDH("XAG Curncy","PX_LAST",N359,N359)</f>
        <v>26.6828</v>
      </c>
      <c r="Q359" s="15" t="str" cm="1">
        <f t="array" ref="Q359">_xll.BDP("SIN24 Comdty",$M$32)</f>
        <v>01/07/2024</v>
      </c>
      <c r="R359" s="15">
        <f t="shared" si="180"/>
        <v>55</v>
      </c>
      <c r="S359" s="23">
        <v>5.6000000000000001E-2</v>
      </c>
      <c r="T359" s="21">
        <f t="shared" si="181"/>
        <v>0.22828617777777779</v>
      </c>
      <c r="U359" s="12">
        <v>0.25</v>
      </c>
      <c r="V359" s="59">
        <f t="shared" si="182"/>
        <v>2.1713822222222205</v>
      </c>
      <c r="W359" s="15">
        <v>15</v>
      </c>
      <c r="X359" s="15">
        <v>20</v>
      </c>
      <c r="Y359" s="15">
        <v>25</v>
      </c>
      <c r="Z359" s="18">
        <f t="shared" si="183"/>
        <v>22.828617777777779</v>
      </c>
      <c r="AA359" s="18">
        <f t="shared" si="184"/>
        <v>25</v>
      </c>
      <c r="AB359" s="18">
        <f t="shared" si="185"/>
        <v>2.1713822222222205</v>
      </c>
      <c r="AE359" s="44" cm="1">
        <f t="array" ref="AE359">_xll.BDH("COMXGOLD Comdty","PX_Last", N359)</f>
        <v>17720789.868000001</v>
      </c>
      <c r="AF359" s="15" t="str" cm="1">
        <f t="array" ref="AF359">_xll.BDS("GCA Comdty","FUT_CHAIN", "CHAIN_DATE",A359,"endrow=1")</f>
        <v>GCK24 Comdty</v>
      </c>
      <c r="AG359" s="44" cm="1">
        <f t="array" ref="AG359">_xll.BDH(AF359,"FUT_AGGTE_OPEN_INT",A359)</f>
        <v>526097</v>
      </c>
      <c r="AH359" s="44">
        <f t="shared" si="190"/>
        <v>52609700</v>
      </c>
      <c r="AI359" s="48">
        <f t="shared" si="191"/>
        <v>0.33683502981389363</v>
      </c>
      <c r="AK359" s="44" cm="1">
        <f t="array" ref="AK359">_xll.BDH("COMXSILV Comdty","PX_Last", N359)</f>
        <v>295188.09000000003</v>
      </c>
      <c r="AL359" s="15" t="str" cm="1">
        <f t="array" ref="AL359">_xll.BDS("SIA Comdty","FUT_CHAIN", "CHAIN_DATE",A359,"endrow=1")</f>
        <v>SIK24 Comdty</v>
      </c>
      <c r="AM359" s="47" cm="1">
        <f t="array" ref="AM359">_xll.BDH(AL359,"FUT_AGGTE_OPEN_INT",A359)</f>
        <v>165202</v>
      </c>
      <c r="AN359" s="45">
        <f t="shared" si="175"/>
        <v>357.36624253943666</v>
      </c>
      <c r="AO359" s="46">
        <f t="shared" si="192"/>
        <v>29518809000.000004</v>
      </c>
      <c r="AP359" s="46">
        <f t="shared" si="193"/>
        <v>826010</v>
      </c>
    </row>
    <row r="360" spans="1:42" x14ac:dyDescent="0.2">
      <c r="A360" s="24">
        <v>45415</v>
      </c>
      <c r="B360" s="16" cm="1">
        <f t="array" ref="B360">_xll.BADDPERIODS(A360, "PER=WD", "NUMBEROFPERIODS=2", "BUSDAYADJ=-2", "CDR=GQ", "CDR=P9")</f>
        <v>45420</v>
      </c>
      <c r="C360" s="15" cm="1">
        <f t="array" ref="C360">_xll.BDH("XAU Curncy","PX_LAST",A360,A360)</f>
        <v>2301.7399999999998</v>
      </c>
      <c r="D360" s="15" t="str" cm="1">
        <f t="array" ref="D360">_xll.BDP("GCM24 Comdty",$M$32)</f>
        <v>03/06/2024</v>
      </c>
      <c r="E360" s="15">
        <f t="shared" si="194"/>
        <v>26</v>
      </c>
      <c r="F360" s="23">
        <v>5.5E-2</v>
      </c>
      <c r="G360" s="28">
        <f t="shared" si="167"/>
        <v>9.1430227777777766</v>
      </c>
      <c r="H360" s="12">
        <v>8.3000000000000007</v>
      </c>
      <c r="I360" s="60">
        <f t="shared" si="168"/>
        <v>-0.8430227777777759</v>
      </c>
      <c r="J360" s="26">
        <v>4</v>
      </c>
      <c r="K360" s="26">
        <v>6</v>
      </c>
      <c r="L360" s="26">
        <v>8</v>
      </c>
      <c r="N360" s="24">
        <v>45415</v>
      </c>
      <c r="O360" s="16" cm="1">
        <f t="array" ref="O360">_xll.BADDPERIODS(N360, "PER=WD", "NUMBEROFPERIODS=2", "BUSDAYADJ=-2", "CDR=GQ", "CDR=P9")</f>
        <v>45420</v>
      </c>
      <c r="P360" s="15" cm="1">
        <f t="array" ref="P360">_xll.BDH("XAG Curncy","PX_LAST",N360,N360)</f>
        <v>26.5594</v>
      </c>
      <c r="Q360" s="15" t="str" cm="1">
        <f t="array" ref="Q360">_xll.BDP("SIN24 Comdty",$M$32)</f>
        <v>01/07/2024</v>
      </c>
      <c r="R360" s="15">
        <f t="shared" si="180"/>
        <v>54</v>
      </c>
      <c r="S360" s="23">
        <v>5.6000000000000001E-2</v>
      </c>
      <c r="T360" s="21">
        <f t="shared" si="181"/>
        <v>0.22309895999999999</v>
      </c>
      <c r="U360" s="22">
        <v>0.25</v>
      </c>
      <c r="V360" s="59">
        <f t="shared" si="182"/>
        <v>2.6901040000000016</v>
      </c>
      <c r="W360" s="15">
        <v>15</v>
      </c>
      <c r="X360" s="15">
        <v>20</v>
      </c>
      <c r="Y360" s="15">
        <v>25</v>
      </c>
      <c r="Z360" s="18">
        <f t="shared" si="183"/>
        <v>22.309895999999998</v>
      </c>
      <c r="AA360" s="18">
        <f t="shared" si="184"/>
        <v>25</v>
      </c>
      <c r="AB360" s="18">
        <f t="shared" si="185"/>
        <v>2.6901040000000016</v>
      </c>
      <c r="AE360" s="44" cm="1">
        <f t="array" ref="AE360">_xll.BDH("COMXGOLD Comdty","PX_Last", N360)</f>
        <v>17720789.868000001</v>
      </c>
      <c r="AF360" s="15" t="str" cm="1">
        <f t="array" ref="AF360">_xll.BDS("GCA Comdty","FUT_CHAIN", "CHAIN_DATE",A360,"endrow=1")</f>
        <v>GCK24 Comdty</v>
      </c>
      <c r="AG360" s="44" cm="1">
        <f t="array" ref="AG360">_xll.BDH(AF360,"FUT_AGGTE_OPEN_INT",A360)</f>
        <v>525542</v>
      </c>
      <c r="AH360" s="44">
        <f t="shared" si="190"/>
        <v>52554200</v>
      </c>
      <c r="AI360" s="48">
        <f t="shared" si="191"/>
        <v>0.33719074532577797</v>
      </c>
      <c r="AK360" s="44" cm="1">
        <f t="array" ref="AK360">_xll.BDH("COMXSILV Comdty","PX_Last", N360)</f>
        <v>295648.75</v>
      </c>
      <c r="AL360" s="15" t="str" cm="1">
        <f t="array" ref="AL360">_xll.BDS("SIA Comdty","FUT_CHAIN", "CHAIN_DATE",A360,"endrow=1")</f>
        <v>SIK24 Comdty</v>
      </c>
      <c r="AM360" s="47" cm="1">
        <f t="array" ref="AM360">_xll.BDH(AL360,"FUT_AGGTE_OPEN_INT",A360)</f>
        <v>162838</v>
      </c>
      <c r="AN360" s="45">
        <f t="shared" si="175"/>
        <v>363.12009481816284</v>
      </c>
      <c r="AO360" s="46">
        <f t="shared" si="192"/>
        <v>29564875000</v>
      </c>
      <c r="AP360" s="46">
        <f t="shared" si="193"/>
        <v>814190</v>
      </c>
    </row>
    <row r="361" spans="1:42" x14ac:dyDescent="0.2">
      <c r="A361" s="24">
        <v>45418</v>
      </c>
      <c r="B361" s="16" cm="1">
        <f t="array" ref="B361">_xll.BADDPERIODS(A361, "PER=WD", "NUMBEROFPERIODS=2", "BUSDAYADJ=-2", "CDR=GQ", "CDR=P9")</f>
        <v>45420</v>
      </c>
      <c r="C361" s="15" cm="1">
        <f t="array" ref="C361">_xll.BDH("XAU Curncy","PX_LAST",A361,A361)</f>
        <v>2323.9699999999998</v>
      </c>
      <c r="D361" s="15" t="str" cm="1">
        <f t="array" ref="D361">_xll.BDP("GCM24 Comdty",$M$32)</f>
        <v>03/06/2024</v>
      </c>
      <c r="E361" s="15">
        <f t="shared" si="194"/>
        <v>26</v>
      </c>
      <c r="F361" s="23">
        <v>5.4800000000000001E-2</v>
      </c>
      <c r="G361" s="28">
        <f t="shared" si="167"/>
        <v>9.197756822222221</v>
      </c>
      <c r="H361" s="12">
        <v>7.8</v>
      </c>
      <c r="I361" s="60">
        <f t="shared" si="168"/>
        <v>-1.3977568222222212</v>
      </c>
      <c r="J361" s="26">
        <v>4</v>
      </c>
      <c r="K361" s="26">
        <v>6</v>
      </c>
      <c r="L361" s="26">
        <v>8</v>
      </c>
      <c r="N361" s="24">
        <v>45418</v>
      </c>
      <c r="O361" s="16" cm="1">
        <f t="array" ref="O361">_xll.BADDPERIODS(N361, "PER=WD", "NUMBEROFPERIODS=2", "BUSDAYADJ=-2", "CDR=GQ", "CDR=P9")</f>
        <v>45420</v>
      </c>
      <c r="P361" s="15" cm="1">
        <f t="array" ref="P361">_xll.BDH("XAG Curncy","PX_LAST",N361,N361)</f>
        <v>27.444500000000001</v>
      </c>
      <c r="Q361" s="15" t="str" cm="1">
        <f t="array" ref="Q361">_xll.BDP("SIN24 Comdty",$M$32)</f>
        <v>01/07/2024</v>
      </c>
      <c r="R361" s="15">
        <f t="shared" si="180"/>
        <v>54</v>
      </c>
      <c r="S361" s="23">
        <v>5.6000000000000001E-2</v>
      </c>
      <c r="T361" s="21">
        <f t="shared" si="181"/>
        <v>0.23053380000000001</v>
      </c>
      <c r="U361" s="22">
        <v>0.25</v>
      </c>
      <c r="V361" s="59">
        <f t="shared" si="182"/>
        <v>1.9466199999999989</v>
      </c>
      <c r="W361" s="15">
        <v>15</v>
      </c>
      <c r="X361" s="15">
        <v>20</v>
      </c>
      <c r="Y361" s="15">
        <v>25</v>
      </c>
      <c r="Z361" s="18">
        <f t="shared" si="183"/>
        <v>23.053380000000001</v>
      </c>
      <c r="AA361" s="18">
        <f t="shared" si="184"/>
        <v>25</v>
      </c>
      <c r="AB361" s="18">
        <f t="shared" si="185"/>
        <v>1.9466199999999989</v>
      </c>
      <c r="AE361" s="44" cm="1">
        <f t="array" ref="AE361">_xll.BDH("COMXGOLD Comdty","PX_Last", N361)</f>
        <v>17714391.827</v>
      </c>
      <c r="AF361" s="15" t="str" cm="1">
        <f t="array" ref="AF361">_xll.BDS("GCA Comdty","FUT_CHAIN", "CHAIN_DATE",A361,"endrow=1")</f>
        <v>GCK24 Comdty</v>
      </c>
      <c r="AG361" s="44" cm="1">
        <f t="array" ref="AG361">_xll.BDH(AF361,"FUT_AGGTE_OPEN_INT",A361)</f>
        <v>530335</v>
      </c>
      <c r="AH361" s="44">
        <f t="shared" si="190"/>
        <v>53033500</v>
      </c>
      <c r="AI361" s="48">
        <f t="shared" si="191"/>
        <v>0.33402268051326051</v>
      </c>
      <c r="AK361" s="44" cm="1">
        <f t="array" ref="AK361">_xll.BDH("COMXSILV Comdty","PX_Last", N361)</f>
        <v>295644.71999999997</v>
      </c>
      <c r="AL361" s="15" t="str" cm="1">
        <f t="array" ref="AL361">_xll.BDS("SIA Comdty","FUT_CHAIN", "CHAIN_DATE",A361,"endrow=1")</f>
        <v>SIK24 Comdty</v>
      </c>
      <c r="AM361" s="47" cm="1">
        <f t="array" ref="AM361">_xll.BDH(AL361,"FUT_AGGTE_OPEN_INT",A361)</f>
        <v>163894</v>
      </c>
      <c r="AN361" s="45">
        <f t="shared" si="175"/>
        <v>360.77552564462394</v>
      </c>
      <c r="AO361" s="46">
        <f t="shared" si="192"/>
        <v>29564471999.999996</v>
      </c>
      <c r="AP361" s="46">
        <f t="shared" si="193"/>
        <v>819470</v>
      </c>
    </row>
    <row r="362" spans="1:42" x14ac:dyDescent="0.2">
      <c r="A362" s="24">
        <v>45419</v>
      </c>
      <c r="B362" s="16" cm="1">
        <f t="array" ref="B362">_xll.BADDPERIODS(A362, "PER=WD", "NUMBEROFPERIODS=2", "BUSDAYADJ=-2", "CDR=GQ", "CDR=P9")</f>
        <v>45421</v>
      </c>
      <c r="C362" s="15" cm="1">
        <f t="array" ref="C362">_xll.BDH("XAU Curncy","PX_LAST",A362,A362)</f>
        <v>2314.1</v>
      </c>
      <c r="D362" s="15" t="str" cm="1">
        <f t="array" ref="D362">_xll.BDP("GCM24 Comdty",$M$32)</f>
        <v>03/06/2024</v>
      </c>
      <c r="E362" s="15">
        <f t="shared" si="194"/>
        <v>25</v>
      </c>
      <c r="F362" s="23">
        <v>5.5E-2</v>
      </c>
      <c r="G362" s="28">
        <f t="shared" si="167"/>
        <v>8.8385763888888889</v>
      </c>
      <c r="H362" s="12">
        <v>7.5</v>
      </c>
      <c r="I362" s="60">
        <f t="shared" si="168"/>
        <v>-1.3385763888888889</v>
      </c>
      <c r="J362" s="26">
        <v>4</v>
      </c>
      <c r="K362" s="26">
        <v>6</v>
      </c>
      <c r="L362" s="26">
        <v>8</v>
      </c>
      <c r="N362" s="24">
        <v>45419</v>
      </c>
      <c r="O362" s="16" cm="1">
        <f t="array" ref="O362">_xll.BADDPERIODS(N362, "PER=WD", "NUMBEROFPERIODS=2", "BUSDAYADJ=-2", "CDR=GQ", "CDR=P9")</f>
        <v>45421</v>
      </c>
      <c r="P362" s="15" cm="1">
        <f t="array" ref="P362">_xll.BDH("XAG Curncy","PX_LAST",N362,N362)</f>
        <v>27.241900000000001</v>
      </c>
      <c r="Q362" s="15" t="str" cm="1">
        <f t="array" ref="Q362">_xll.BDP("SIN24 Comdty",$M$32)</f>
        <v>01/07/2024</v>
      </c>
      <c r="R362" s="15">
        <f t="shared" si="180"/>
        <v>53</v>
      </c>
      <c r="S362" s="23">
        <v>5.6000000000000001E-2</v>
      </c>
      <c r="T362" s="21">
        <f t="shared" si="181"/>
        <v>0.22459433111111113</v>
      </c>
      <c r="U362" s="22">
        <v>0.25</v>
      </c>
      <c r="V362" s="59">
        <f t="shared" si="182"/>
        <v>2.540566888888887</v>
      </c>
      <c r="W362" s="15">
        <v>15</v>
      </c>
      <c r="X362" s="15">
        <v>20</v>
      </c>
      <c r="Y362" s="15">
        <v>25</v>
      </c>
      <c r="Z362" s="18">
        <f t="shared" si="183"/>
        <v>22.459433111111114</v>
      </c>
      <c r="AA362" s="18">
        <f t="shared" si="184"/>
        <v>25</v>
      </c>
      <c r="AB362" s="18">
        <f t="shared" si="185"/>
        <v>2.540566888888887</v>
      </c>
      <c r="AE362" s="44" cm="1">
        <f t="array" ref="AE362">_xll.BDH("COMXGOLD Comdty","PX_Last", N362)</f>
        <v>17617778.067000002</v>
      </c>
      <c r="AF362" s="15" t="str" cm="1">
        <f t="array" ref="AF362">_xll.BDS("GCA Comdty","FUT_CHAIN", "CHAIN_DATE",A362,"endrow=1")</f>
        <v>GCK24 Comdty</v>
      </c>
      <c r="AG362" s="44" cm="1">
        <f t="array" ref="AG362">_xll.BDH(AF362,"FUT_AGGTE_OPEN_INT",A362)</f>
        <v>529835</v>
      </c>
      <c r="AH362" s="44">
        <f t="shared" si="190"/>
        <v>52983500</v>
      </c>
      <c r="AI362" s="48">
        <f t="shared" si="191"/>
        <v>0.33251442556644994</v>
      </c>
      <c r="AK362" s="44" cm="1">
        <f t="array" ref="AK362">_xll.BDH("COMXSILV Comdty","PX_Last", N362)</f>
        <v>295771.53000000003</v>
      </c>
      <c r="AL362" s="15" t="str" cm="1">
        <f t="array" ref="AL362">_xll.BDS("SIA Comdty","FUT_CHAIN", "CHAIN_DATE",A362,"endrow=1")</f>
        <v>SIK24 Comdty</v>
      </c>
      <c r="AM362" s="47" cm="1">
        <f t="array" ref="AM362">_xll.BDH(AL362,"FUT_AGGTE_OPEN_INT",A362)</f>
        <v>161868</v>
      </c>
      <c r="AN362" s="45">
        <f t="shared" si="175"/>
        <v>365.44780932611764</v>
      </c>
      <c r="AO362" s="46">
        <f t="shared" si="192"/>
        <v>29577153000.000004</v>
      </c>
      <c r="AP362" s="46">
        <f t="shared" si="193"/>
        <v>809340</v>
      </c>
    </row>
    <row r="363" spans="1:42" x14ac:dyDescent="0.2">
      <c r="A363" s="24">
        <v>45420</v>
      </c>
      <c r="B363" s="16" cm="1">
        <f t="array" ref="B363">_xll.BADDPERIODS(A363, "PER=WD", "NUMBEROFPERIODS=2", "BUSDAYADJ=-2", "CDR=GQ", "CDR=P9")</f>
        <v>45422</v>
      </c>
      <c r="C363" s="15" cm="1">
        <f t="array" ref="C363">_xll.BDH("XAU Curncy","PX_LAST",A363,A363)</f>
        <v>2308.85</v>
      </c>
      <c r="D363" s="15" t="str" cm="1">
        <f t="array" ref="D363">_xll.BDP("GCM24 Comdty",$M$32)</f>
        <v>03/06/2024</v>
      </c>
      <c r="E363" s="15">
        <f t="shared" si="194"/>
        <v>24</v>
      </c>
      <c r="F363" s="23">
        <v>5.5E-2</v>
      </c>
      <c r="G363" s="28">
        <f t="shared" si="167"/>
        <v>8.4657833333333325</v>
      </c>
      <c r="H363" s="12">
        <v>7.5</v>
      </c>
      <c r="I363" s="60">
        <f t="shared" si="168"/>
        <v>-0.96578333333333255</v>
      </c>
      <c r="J363" s="26">
        <v>4</v>
      </c>
      <c r="K363" s="26">
        <v>6</v>
      </c>
      <c r="L363" s="26">
        <v>8</v>
      </c>
      <c r="N363" s="24">
        <v>45420</v>
      </c>
      <c r="O363" s="16" cm="1">
        <f t="array" ref="O363">_xll.BADDPERIODS(N363, "PER=WD", "NUMBEROFPERIODS=2", "BUSDAYADJ=-2", "CDR=GQ", "CDR=P9")</f>
        <v>45422</v>
      </c>
      <c r="P363" s="15" cm="1">
        <f t="array" ref="P363">_xll.BDH("XAG Curncy","PX_LAST",N363,N363)</f>
        <v>27.331199999999999</v>
      </c>
      <c r="Q363" s="15" t="str" cm="1">
        <f t="array" ref="Q363">_xll.BDP("SIN24 Comdty",$M$32)</f>
        <v>01/07/2024</v>
      </c>
      <c r="R363" s="15">
        <f t="shared" si="180"/>
        <v>52</v>
      </c>
      <c r="S363" s="23">
        <v>5.6000000000000001E-2</v>
      </c>
      <c r="T363" s="21">
        <f t="shared" si="181"/>
        <v>0.22107903999999998</v>
      </c>
      <c r="U363" s="12">
        <v>0.23350000000000001</v>
      </c>
      <c r="V363" s="59">
        <f t="shared" si="182"/>
        <v>1.2420960000000036</v>
      </c>
      <c r="W363" s="15">
        <v>15</v>
      </c>
      <c r="X363" s="15">
        <v>20</v>
      </c>
      <c r="Y363" s="15">
        <v>25</v>
      </c>
      <c r="Z363" s="18">
        <f t="shared" si="183"/>
        <v>22.107903999999998</v>
      </c>
      <c r="AA363" s="18">
        <f t="shared" si="184"/>
        <v>23.35</v>
      </c>
      <c r="AB363" s="18">
        <f t="shared" si="185"/>
        <v>1.2420960000000036</v>
      </c>
      <c r="AE363" s="44" cm="1">
        <f t="array" ref="AE363">_xll.BDH("COMXGOLD Comdty","PX_Last", N363)</f>
        <v>17617102.896000002</v>
      </c>
      <c r="AF363" s="15" t="str" cm="1">
        <f t="array" ref="AF363">_xll.BDS("GCA Comdty","FUT_CHAIN", "CHAIN_DATE",A363,"endrow=1")</f>
        <v>GCK24 Comdty</v>
      </c>
      <c r="AG363" s="44" cm="1">
        <f t="array" ref="AG363">_xll.BDH(AF363,"FUT_AGGTE_OPEN_INT",A363)</f>
        <v>526888</v>
      </c>
      <c r="AH363" s="44">
        <f t="shared" si="190"/>
        <v>52688800</v>
      </c>
      <c r="AI363" s="48">
        <f t="shared" si="191"/>
        <v>0.33436143726940076</v>
      </c>
      <c r="AK363" s="44" cm="1">
        <f t="array" ref="AK363">_xll.BDH("COMXSILV Comdty","PX_Last", N363)</f>
        <v>296978.25</v>
      </c>
      <c r="AL363" s="15" t="str" cm="1">
        <f t="array" ref="AL363">_xll.BDS("SIA Comdty","FUT_CHAIN", "CHAIN_DATE",A363,"endrow=1")</f>
        <v>SIK24 Comdty</v>
      </c>
      <c r="AM363" s="47" cm="1">
        <f t="array" ref="AM363">_xll.BDH(AL363,"FUT_AGGTE_OPEN_INT",A363)</f>
        <v>162170</v>
      </c>
      <c r="AN363" s="45">
        <f t="shared" si="175"/>
        <v>366.25547265215516</v>
      </c>
      <c r="AO363" s="46">
        <f t="shared" si="192"/>
        <v>29697825000</v>
      </c>
      <c r="AP363" s="46">
        <f t="shared" si="193"/>
        <v>810850</v>
      </c>
    </row>
    <row r="364" spans="1:42" x14ac:dyDescent="0.2">
      <c r="A364" s="24">
        <v>45421</v>
      </c>
      <c r="B364" s="16" cm="1">
        <f t="array" ref="B364">_xll.BADDPERIODS(A364, "PER=WD", "NUMBEROFPERIODS=2", "BUSDAYADJ=-2", "CDR=GQ", "CDR=P9")</f>
        <v>45425</v>
      </c>
      <c r="C364" s="15" cm="1">
        <f t="array" ref="C364">_xll.BDH("XAU Curncy","PX_LAST",A364,A364)</f>
        <v>2346.33</v>
      </c>
      <c r="D364" s="15" t="str" cm="1">
        <f t="array" ref="D364">_xll.BDP("GCM24 Comdty",$M$32)</f>
        <v>03/06/2024</v>
      </c>
      <c r="E364" s="15">
        <f t="shared" si="194"/>
        <v>21</v>
      </c>
      <c r="F364" s="23">
        <v>5.5E-2</v>
      </c>
      <c r="G364" s="28">
        <f t="shared" si="167"/>
        <v>7.5278087499999993</v>
      </c>
      <c r="H364" s="12">
        <v>7</v>
      </c>
      <c r="I364" s="60">
        <f t="shared" si="168"/>
        <v>-0.52780874999999927</v>
      </c>
      <c r="J364" s="26">
        <v>4</v>
      </c>
      <c r="K364" s="26">
        <v>6</v>
      </c>
      <c r="L364" s="26">
        <v>8</v>
      </c>
      <c r="N364" s="24">
        <v>45421</v>
      </c>
      <c r="O364" s="16" cm="1">
        <f t="array" ref="O364">_xll.BADDPERIODS(N364, "PER=WD", "NUMBEROFPERIODS=2", "BUSDAYADJ=-2", "CDR=GQ", "CDR=P9")</f>
        <v>45425</v>
      </c>
      <c r="P364" s="15" cm="1">
        <f t="array" ref="P364">_xll.BDH("XAG Curncy","PX_LAST",N364,N364)</f>
        <v>28.3172</v>
      </c>
      <c r="Q364" s="15" t="str" cm="1">
        <f t="array" ref="Q364">_xll.BDP("SIN24 Comdty",$M$32)</f>
        <v>01/07/2024</v>
      </c>
      <c r="R364" s="15">
        <f t="shared" si="180"/>
        <v>49</v>
      </c>
      <c r="S364" s="23">
        <v>5.6000000000000001E-2</v>
      </c>
      <c r="T364" s="21">
        <f t="shared" si="181"/>
        <v>0.2158399911111111</v>
      </c>
      <c r="U364" s="12">
        <v>0.23499999999999999</v>
      </c>
      <c r="V364" s="59">
        <f t="shared" si="182"/>
        <v>1.9160008888888886</v>
      </c>
      <c r="W364" s="15">
        <v>15</v>
      </c>
      <c r="X364" s="15">
        <v>20</v>
      </c>
      <c r="Y364" s="15">
        <v>25</v>
      </c>
      <c r="Z364" s="18">
        <f t="shared" si="183"/>
        <v>21.583999111111112</v>
      </c>
      <c r="AA364" s="18">
        <f t="shared" si="184"/>
        <v>23.5</v>
      </c>
      <c r="AB364" s="18">
        <f t="shared" si="185"/>
        <v>1.9160008888888886</v>
      </c>
      <c r="AE364" s="44" cm="1">
        <f t="array" ref="AE364">_xll.BDH("COMXGOLD Comdty","PX_Last", N364)</f>
        <v>17617070.745000001</v>
      </c>
      <c r="AF364" s="15" t="str" cm="1">
        <f t="array" ref="AF364">_xll.BDS("GCA Comdty","FUT_CHAIN", "CHAIN_DATE",A364,"endrow=1")</f>
        <v>GCK24 Comdty</v>
      </c>
      <c r="AG364" s="44" cm="1">
        <f t="array" ref="AG364">_xll.BDH(AF364,"FUT_AGGTE_OPEN_INT",A364)</f>
        <v>539853</v>
      </c>
      <c r="AH364" s="44">
        <f t="shared" si="190"/>
        <v>53985300</v>
      </c>
      <c r="AI364" s="48">
        <f t="shared" si="191"/>
        <v>0.32633088535212368</v>
      </c>
      <c r="AK364" s="44" cm="1">
        <f t="array" ref="AK364">_xll.BDH("COMXSILV Comdty","PX_Last", N364)</f>
        <v>297785.25</v>
      </c>
      <c r="AL364" s="15" t="str" cm="1">
        <f t="array" ref="AL364">_xll.BDS("SIA Comdty","FUT_CHAIN", "CHAIN_DATE",A364,"endrow=1")</f>
        <v>SIK24 Comdty</v>
      </c>
      <c r="AM364" s="47" cm="1">
        <f t="array" ref="AM364">_xll.BDH(AL364,"FUT_AGGTE_OPEN_INT",A364)</f>
        <v>168765</v>
      </c>
      <c r="AN364" s="45">
        <f t="shared" si="175"/>
        <v>352.89929784019199</v>
      </c>
      <c r="AO364" s="46">
        <f t="shared" si="192"/>
        <v>29778525000</v>
      </c>
      <c r="AP364" s="46">
        <f t="shared" si="193"/>
        <v>843825</v>
      </c>
    </row>
    <row r="365" spans="1:42" x14ac:dyDescent="0.2">
      <c r="A365" s="24">
        <v>45422</v>
      </c>
      <c r="B365" s="16" cm="1">
        <f t="array" ref="B365">_xll.BADDPERIODS(A365, "PER=WD", "NUMBEROFPERIODS=2", "BUSDAYADJ=-2", "CDR=GQ", "CDR=P9")</f>
        <v>45426</v>
      </c>
      <c r="C365" s="15" cm="1">
        <f t="array" ref="C365">_xll.BDH("XAU Curncy","PX_LAST",A365,A365)</f>
        <v>2360.5</v>
      </c>
      <c r="D365" s="15" t="str" cm="1">
        <f t="array" ref="D365">_xll.BDP("GCM24 Comdty",$M$32)</f>
        <v>03/06/2024</v>
      </c>
      <c r="E365" s="15">
        <f t="shared" si="194"/>
        <v>20</v>
      </c>
      <c r="F365" s="23">
        <v>5.5E-2</v>
      </c>
      <c r="G365" s="28">
        <f t="shared" si="167"/>
        <v>7.2126388888888888</v>
      </c>
      <c r="H365" s="12">
        <v>6.9</v>
      </c>
      <c r="I365" s="60">
        <f t="shared" si="168"/>
        <v>-0.31263888888888847</v>
      </c>
      <c r="J365" s="26">
        <v>4</v>
      </c>
      <c r="K365" s="26">
        <v>6</v>
      </c>
      <c r="L365" s="26">
        <v>8</v>
      </c>
      <c r="N365" s="24">
        <v>45422</v>
      </c>
      <c r="O365" s="16" cm="1">
        <f t="array" ref="O365">_xll.BADDPERIODS(N365, "PER=WD", "NUMBEROFPERIODS=2", "BUSDAYADJ=-2", "CDR=GQ", "CDR=P9")</f>
        <v>45426</v>
      </c>
      <c r="P365" s="15" cm="1">
        <f t="array" ref="P365">_xll.BDH("XAG Curncy","PX_LAST",N365,N365)</f>
        <v>28.183399999999999</v>
      </c>
      <c r="Q365" s="15" t="str" cm="1">
        <f t="array" ref="Q365">_xll.BDP("SIN24 Comdty",$M$32)</f>
        <v>01/07/2024</v>
      </c>
      <c r="R365" s="15">
        <f t="shared" si="180"/>
        <v>48</v>
      </c>
      <c r="S365" s="23">
        <v>5.6500000000000002E-2</v>
      </c>
      <c r="T365" s="21">
        <f t="shared" si="181"/>
        <v>0.21231494666666667</v>
      </c>
      <c r="U365" s="12">
        <v>0.22750000000000001</v>
      </c>
      <c r="V365" s="59">
        <f t="shared" si="182"/>
        <v>1.5185053333333336</v>
      </c>
      <c r="W365" s="15">
        <v>15</v>
      </c>
      <c r="X365" s="15">
        <v>20</v>
      </c>
      <c r="Y365" s="15">
        <v>25</v>
      </c>
      <c r="Z365" s="18">
        <f t="shared" si="183"/>
        <v>21.231494666666666</v>
      </c>
      <c r="AA365" s="18">
        <f t="shared" si="184"/>
        <v>22.75</v>
      </c>
      <c r="AB365" s="18">
        <f t="shared" si="185"/>
        <v>1.5185053333333336</v>
      </c>
      <c r="AE365" s="44" cm="1">
        <f t="array" ref="AE365">_xll.BDH("COMXGOLD Comdty","PX_Last", N365)</f>
        <v>17617070.745000001</v>
      </c>
      <c r="AF365" s="15" t="str" cm="1">
        <f t="array" ref="AF365">_xll.BDS("GCA Comdty","FUT_CHAIN", "CHAIN_DATE",A365,"endrow=1")</f>
        <v>GCK24 Comdty</v>
      </c>
      <c r="AG365" s="44" cm="1">
        <f t="array" ref="AG365">_xll.BDH(AF365,"FUT_AGGTE_OPEN_INT",A365)</f>
        <v>529367</v>
      </c>
      <c r="AH365" s="44">
        <f t="shared" si="190"/>
        <v>52936700</v>
      </c>
      <c r="AI365" s="48">
        <f t="shared" si="191"/>
        <v>0.33279503151877621</v>
      </c>
      <c r="AK365" s="44" cm="1">
        <f t="array" ref="AK365">_xll.BDH("COMXSILV Comdty","PX_Last", N365)</f>
        <v>297869.03000000003</v>
      </c>
      <c r="AL365" s="15" t="str" cm="1">
        <f t="array" ref="AL365">_xll.BDS("SIA Comdty","FUT_CHAIN", "CHAIN_DATE",A365,"endrow=1")</f>
        <v>SIK24 Comdty</v>
      </c>
      <c r="AM365" s="47" cm="1">
        <f t="array" ref="AM365">_xll.BDH(AL365,"FUT_AGGTE_OPEN_INT",A365)</f>
        <v>167555</v>
      </c>
      <c r="AN365" s="45">
        <f t="shared" si="175"/>
        <v>355.54776640506105</v>
      </c>
      <c r="AO365" s="46">
        <f t="shared" si="192"/>
        <v>29786903000.000004</v>
      </c>
      <c r="AP365" s="46">
        <f t="shared" si="193"/>
        <v>837775</v>
      </c>
    </row>
    <row r="366" spans="1:42" x14ac:dyDescent="0.2">
      <c r="A366" s="24">
        <v>45425</v>
      </c>
      <c r="B366" s="16" cm="1">
        <f t="array" ref="B366">_xll.BADDPERIODS(A366, "PER=WD", "NUMBEROFPERIODS=2", "BUSDAYADJ=-2", "CDR=GQ", "CDR=P9")</f>
        <v>45427</v>
      </c>
      <c r="C366" s="15" cm="1">
        <f t="array" ref="C366">_xll.BDH("XAU Curncy","PX_LAST",A366,A366)</f>
        <v>2336.3200000000002</v>
      </c>
      <c r="D366" s="15" t="str" cm="1">
        <f t="array" ref="D366">_xll.BDP("GCM24 Comdty",$M$32)</f>
        <v>03/06/2024</v>
      </c>
      <c r="E366" s="15">
        <f t="shared" si="194"/>
        <v>19</v>
      </c>
      <c r="F366" s="23">
        <v>5.5E-2</v>
      </c>
      <c r="G366" s="28">
        <f t="shared" si="167"/>
        <v>6.7818177777777784</v>
      </c>
      <c r="H366" s="12">
        <v>6.4</v>
      </c>
      <c r="I366" s="60">
        <f t="shared" si="168"/>
        <v>-0.38181777777777803</v>
      </c>
      <c r="J366" s="26">
        <v>4</v>
      </c>
      <c r="K366" s="26">
        <v>6</v>
      </c>
      <c r="L366" s="26">
        <v>8</v>
      </c>
      <c r="N366" s="24">
        <v>45425</v>
      </c>
      <c r="O366" s="16" cm="1">
        <f t="array" ref="O366">_xll.BADDPERIODS(N366, "PER=WD", "NUMBEROFPERIODS=2", "BUSDAYADJ=-2", "CDR=GQ", "CDR=P9")</f>
        <v>45427</v>
      </c>
      <c r="P366" s="15" cm="1">
        <f t="array" ref="P366">_xll.BDH("XAG Curncy","PX_LAST",N366,N366)</f>
        <v>28.201499999999999</v>
      </c>
      <c r="Q366" s="15" t="str" cm="1">
        <f t="array" ref="Q366">_xll.BDP("SIN24 Comdty",$M$32)</f>
        <v>01/07/2024</v>
      </c>
      <c r="R366" s="15">
        <f t="shared" si="180"/>
        <v>47</v>
      </c>
      <c r="S366" s="23">
        <v>5.6000000000000001E-2</v>
      </c>
      <c r="T366" s="21">
        <f t="shared" si="181"/>
        <v>0.20618430000000001</v>
      </c>
      <c r="U366" s="12">
        <v>0.25</v>
      </c>
      <c r="V366" s="59">
        <f t="shared" si="182"/>
        <v>4.3815699999999982</v>
      </c>
      <c r="W366" s="15">
        <v>15</v>
      </c>
      <c r="X366" s="15">
        <v>20</v>
      </c>
      <c r="Y366" s="15">
        <v>25</v>
      </c>
      <c r="Z366" s="18">
        <f t="shared" si="183"/>
        <v>20.61843</v>
      </c>
      <c r="AA366" s="18">
        <f t="shared" si="184"/>
        <v>25</v>
      </c>
      <c r="AB366" s="18">
        <f t="shared" si="185"/>
        <v>4.3815699999999982</v>
      </c>
      <c r="AE366" s="44" cm="1">
        <f t="array" ref="AE366">_xll.BDH("COMXGOLD Comdty","PX_Last", N366)</f>
        <v>17462715.063000001</v>
      </c>
      <c r="AF366" s="15" t="str" cm="1">
        <f t="array" ref="AF366">_xll.BDS("GCA Comdty","FUT_CHAIN", "CHAIN_DATE",A366,"endrow=1")</f>
        <v>GCK24 Comdty</v>
      </c>
      <c r="AG366" s="44" cm="1">
        <f t="array" ref="AG366">_xll.BDH(AF366,"FUT_AGGTE_OPEN_INT",A366)</f>
        <v>522331</v>
      </c>
      <c r="AH366" s="44">
        <f t="shared" si="190"/>
        <v>52233100</v>
      </c>
      <c r="AI366" s="48">
        <f t="shared" si="191"/>
        <v>0.3343227773767975</v>
      </c>
      <c r="AK366" s="44" cm="1">
        <f t="array" ref="AK366">_xll.BDH("COMXSILV Comdty","PX_Last", N366)</f>
        <v>297248.34000000003</v>
      </c>
      <c r="AL366" s="15" t="str" cm="1">
        <f t="array" ref="AL366">_xll.BDS("SIA Comdty","FUT_CHAIN", "CHAIN_DATE",A366,"endrow=1")</f>
        <v>SIK24 Comdty</v>
      </c>
      <c r="AM366" s="47" cm="1">
        <f t="array" ref="AM366">_xll.BDH(AL366,"FUT_AGGTE_OPEN_INT",A366)</f>
        <v>168370</v>
      </c>
      <c r="AN366" s="45">
        <f t="shared" si="175"/>
        <v>353.08943398467665</v>
      </c>
      <c r="AO366" s="46">
        <f t="shared" si="192"/>
        <v>29724834000.000004</v>
      </c>
      <c r="AP366" s="46">
        <f t="shared" si="193"/>
        <v>841850</v>
      </c>
    </row>
    <row r="367" spans="1:42" x14ac:dyDescent="0.2">
      <c r="A367" s="24">
        <v>45426</v>
      </c>
      <c r="B367" s="16" cm="1">
        <f t="array" ref="B367">_xll.BADDPERIODS(A367, "PER=WD", "NUMBEROFPERIODS=2", "BUSDAYADJ=-2", "CDR=GQ", "CDR=P9")</f>
        <v>45428</v>
      </c>
      <c r="C367" s="15" cm="1">
        <f t="array" ref="C367">_xll.BDH("XAU Curncy","PX_LAST",A367,A367)</f>
        <v>2358.12</v>
      </c>
      <c r="D367" s="15" t="str" cm="1">
        <f t="array" ref="D367">_xll.BDP("GCM24 Comdty",$M$32)</f>
        <v>03/06/2024</v>
      </c>
      <c r="E367" s="15">
        <f t="shared" si="194"/>
        <v>18</v>
      </c>
      <c r="F367" s="23">
        <v>5.5E-2</v>
      </c>
      <c r="G367" s="28">
        <f t="shared" si="167"/>
        <v>6.4848300000000005</v>
      </c>
      <c r="H367" s="12">
        <v>5.75</v>
      </c>
      <c r="I367" s="60">
        <f t="shared" si="168"/>
        <v>-0.73483000000000054</v>
      </c>
      <c r="J367" s="26">
        <v>4</v>
      </c>
      <c r="K367" s="26">
        <v>6</v>
      </c>
      <c r="L367" s="26">
        <v>8</v>
      </c>
      <c r="N367" s="24">
        <v>45426</v>
      </c>
      <c r="O367" s="16" cm="1">
        <f t="array" ref="O367">_xll.BADDPERIODS(N367, "PER=WD", "NUMBEROFPERIODS=2", "BUSDAYADJ=-2", "CDR=GQ", "CDR=P9")</f>
        <v>45428</v>
      </c>
      <c r="P367" s="15" cm="1">
        <f t="array" ref="P367">_xll.BDH("XAG Curncy","PX_LAST",N367,N367)</f>
        <v>28.619399999999999</v>
      </c>
      <c r="Q367" s="15" t="str" cm="1">
        <f t="array" ref="Q367">_xll.BDP("SIN24 Comdty",$M$32)</f>
        <v>01/07/2024</v>
      </c>
      <c r="R367" s="15">
        <f t="shared" si="180"/>
        <v>46</v>
      </c>
      <c r="S367" s="23">
        <v>5.6000000000000001E-2</v>
      </c>
      <c r="T367" s="21">
        <f t="shared" si="181"/>
        <v>0.20478770666666665</v>
      </c>
      <c r="U367" s="12">
        <v>0.23</v>
      </c>
      <c r="V367" s="59">
        <f t="shared" si="182"/>
        <v>2.521229333333336</v>
      </c>
      <c r="W367" s="15">
        <v>15</v>
      </c>
      <c r="X367" s="15">
        <v>20</v>
      </c>
      <c r="Y367" s="15">
        <v>25</v>
      </c>
      <c r="Z367" s="18">
        <f t="shared" si="183"/>
        <v>20.478770666666666</v>
      </c>
      <c r="AA367" s="18">
        <f t="shared" si="184"/>
        <v>23</v>
      </c>
      <c r="AB367" s="18">
        <f t="shared" si="185"/>
        <v>2.521229333333336</v>
      </c>
      <c r="AE367" s="44" cm="1">
        <f t="array" ref="AE367">_xll.BDH("COMXGOLD Comdty","PX_Last", N367)</f>
        <v>17459628.557999998</v>
      </c>
      <c r="AF367" s="15" t="str" cm="1">
        <f t="array" ref="AF367">_xll.BDS("GCA Comdty","FUT_CHAIN", "CHAIN_DATE",A367,"endrow=1")</f>
        <v>GCK24 Comdty</v>
      </c>
      <c r="AG367" s="44" cm="1">
        <f t="array" ref="AG367">_xll.BDH(AF367,"FUT_AGGTE_OPEN_INT",A367)</f>
        <v>522952</v>
      </c>
      <c r="AH367" s="44">
        <f t="shared" si="190"/>
        <v>52295200</v>
      </c>
      <c r="AI367" s="48">
        <f t="shared" si="191"/>
        <v>0.33386675178601477</v>
      </c>
      <c r="AK367" s="44" cm="1">
        <f t="array" ref="AK367">_xll.BDH("COMXSILV Comdty","PX_Last", N367)</f>
        <v>297850.44</v>
      </c>
      <c r="AL367" s="15" t="str" cm="1">
        <f t="array" ref="AL367">_xll.BDS("SIA Comdty","FUT_CHAIN", "CHAIN_DATE",A367,"endrow=1")</f>
        <v>SIK24 Comdty</v>
      </c>
      <c r="AM367" s="47" cm="1">
        <f t="array" ref="AM367">_xll.BDH(AL367,"FUT_AGGTE_OPEN_INT",A367)</f>
        <v>171371</v>
      </c>
      <c r="AN367" s="45">
        <f t="shared" si="175"/>
        <v>347.60891866185062</v>
      </c>
      <c r="AO367" s="46">
        <f t="shared" si="192"/>
        <v>29785044000</v>
      </c>
      <c r="AP367" s="46">
        <f t="shared" si="193"/>
        <v>856855</v>
      </c>
    </row>
    <row r="368" spans="1:42" x14ac:dyDescent="0.2">
      <c r="A368" s="24">
        <v>45427</v>
      </c>
      <c r="B368" s="16" cm="1">
        <f t="array" ref="B368">_xll.BADDPERIODS(A368, "PER=WD", "NUMBEROFPERIODS=2", "BUSDAYADJ=-2", "CDR=GQ", "CDR=P9")</f>
        <v>45429</v>
      </c>
      <c r="C368" s="15" cm="1">
        <f t="array" ref="C368">_xll.BDH("XAU Curncy","PX_LAST",A368,A368)</f>
        <v>2385.9899999999998</v>
      </c>
      <c r="D368" s="15" t="str" cm="1">
        <f t="array" ref="D368">_xll.BDP("GCM24 Comdty",$M$32)</f>
        <v>03/06/2024</v>
      </c>
      <c r="E368" s="15">
        <f t="shared" si="194"/>
        <v>17</v>
      </c>
      <c r="F368" s="23">
        <v>5.5E-2</v>
      </c>
      <c r="G368" s="28">
        <f t="shared" si="167"/>
        <v>6.196946249999999</v>
      </c>
      <c r="H368" s="12">
        <v>5.8</v>
      </c>
      <c r="I368" s="60">
        <f t="shared" si="168"/>
        <v>-0.39694624999999917</v>
      </c>
      <c r="J368" s="26">
        <v>4</v>
      </c>
      <c r="K368" s="26">
        <v>6</v>
      </c>
      <c r="L368" s="26">
        <v>8</v>
      </c>
      <c r="N368" s="24">
        <v>45427</v>
      </c>
      <c r="O368" s="16" cm="1">
        <f t="array" ref="O368">_xll.BADDPERIODS(N368, "PER=WD", "NUMBEROFPERIODS=2", "BUSDAYADJ=-2", "CDR=GQ", "CDR=P9")</f>
        <v>45429</v>
      </c>
      <c r="P368" s="15" cm="1">
        <f t="array" ref="P368">_xll.BDH("XAG Curncy","PX_LAST",N368,N368)</f>
        <v>29.6739</v>
      </c>
      <c r="Q368" s="15" t="str" cm="1">
        <f t="array" ref="Q368">_xll.BDP("SIN24 Comdty",$M$32)</f>
        <v>01/07/2024</v>
      </c>
      <c r="R368" s="15">
        <f t="shared" si="180"/>
        <v>45</v>
      </c>
      <c r="S368" s="23">
        <v>5.6000000000000001E-2</v>
      </c>
      <c r="T368" s="21">
        <f t="shared" si="181"/>
        <v>0.20771729999999999</v>
      </c>
      <c r="U368" s="12">
        <v>0.255</v>
      </c>
      <c r="V368" s="59">
        <f t="shared" si="182"/>
        <v>4.7282700000000011</v>
      </c>
      <c r="W368" s="15">
        <v>15</v>
      </c>
      <c r="X368" s="15">
        <v>20</v>
      </c>
      <c r="Y368" s="15">
        <v>25</v>
      </c>
      <c r="Z368" s="18">
        <f t="shared" si="183"/>
        <v>20.771729999999998</v>
      </c>
      <c r="AA368" s="18">
        <f t="shared" si="184"/>
        <v>25.5</v>
      </c>
      <c r="AB368" s="18">
        <f t="shared" si="185"/>
        <v>4.7282700000000011</v>
      </c>
      <c r="AE368" s="44" cm="1">
        <f t="array" ref="AE368">_xll.BDH("COMXGOLD Comdty","PX_Last", N368)</f>
        <v>17459628.557999998</v>
      </c>
      <c r="AF368" s="15" t="str" cm="1">
        <f t="array" ref="AF368">_xll.BDS("GCA Comdty","FUT_CHAIN", "CHAIN_DATE",A368,"endrow=1")</f>
        <v>GCK24 Comdty</v>
      </c>
      <c r="AG368" s="44" cm="1">
        <f t="array" ref="AG368">_xll.BDH(AF368,"FUT_AGGTE_OPEN_INT",A368)</f>
        <v>532275</v>
      </c>
      <c r="AH368" s="44">
        <f t="shared" si="190"/>
        <v>53227500</v>
      </c>
      <c r="AI368" s="48">
        <f t="shared" si="191"/>
        <v>0.3280189480625616</v>
      </c>
      <c r="AK368" s="44" cm="1">
        <f t="array" ref="AK368">_xll.BDH("COMXSILV Comdty","PX_Last", N368)</f>
        <v>297838.75</v>
      </c>
      <c r="AL368" s="15" t="str" cm="1">
        <f t="array" ref="AL368">_xll.BDS("SIA Comdty","FUT_CHAIN", "CHAIN_DATE",A368,"endrow=1")</f>
        <v>SIK24 Comdty</v>
      </c>
      <c r="AM368" s="47" cm="1">
        <f t="array" ref="AM368">_xll.BDH(AL368,"FUT_AGGTE_OPEN_INT",A368)</f>
        <v>175409</v>
      </c>
      <c r="AN368" s="45">
        <f t="shared" si="175"/>
        <v>339.59346441744725</v>
      </c>
      <c r="AO368" s="46">
        <f t="shared" si="192"/>
        <v>29783875000</v>
      </c>
      <c r="AP368" s="46">
        <f t="shared" si="193"/>
        <v>877045</v>
      </c>
    </row>
    <row r="369" spans="1:42" x14ac:dyDescent="0.2">
      <c r="A369" s="24">
        <v>45428</v>
      </c>
      <c r="B369" s="16" cm="1">
        <f t="array" ref="B369">_xll.BADDPERIODS(A369, "PER=WD", "NUMBEROFPERIODS=2", "BUSDAYADJ=-2", "CDR=GQ", "CDR=P9")</f>
        <v>45432</v>
      </c>
      <c r="C369" s="15" cm="1">
        <f t="array" ref="C369">_xll.BDH("XAU Curncy","PX_LAST",A369,A369)</f>
        <v>2376.86</v>
      </c>
      <c r="D369" s="15" t="str" cm="1">
        <f t="array" ref="D369">_xll.BDP("GCM24 Comdty",$M$32)</f>
        <v>03/06/2024</v>
      </c>
      <c r="E369" s="15">
        <f t="shared" si="194"/>
        <v>14</v>
      </c>
      <c r="F369" s="23">
        <v>5.5E-2</v>
      </c>
      <c r="G369" s="28">
        <f t="shared" si="167"/>
        <v>5.083839444444445</v>
      </c>
      <c r="H369" s="12">
        <v>4.5999999999999996</v>
      </c>
      <c r="I369" s="60">
        <f t="shared" si="168"/>
        <v>-0.48383944444444538</v>
      </c>
      <c r="J369" s="26">
        <v>4</v>
      </c>
      <c r="K369" s="26">
        <v>6</v>
      </c>
      <c r="L369" s="26">
        <v>8</v>
      </c>
      <c r="N369" s="24">
        <v>45428</v>
      </c>
      <c r="O369" s="16" cm="1">
        <f t="array" ref="O369">_xll.BADDPERIODS(N369, "PER=WD", "NUMBEROFPERIODS=2", "BUSDAYADJ=-2", "CDR=GQ", "CDR=P9")</f>
        <v>45432</v>
      </c>
      <c r="P369" s="15" cm="1">
        <f t="array" ref="P369">_xll.BDH("XAG Curncy","PX_LAST",N369,N369)</f>
        <v>29.575600000000001</v>
      </c>
      <c r="Q369" s="15" t="str" cm="1">
        <f t="array" ref="Q369">_xll.BDP("SIN24 Comdty",$M$32)</f>
        <v>01/07/2024</v>
      </c>
      <c r="R369" s="15">
        <f t="shared" si="180"/>
        <v>42</v>
      </c>
      <c r="S369" s="23">
        <v>5.6500000000000002E-2</v>
      </c>
      <c r="T369" s="21">
        <f>P369*(R369/360)*S369</f>
        <v>0.1949524966666667</v>
      </c>
      <c r="U369" s="12">
        <v>0.25</v>
      </c>
      <c r="V369" s="59">
        <f t="shared" si="182"/>
        <v>5.5047503333333303</v>
      </c>
      <c r="W369" s="15">
        <v>15</v>
      </c>
      <c r="X369" s="15">
        <v>20</v>
      </c>
      <c r="Y369" s="15">
        <v>25</v>
      </c>
      <c r="Z369" s="18">
        <f t="shared" si="183"/>
        <v>19.49524966666667</v>
      </c>
      <c r="AA369" s="18">
        <f t="shared" si="184"/>
        <v>25</v>
      </c>
      <c r="AB369" s="18">
        <f t="shared" si="185"/>
        <v>5.5047503333333303</v>
      </c>
      <c r="AE369" s="44" cm="1">
        <f t="array" ref="AE369">_xll.BDH("COMXGOLD Comdty","PX_Last", N369)</f>
        <v>17459628.557999998</v>
      </c>
      <c r="AF369" s="15" t="str" cm="1">
        <f t="array" ref="AF369">_xll.BDS("GCA Comdty","FUT_CHAIN", "CHAIN_DATE",A369,"endrow=1")</f>
        <v>GCK24 Comdty</v>
      </c>
      <c r="AG369" s="44" cm="1">
        <f t="array" ref="AG369">_xll.BDH(AF369,"FUT_AGGTE_OPEN_INT",A369)</f>
        <v>528847</v>
      </c>
      <c r="AH369" s="44">
        <f t="shared" si="190"/>
        <v>52884700</v>
      </c>
      <c r="AI369" s="48">
        <f t="shared" si="191"/>
        <v>0.33014517540990113</v>
      </c>
      <c r="AK369" s="44" cm="1">
        <f t="array" ref="AK369">_xll.BDH("COMXSILV Comdty","PX_Last", N369)</f>
        <v>297817.38</v>
      </c>
      <c r="AL369" s="15" t="str" cm="1">
        <f t="array" ref="AL369">_xll.BDS("SIA Comdty","FUT_CHAIN", "CHAIN_DATE",A369,"endrow=1")</f>
        <v>SIK24 Comdty</v>
      </c>
      <c r="AM369" s="47" cm="1">
        <f t="array" ref="AM369">_xll.BDH(AL369,"FUT_AGGTE_OPEN_INT",A369)</f>
        <v>178300</v>
      </c>
      <c r="AN369" s="45">
        <f t="shared" si="175"/>
        <v>334.06324172742569</v>
      </c>
      <c r="AO369" s="46">
        <f t="shared" si="192"/>
        <v>29781738000</v>
      </c>
      <c r="AP369" s="46">
        <f t="shared" si="193"/>
        <v>891500</v>
      </c>
    </row>
    <row r="370" spans="1:42" x14ac:dyDescent="0.2">
      <c r="A370" s="24">
        <v>45429</v>
      </c>
      <c r="B370" s="16" cm="1">
        <f t="array" ref="B370">_xll.BADDPERIODS(A370, "PER=WD", "NUMBEROFPERIODS=2", "BUSDAYADJ=-2", "CDR=GQ", "CDR=P9")</f>
        <v>45433</v>
      </c>
      <c r="C370" s="15" cm="1">
        <f t="array" ref="C370">_xll.BDH("XAU Curncy","PX_LAST",A370,A370)</f>
        <v>2415.2199999999998</v>
      </c>
      <c r="D370" s="15" t="str" cm="1">
        <f t="array" ref="D370">_xll.BDP("GCM24 Comdty",$M$32)</f>
        <v>03/06/2024</v>
      </c>
      <c r="E370" s="15">
        <f t="shared" si="194"/>
        <v>13</v>
      </c>
      <c r="F370" s="23">
        <v>5.5E-2</v>
      </c>
      <c r="G370" s="28">
        <f t="shared" si="167"/>
        <v>4.7968952777777769</v>
      </c>
      <c r="H370" s="12">
        <v>4.0999999999999996</v>
      </c>
      <c r="I370" s="60">
        <f t="shared" si="168"/>
        <v>-0.69689527777777727</v>
      </c>
      <c r="J370" s="26">
        <v>4</v>
      </c>
      <c r="K370" s="26">
        <v>6</v>
      </c>
      <c r="L370" s="26">
        <v>8</v>
      </c>
      <c r="N370" s="24">
        <v>45429</v>
      </c>
      <c r="O370" s="16" cm="1">
        <f t="array" ref="O370">_xll.BADDPERIODS(N370, "PER=WD", "NUMBEROFPERIODS=2", "BUSDAYADJ=-2", "CDR=GQ", "CDR=P9")</f>
        <v>45433</v>
      </c>
      <c r="P370" s="15" cm="1">
        <f t="array" ref="P370">_xll.BDH("XAG Curncy","PX_LAST",N370,N370)</f>
        <v>31.492999999999999</v>
      </c>
      <c r="Q370" s="15" t="str" cm="1">
        <f t="array" ref="Q370">_xll.BDP("SIN24 Comdty",$M$32)</f>
        <v>01/07/2024</v>
      </c>
      <c r="R370" s="15">
        <f t="shared" si="180"/>
        <v>41</v>
      </c>
      <c r="S370" s="23">
        <v>5.6500000000000002E-2</v>
      </c>
      <c r="T370" s="21">
        <f>P370*(R370/360)*S370</f>
        <v>0.20264870694444445</v>
      </c>
      <c r="U370" s="12">
        <v>0.23749999999999999</v>
      </c>
      <c r="V370" s="59">
        <f t="shared" si="182"/>
        <v>3.4851293055555539</v>
      </c>
      <c r="W370" s="15">
        <v>15</v>
      </c>
      <c r="X370" s="15">
        <v>20</v>
      </c>
      <c r="Y370" s="15">
        <v>25</v>
      </c>
      <c r="Z370" s="18">
        <f t="shared" si="183"/>
        <v>20.264870694444443</v>
      </c>
      <c r="AA370" s="18">
        <f t="shared" si="184"/>
        <v>23.75</v>
      </c>
      <c r="AB370" s="18">
        <f t="shared" si="185"/>
        <v>3.4851293055555539</v>
      </c>
      <c r="AE370" s="44" cm="1">
        <f t="array" ref="AE370">_xll.BDH("COMXGOLD Comdty","PX_Last", N370)</f>
        <v>17459628.557999998</v>
      </c>
      <c r="AF370" s="15" t="str" cm="1">
        <f t="array" ref="AF370">_xll.BDS("GCA Comdty","FUT_CHAIN", "CHAIN_DATE",A370,"endrow=1")</f>
        <v>GCK24 Comdty</v>
      </c>
      <c r="AG370" s="44" cm="1">
        <f t="array" ref="AG370">_xll.BDH(AF370,"FUT_AGGTE_OPEN_INT",A370)</f>
        <v>538790</v>
      </c>
      <c r="AH370" s="44">
        <f t="shared" si="190"/>
        <v>53879000</v>
      </c>
      <c r="AI370" s="48">
        <f t="shared" si="191"/>
        <v>0.32405257257929804</v>
      </c>
      <c r="AK370" s="44" cm="1">
        <f t="array" ref="AK370">_xll.BDH("COMXSILV Comdty","PX_Last", N370)</f>
        <v>298000.56</v>
      </c>
      <c r="AL370" s="15" t="str" cm="1">
        <f t="array" ref="AL370">_xll.BDS("SIA Comdty","FUT_CHAIN", "CHAIN_DATE",A370,"endrow=1")</f>
        <v>SIK24 Comdty</v>
      </c>
      <c r="AM370" s="47" cm="1">
        <f t="array" ref="AM370">_xll.BDH(AL370,"FUT_AGGTE_OPEN_INT",A370)</f>
        <v>189145</v>
      </c>
      <c r="AN370" s="45">
        <f t="shared" si="175"/>
        <v>315.10276243093921</v>
      </c>
      <c r="AO370" s="46">
        <f t="shared" si="192"/>
        <v>29800056000</v>
      </c>
      <c r="AP370" s="46">
        <f t="shared" si="193"/>
        <v>945725</v>
      </c>
    </row>
    <row r="371" spans="1:42" x14ac:dyDescent="0.2">
      <c r="A371" s="24">
        <v>45432</v>
      </c>
      <c r="B371" s="16" cm="1">
        <f t="array" ref="B371">_xll.BADDPERIODS(A371, "PER=WD", "NUMBEROFPERIODS=2", "BUSDAYADJ=-2", "CDR=GQ", "CDR=P9")</f>
        <v>45434</v>
      </c>
      <c r="C371" s="15" cm="1">
        <f t="array" ref="C371">_xll.BDH("XAU Curncy","PX_LAST",A371,A371)</f>
        <v>2425.31</v>
      </c>
      <c r="D371" s="15" t="str" cm="1">
        <f t="array" ref="D371">_xll.BDP("GCM24 Comdty",$M$32)</f>
        <v>03/06/2024</v>
      </c>
      <c r="E371" s="15">
        <f t="shared" si="194"/>
        <v>12</v>
      </c>
      <c r="F371" s="23">
        <v>5.5E-2</v>
      </c>
      <c r="G371" s="28">
        <f t="shared" si="167"/>
        <v>4.4464016666666666</v>
      </c>
      <c r="H371" s="12">
        <v>4.3</v>
      </c>
      <c r="I371" s="60">
        <f t="shared" si="168"/>
        <v>-0.14640166666666676</v>
      </c>
      <c r="J371" s="26">
        <v>4</v>
      </c>
      <c r="K371" s="26">
        <v>6</v>
      </c>
      <c r="L371" s="26">
        <v>8</v>
      </c>
      <c r="N371" s="24">
        <v>45432</v>
      </c>
      <c r="O371" s="16" cm="1">
        <f t="array" ref="O371">_xll.BADDPERIODS(N371, "PER=WD", "NUMBEROFPERIODS=2", "BUSDAYADJ=-2", "CDR=GQ", "CDR=P9")</f>
        <v>45434</v>
      </c>
      <c r="P371" s="15" cm="1">
        <f t="array" ref="P371">_xll.BDH("XAG Curncy","PX_LAST",N371,N371)</f>
        <v>31.824000000000002</v>
      </c>
      <c r="Q371" s="15" t="str" cm="1">
        <f t="array" ref="Q371">_xll.BDP("SIN24 Comdty",$M$32)</f>
        <v>01/07/2024</v>
      </c>
      <c r="R371" s="15">
        <f t="shared" si="180"/>
        <v>40</v>
      </c>
      <c r="S371" s="23">
        <v>5.6500000000000002E-2</v>
      </c>
      <c r="T371" s="21">
        <f t="shared" si="181"/>
        <v>0.19978400000000002</v>
      </c>
      <c r="U371" s="12">
        <v>0.23</v>
      </c>
      <c r="V371" s="59">
        <f t="shared" si="182"/>
        <v>3.0215999999999994</v>
      </c>
      <c r="W371" s="15">
        <v>15</v>
      </c>
      <c r="X371" s="15">
        <v>20</v>
      </c>
      <c r="Y371" s="15">
        <v>25</v>
      </c>
      <c r="Z371" s="18">
        <f t="shared" si="183"/>
        <v>19.978400000000001</v>
      </c>
      <c r="AA371" s="18">
        <f t="shared" si="184"/>
        <v>23</v>
      </c>
      <c r="AB371" s="18">
        <f t="shared" si="185"/>
        <v>3.0215999999999994</v>
      </c>
      <c r="AE371" s="44" cm="1">
        <f t="array" ref="AE371">_xll.BDH("COMXGOLD Comdty","PX_Last", N371)</f>
        <v>17491289.317000002</v>
      </c>
      <c r="AF371" s="15" t="str" cm="1">
        <f t="array" ref="AF371">_xll.BDS("GCA Comdty","FUT_CHAIN", "CHAIN_DATE",A371,"endrow=1")</f>
        <v>GCK24 Comdty</v>
      </c>
      <c r="AG371" s="44" cm="1">
        <f t="array" ref="AG371">_xll.BDH(AF371,"FUT_AGGTE_OPEN_INT",A371)</f>
        <v>527782</v>
      </c>
      <c r="AH371" s="44">
        <f t="shared" si="190"/>
        <v>52778200</v>
      </c>
      <c r="AI371" s="48">
        <f t="shared" si="191"/>
        <v>0.33141125155840861</v>
      </c>
      <c r="AK371" s="44" cm="1">
        <f t="array" ref="AK371">_xll.BDH("COMXSILV Comdty","PX_Last", N371)</f>
        <v>298385.78000000003</v>
      </c>
      <c r="AL371" s="15" t="str" cm="1">
        <f t="array" ref="AL371">_xll.BDS("SIA Comdty","FUT_CHAIN", "CHAIN_DATE",A371,"endrow=1")</f>
        <v>SIK24 Comdty</v>
      </c>
      <c r="AM371" s="47" cm="1">
        <f t="array" ref="AM371">_xll.BDH(AL371,"FUT_AGGTE_OPEN_INT",A371)</f>
        <v>188345</v>
      </c>
      <c r="AN371" s="45">
        <f t="shared" si="175"/>
        <v>316.85022697708996</v>
      </c>
      <c r="AO371" s="46">
        <f t="shared" si="192"/>
        <v>29838578000.000004</v>
      </c>
      <c r="AP371" s="46">
        <f t="shared" si="193"/>
        <v>941725</v>
      </c>
    </row>
    <row r="372" spans="1:42" x14ac:dyDescent="0.2">
      <c r="A372" s="24">
        <v>45433</v>
      </c>
      <c r="B372" s="16" cm="1">
        <f t="array" ref="B372">_xll.BADDPERIODS(A372, "PER=WD", "NUMBEROFPERIODS=2", "BUSDAYADJ=-2", "CDR=GQ", "CDR=P9")</f>
        <v>45435</v>
      </c>
      <c r="C372" s="15" cm="1">
        <f t="array" ref="C372">_xll.BDH("XAU Curncy","PX_LAST",A372,A372)</f>
        <v>2421.0500000000002</v>
      </c>
      <c r="D372" s="15" t="str" cm="1">
        <f t="array" ref="D372">_xll.BDP("GCM24 Comdty",$M$32)</f>
        <v>03/06/2024</v>
      </c>
      <c r="E372" s="15">
        <f t="shared" si="194"/>
        <v>11</v>
      </c>
      <c r="F372" s="23">
        <v>5.5199999999999999E-2</v>
      </c>
      <c r="G372" s="28">
        <f t="shared" si="167"/>
        <v>4.083504333333333</v>
      </c>
      <c r="H372" s="12">
        <v>3.8</v>
      </c>
      <c r="I372" s="60">
        <f t="shared" si="168"/>
        <v>-0.28350433333333314</v>
      </c>
      <c r="J372" s="26">
        <v>4</v>
      </c>
      <c r="K372" s="26">
        <v>6</v>
      </c>
      <c r="L372" s="26">
        <v>8</v>
      </c>
      <c r="N372" s="24">
        <v>45433</v>
      </c>
      <c r="O372" s="16" cm="1">
        <f t="array" ref="O372">_xll.BADDPERIODS(N372, "PER=WD", "NUMBEROFPERIODS=2", "BUSDAYADJ=-2", "CDR=GQ", "CDR=P9")</f>
        <v>45435</v>
      </c>
      <c r="P372" s="15" cm="1">
        <f t="array" ref="P372">_xll.BDH("XAG Curncy","PX_LAST",N372,N372)</f>
        <v>31.975999999999999</v>
      </c>
      <c r="Q372" s="15" t="str" cm="1">
        <f t="array" ref="Q372">_xll.BDP("SIN24 Comdty",$M$32)</f>
        <v>01/07/2024</v>
      </c>
      <c r="R372" s="15">
        <f t="shared" si="180"/>
        <v>39</v>
      </c>
      <c r="S372" s="23">
        <v>5.6500000000000002E-2</v>
      </c>
      <c r="T372" s="21">
        <f t="shared" si="181"/>
        <v>0.19571976666666668</v>
      </c>
      <c r="U372" s="12">
        <v>0.23499999999999999</v>
      </c>
      <c r="V372" s="59">
        <f t="shared" si="182"/>
        <v>3.9280233333333303</v>
      </c>
      <c r="W372" s="15">
        <v>15</v>
      </c>
      <c r="X372" s="15">
        <v>20</v>
      </c>
      <c r="Y372" s="15">
        <v>25</v>
      </c>
      <c r="Z372" s="18">
        <f t="shared" si="183"/>
        <v>19.571976666666668</v>
      </c>
      <c r="AA372" s="18">
        <f t="shared" si="184"/>
        <v>23.5</v>
      </c>
      <c r="AB372" s="18">
        <f t="shared" si="185"/>
        <v>3.9280233333333303</v>
      </c>
      <c r="AE372" s="44" cm="1">
        <f t="array" ref="AE372">_xll.BDH("COMXGOLD Comdty","PX_Last", N372)</f>
        <v>17491493.866999999</v>
      </c>
      <c r="AF372" s="15" t="str" cm="1">
        <f t="array" ref="AF372">_xll.BDS("GCA Comdty","FUT_CHAIN", "CHAIN_DATE",A372,"endrow=1")</f>
        <v>GCK24 Comdty</v>
      </c>
      <c r="AG372" s="44" cm="1">
        <f t="array" ref="AG372">_xll.BDH(AF372,"FUT_AGGTE_OPEN_INT",A372)</f>
        <v>530591</v>
      </c>
      <c r="AH372" s="44">
        <f t="shared" si="190"/>
        <v>53059100</v>
      </c>
      <c r="AI372" s="48">
        <f t="shared" si="191"/>
        <v>0.32966058351913241</v>
      </c>
      <c r="AK372" s="44" cm="1">
        <f t="array" ref="AK372">_xll.BDH("COMXSILV Comdty","PX_Last", N372)</f>
        <v>297668.21999999997</v>
      </c>
      <c r="AL372" s="15" t="str" cm="1">
        <f t="array" ref="AL372">_xll.BDS("SIA Comdty","FUT_CHAIN", "CHAIN_DATE",A372,"endrow=1")</f>
        <v>SIK24 Comdty</v>
      </c>
      <c r="AM372" s="47" cm="1">
        <f t="array" ref="AM372">_xll.BDH(AL372,"FUT_AGGTE_OPEN_INT",A372)</f>
        <v>186945</v>
      </c>
      <c r="AN372" s="45">
        <f t="shared" si="175"/>
        <v>318.45539597207733</v>
      </c>
      <c r="AO372" s="46">
        <f t="shared" si="192"/>
        <v>29766821999.999996</v>
      </c>
      <c r="AP372" s="46">
        <f t="shared" si="193"/>
        <v>934725</v>
      </c>
    </row>
    <row r="373" spans="1:42" x14ac:dyDescent="0.2">
      <c r="A373" s="24">
        <v>45434</v>
      </c>
      <c r="B373" s="16" cm="1">
        <f t="array" ref="B373">_xll.BADDPERIODS(A373, "PER=WD", "NUMBEROFPERIODS=2", "BUSDAYADJ=-2", "CDR=GQ", "CDR=P9")</f>
        <v>45436</v>
      </c>
      <c r="C373" s="15" cm="1">
        <f t="array" ref="C373">_xll.BDH("XAU Curncy","PX_LAST",A373,A373)</f>
        <v>2378.85</v>
      </c>
      <c r="D373" s="15" t="str" cm="1">
        <f t="array" ref="D373">_xll.BDP("GCM24 Comdty",$M$32)</f>
        <v>03/06/2024</v>
      </c>
      <c r="E373" s="15">
        <f t="shared" si="194"/>
        <v>10</v>
      </c>
      <c r="F373" s="23">
        <v>5.5199999999999999E-2</v>
      </c>
      <c r="G373" s="28">
        <f t="shared" si="167"/>
        <v>3.64757</v>
      </c>
      <c r="H373" s="12">
        <v>3.8</v>
      </c>
      <c r="I373" s="60">
        <f t="shared" si="168"/>
        <v>0.15242999999999984</v>
      </c>
      <c r="J373" s="26">
        <v>4</v>
      </c>
      <c r="K373" s="26">
        <v>6</v>
      </c>
      <c r="L373" s="26">
        <v>8</v>
      </c>
      <c r="N373" s="24">
        <v>45434</v>
      </c>
      <c r="O373" s="16" cm="1">
        <f t="array" ref="O373">_xll.BADDPERIODS(N373, "PER=WD", "NUMBEROFPERIODS=2", "BUSDAYADJ=-2", "CDR=GQ", "CDR=P9")</f>
        <v>45436</v>
      </c>
      <c r="P373" s="15" cm="1">
        <f t="array" ref="P373">_xll.BDH("XAG Curncy","PX_LAST",N373,N373)</f>
        <v>30.790199999999999</v>
      </c>
      <c r="Q373" s="15" t="str" cm="1">
        <f t="array" ref="Q373">_xll.BDP("SIN24 Comdty",$M$32)</f>
        <v>01/07/2024</v>
      </c>
      <c r="R373" s="15">
        <f t="shared" si="180"/>
        <v>38</v>
      </c>
      <c r="S373" s="23">
        <v>5.6500000000000002E-2</v>
      </c>
      <c r="T373" s="21">
        <f t="shared" si="181"/>
        <v>0.18362933166666667</v>
      </c>
      <c r="U373" s="12">
        <v>0.23250000000000001</v>
      </c>
      <c r="V373" s="59">
        <f t="shared" si="182"/>
        <v>4.8870668333333338</v>
      </c>
      <c r="W373" s="15">
        <v>15</v>
      </c>
      <c r="X373" s="15">
        <v>20</v>
      </c>
      <c r="Y373" s="15">
        <v>25</v>
      </c>
      <c r="Z373" s="18">
        <f t="shared" si="183"/>
        <v>18.362933166666668</v>
      </c>
      <c r="AA373" s="18">
        <f t="shared" si="184"/>
        <v>23.25</v>
      </c>
      <c r="AB373" s="18">
        <f t="shared" si="185"/>
        <v>4.8870668333333338</v>
      </c>
      <c r="AE373" s="44" cm="1">
        <f t="array" ref="AE373">_xll.BDH("COMXGOLD Comdty","PX_Last", N373)</f>
        <v>17555512.784000002</v>
      </c>
      <c r="AF373" s="15" t="str" cm="1">
        <f t="array" ref="AF373">_xll.BDS("GCA Comdty","FUT_CHAIN", "CHAIN_DATE",A373,"endrow=1")</f>
        <v>GCK24 Comdty</v>
      </c>
      <c r="AG373" s="44" cm="1">
        <f t="array" ref="AG373">_xll.BDH(AF373,"FUT_AGGTE_OPEN_INT",A373)</f>
        <v>514669</v>
      </c>
      <c r="AH373" s="44">
        <f t="shared" si="190"/>
        <v>51466900</v>
      </c>
      <c r="AI373" s="48">
        <f t="shared" si="191"/>
        <v>0.34110297655386279</v>
      </c>
      <c r="AK373" s="44" cm="1">
        <f t="array" ref="AK373">_xll.BDH("COMXSILV Comdty","PX_Last", N373)</f>
        <v>297746.63</v>
      </c>
      <c r="AL373" s="15" t="str" cm="1">
        <f t="array" ref="AL373">_xll.BDS("SIA Comdty","FUT_CHAIN", "CHAIN_DATE",A373,"endrow=1")</f>
        <v>SIK24 Comdty</v>
      </c>
      <c r="AM373" s="47" cm="1">
        <f t="array" ref="AM373">_xll.BDH(AL373,"FUT_AGGTE_OPEN_INT",A373)</f>
        <v>184912</v>
      </c>
      <c r="AN373" s="45">
        <f t="shared" si="175"/>
        <v>322.04143592627844</v>
      </c>
      <c r="AO373" s="46">
        <f t="shared" si="192"/>
        <v>29774663000</v>
      </c>
      <c r="AP373" s="46">
        <f t="shared" si="193"/>
        <v>924560</v>
      </c>
    </row>
    <row r="374" spans="1:42" x14ac:dyDescent="0.2">
      <c r="A374" s="24">
        <v>45435</v>
      </c>
      <c r="B374" s="16" cm="1">
        <f t="array" ref="B374">_xll.BADDPERIODS(A374, "PER=WD", "NUMBEROFPERIODS=2", "BUSDAYADJ=-2", "CDR=GQ", "CDR=P9")</f>
        <v>45440</v>
      </c>
      <c r="C374" s="15" cm="1">
        <f t="array" ref="C374">_xll.BDH("XAU Curncy","PX_LAST",A374,A374)</f>
        <v>2329.27</v>
      </c>
      <c r="D374" s="15" t="str" cm="1">
        <f t="array" ref="D374">_xll.BDP("GCM24 Comdty",$M$32)</f>
        <v>03/06/2024</v>
      </c>
      <c r="E374" s="15">
        <f t="shared" si="194"/>
        <v>6</v>
      </c>
      <c r="F374" s="23">
        <v>5.5199999999999999E-2</v>
      </c>
      <c r="G374" s="28">
        <f t="shared" si="167"/>
        <v>2.1429283999999997</v>
      </c>
      <c r="H374" s="12">
        <v>1.9</v>
      </c>
      <c r="I374" s="60">
        <f t="shared" si="168"/>
        <v>-0.24292839999999982</v>
      </c>
      <c r="J374" s="26">
        <v>4</v>
      </c>
      <c r="K374" s="26">
        <v>6</v>
      </c>
      <c r="L374" s="26">
        <v>8</v>
      </c>
      <c r="N374" s="24">
        <v>45435</v>
      </c>
      <c r="O374" s="16" cm="1">
        <f t="array" ref="O374">_xll.BADDPERIODS(N374, "PER=WD", "NUMBEROFPERIODS=2", "BUSDAYADJ=-2", "CDR=GQ", "CDR=P9")</f>
        <v>45440</v>
      </c>
      <c r="P374" s="15" cm="1">
        <f t="array" ref="P374">_xll.BDH("XAG Curncy","PX_LAST",N374,N374)</f>
        <v>30.133700000000001</v>
      </c>
      <c r="Q374" s="15" t="str" cm="1">
        <f t="array" ref="Q374">_xll.BDP("SIN24 Comdty",$M$32)</f>
        <v>01/07/2024</v>
      </c>
      <c r="R374" s="15">
        <f t="shared" si="180"/>
        <v>34</v>
      </c>
      <c r="S374" s="23">
        <v>5.6500000000000002E-2</v>
      </c>
      <c r="T374" s="21">
        <f t="shared" si="181"/>
        <v>0.1607967713888889</v>
      </c>
      <c r="U374" s="12">
        <v>0.20749999999999999</v>
      </c>
      <c r="V374" s="59">
        <f t="shared" si="182"/>
        <v>4.6703228611111092</v>
      </c>
      <c r="W374" s="15">
        <v>15</v>
      </c>
      <c r="X374" s="15">
        <v>20</v>
      </c>
      <c r="Y374" s="15">
        <v>25</v>
      </c>
      <c r="Z374" s="18">
        <f t="shared" si="183"/>
        <v>16.07967713888889</v>
      </c>
      <c r="AA374" s="18">
        <f t="shared" si="184"/>
        <v>20.75</v>
      </c>
      <c r="AB374" s="18">
        <f t="shared" si="185"/>
        <v>4.6703228611111092</v>
      </c>
      <c r="AE374" s="44" cm="1">
        <f t="array" ref="AE374">_xll.BDH("COMXGOLD Comdty","PX_Last", N374)</f>
        <v>17563550.534000002</v>
      </c>
      <c r="AF374" s="15" t="str" cm="1">
        <f t="array" ref="AF374">_xll.BDS("GCA Comdty","FUT_CHAIN", "CHAIN_DATE",A374,"endrow=1")</f>
        <v>GCK24 Comdty</v>
      </c>
      <c r="AG374" s="44" cm="1">
        <f t="array" ref="AG374">_xll.BDH(AF374,"FUT_AGGTE_OPEN_INT",A374)</f>
        <v>505665</v>
      </c>
      <c r="AH374" s="44">
        <f t="shared" si="190"/>
        <v>50566500</v>
      </c>
      <c r="AI374" s="48">
        <f t="shared" si="191"/>
        <v>0.34733569723037983</v>
      </c>
      <c r="AK374" s="44" cm="1">
        <f t="array" ref="AK374">_xll.BDH("COMXSILV Comdty","PX_Last", N374)</f>
        <v>298818.75</v>
      </c>
      <c r="AL374" s="15" t="str" cm="1">
        <f t="array" ref="AL374">_xll.BDS("SIA Comdty","FUT_CHAIN", "CHAIN_DATE",A374,"endrow=1")</f>
        <v>SIK24 Comdty</v>
      </c>
      <c r="AM374" s="47" cm="1">
        <f t="array" ref="AM374">_xll.BDH(AL374,"FUT_AGGTE_OPEN_INT",A374)</f>
        <v>184732</v>
      </c>
      <c r="AN374" s="45">
        <f t="shared" si="175"/>
        <v>323.51595825303684</v>
      </c>
      <c r="AO374" s="46">
        <f t="shared" si="192"/>
        <v>29881875000</v>
      </c>
      <c r="AP374" s="46">
        <f t="shared" si="193"/>
        <v>923660</v>
      </c>
    </row>
    <row r="375" spans="1:42" x14ac:dyDescent="0.2">
      <c r="A375" s="24">
        <v>45436</v>
      </c>
      <c r="B375" s="16" cm="1">
        <f t="array" ref="B375">_xll.BADDPERIODS(A375, "PER=WD", "NUMBEROFPERIODS=2", "BUSDAYADJ=-2", "CDR=GQ", "CDR=P9")</f>
        <v>45441</v>
      </c>
      <c r="C375" s="15" cm="1">
        <f t="array" ref="C375">_xll.BDH("XAU Curncy","PX_LAST",A375,A375)</f>
        <v>2333.83</v>
      </c>
      <c r="D375" s="15" t="str" cm="1">
        <f t="array" ref="D375">_xll.BDP("GCM24 Comdty",$M$32)</f>
        <v>03/06/2024</v>
      </c>
      <c r="E375" s="15">
        <f t="shared" si="194"/>
        <v>5</v>
      </c>
      <c r="F375" s="23">
        <v>5.5199999999999999E-2</v>
      </c>
      <c r="G375" s="28">
        <f t="shared" si="167"/>
        <v>1.7892696666666663</v>
      </c>
      <c r="H375" s="12">
        <v>1.5</v>
      </c>
      <c r="I375" s="60">
        <f t="shared" si="168"/>
        <v>-0.28926966666666631</v>
      </c>
      <c r="J375" s="26">
        <v>4</v>
      </c>
      <c r="K375" s="26">
        <v>6</v>
      </c>
      <c r="L375" s="26">
        <v>8</v>
      </c>
      <c r="N375" s="24">
        <v>45436</v>
      </c>
      <c r="O375" s="16" cm="1">
        <f t="array" ref="O375">_xll.BADDPERIODS(N375, "PER=WD", "NUMBEROFPERIODS=2", "BUSDAYADJ=-2", "CDR=GQ", "CDR=P9")</f>
        <v>45441</v>
      </c>
      <c r="P375" s="15" cm="1">
        <f t="array" ref="P375">_xll.BDH("XAG Curncy","PX_LAST",N375,N375)</f>
        <v>30.262</v>
      </c>
      <c r="Q375" s="15" t="str" cm="1">
        <f t="array" ref="Q375">_xll.BDP("SIN24 Comdty",$M$32)</f>
        <v>01/07/2024</v>
      </c>
      <c r="R375" s="15">
        <f t="shared" si="180"/>
        <v>33</v>
      </c>
      <c r="S375" s="23">
        <v>5.6500000000000002E-2</v>
      </c>
      <c r="T375" s="21">
        <f t="shared" si="181"/>
        <v>0.15673194166666665</v>
      </c>
      <c r="U375" s="12">
        <v>0.20499999999999999</v>
      </c>
      <c r="V375" s="59">
        <f t="shared" si="182"/>
        <v>4.8268058333333332</v>
      </c>
      <c r="W375" s="15">
        <v>15</v>
      </c>
      <c r="X375" s="15">
        <v>20</v>
      </c>
      <c r="Y375" s="15">
        <v>25</v>
      </c>
      <c r="Z375" s="18">
        <f t="shared" si="183"/>
        <v>15.673194166666665</v>
      </c>
      <c r="AA375" s="18">
        <f t="shared" si="184"/>
        <v>20.5</v>
      </c>
      <c r="AB375" s="18">
        <f t="shared" si="185"/>
        <v>4.8268058333333332</v>
      </c>
      <c r="AE375" s="44" cm="1">
        <f t="array" ref="AE375">_xll.BDH("COMXGOLD Comdty","PX_Last", N375)</f>
        <v>17563550.534000002</v>
      </c>
      <c r="AF375" s="15" t="str" cm="1">
        <f t="array" ref="AF375">_xll.BDS("GCA Comdty","FUT_CHAIN", "CHAIN_DATE",A375,"endrow=1")</f>
        <v>GCK24 Comdty</v>
      </c>
      <c r="AG375" s="44" cm="1">
        <f t="array" ref="AG375">_xll.BDH(AF375,"FUT_AGGTE_OPEN_INT",A375)</f>
        <v>498000</v>
      </c>
      <c r="AH375" s="44">
        <f t="shared" si="190"/>
        <v>49800000</v>
      </c>
      <c r="AI375" s="48">
        <f t="shared" si="191"/>
        <v>0.35268173763052213</v>
      </c>
      <c r="AK375" s="44" cm="1">
        <f t="array" ref="AK375">_xll.BDH("COMXSILV Comdty","PX_Last", N375)</f>
        <v>298514.88</v>
      </c>
      <c r="AL375" s="15" t="str" cm="1">
        <f t="array" ref="AL375">_xll.BDS("SIA Comdty","FUT_CHAIN", "CHAIN_DATE",A375,"endrow=1")</f>
        <v>SIK24 Comdty</v>
      </c>
      <c r="AM375" s="47" cm="1">
        <f t="array" ref="AM375">_xll.BDH(AL375,"FUT_AGGTE_OPEN_INT",A375)</f>
        <v>186276</v>
      </c>
      <c r="AN375" s="45">
        <f t="shared" si="175"/>
        <v>320.50814919796431</v>
      </c>
      <c r="AO375" s="46">
        <f t="shared" si="192"/>
        <v>29851488000</v>
      </c>
      <c r="AP375" s="46">
        <f t="shared" si="193"/>
        <v>931380</v>
      </c>
    </row>
    <row r="376" spans="1:42" x14ac:dyDescent="0.2">
      <c r="A376" s="24">
        <v>45439</v>
      </c>
      <c r="B376" s="16" cm="1">
        <f t="array" ref="B376">_xll.BADDPERIODS(A376, "PER=WD", "NUMBEROFPERIODS=2", "BUSDAYADJ=-2", "CDR=GQ", "CDR=P9")</f>
        <v>45441</v>
      </c>
      <c r="C376" s="15" cm="1">
        <f t="array" ref="C376">_xll.BDH("XAU Curncy","PX_LAST",A376,A376)</f>
        <v>2350.9699999999998</v>
      </c>
      <c r="D376" s="15" t="str" cm="1">
        <f t="array" ref="D376">_xll.BDP("GCM24 Comdty",$M$32)</f>
        <v>03/06/2024</v>
      </c>
      <c r="E376" s="15">
        <f t="shared" si="194"/>
        <v>5</v>
      </c>
      <c r="F376" s="23">
        <v>5.5199999999999999E-2</v>
      </c>
      <c r="G376" s="28">
        <f t="shared" si="167"/>
        <v>1.802410333333333</v>
      </c>
      <c r="H376" s="12">
        <v>1.4</v>
      </c>
      <c r="I376" s="60">
        <f t="shared" si="168"/>
        <v>-0.40241033333333309</v>
      </c>
      <c r="J376" s="26">
        <v>4</v>
      </c>
      <c r="K376" s="26">
        <v>6</v>
      </c>
      <c r="L376" s="26">
        <v>8</v>
      </c>
      <c r="N376" s="24">
        <v>45439</v>
      </c>
      <c r="O376" s="16" cm="1">
        <f t="array" ref="O376">_xll.BADDPERIODS(N376, "PER=WD", "NUMBEROFPERIODS=2", "BUSDAYADJ=-2", "CDR=GQ", "CDR=P9")</f>
        <v>45441</v>
      </c>
      <c r="P376" s="15" cm="1">
        <f t="array" ref="P376">_xll.BDH("XAG Curncy","PX_LAST",N376,N376)</f>
        <v>31.631</v>
      </c>
      <c r="Q376" s="15" t="str" cm="1">
        <f t="array" ref="Q376">_xll.BDP("SIN24 Comdty",$M$32)</f>
        <v>01/07/2024</v>
      </c>
      <c r="R376" s="15">
        <f t="shared" si="180"/>
        <v>33</v>
      </c>
      <c r="S376" s="23">
        <v>5.6500000000000002E-2</v>
      </c>
      <c r="T376" s="21">
        <f t="shared" si="181"/>
        <v>0.16382222083333334</v>
      </c>
      <c r="U376" s="12">
        <v>0.2</v>
      </c>
      <c r="V376" s="59">
        <f t="shared" si="182"/>
        <v>3.6177779166666673</v>
      </c>
      <c r="W376" s="15">
        <v>15</v>
      </c>
      <c r="X376" s="15">
        <v>20</v>
      </c>
      <c r="Y376" s="15">
        <v>25</v>
      </c>
      <c r="Z376" s="18">
        <f t="shared" si="183"/>
        <v>16.382222083333335</v>
      </c>
      <c r="AA376" s="18">
        <f t="shared" si="184"/>
        <v>20</v>
      </c>
      <c r="AB376" s="18">
        <f t="shared" si="185"/>
        <v>3.6177779166666673</v>
      </c>
      <c r="AE376" s="44">
        <v>17563550.534000002</v>
      </c>
      <c r="AF376" s="15" t="s">
        <v>41</v>
      </c>
      <c r="AG376" s="44">
        <v>498000</v>
      </c>
      <c r="AH376" s="44">
        <v>49800000</v>
      </c>
      <c r="AI376" s="48">
        <v>0.35268173763052213</v>
      </c>
      <c r="AK376" s="44">
        <v>298514.88</v>
      </c>
      <c r="AL376" s="15" t="s">
        <v>42</v>
      </c>
      <c r="AM376" s="47">
        <v>186276</v>
      </c>
      <c r="AN376" s="45">
        <v>320.50814919796431</v>
      </c>
      <c r="AO376" s="46">
        <v>29851488000</v>
      </c>
      <c r="AP376" s="46">
        <v>931380</v>
      </c>
    </row>
    <row r="377" spans="1:42" x14ac:dyDescent="0.2">
      <c r="A377" s="24">
        <v>45440</v>
      </c>
      <c r="B377" s="16" cm="1">
        <f t="array" ref="B377">_xll.BADDPERIODS(A377, "PER=WD", "NUMBEROFPERIODS=2", "BUSDAYADJ=-2", "CDR=GQ", "CDR=P9")</f>
        <v>45442</v>
      </c>
      <c r="C377" s="15" cm="1">
        <f t="array" ref="C377">_xll.BDH("XAU Curncy","PX_LAST",A377,A377)</f>
        <v>2361.31</v>
      </c>
      <c r="D377" s="15" t="str" cm="1">
        <f t="array" ref="D377">_xll.BDP("GCM24 Comdty",$M$32)</f>
        <v>03/06/2024</v>
      </c>
      <c r="E377" s="15">
        <f t="shared" si="194"/>
        <v>4</v>
      </c>
      <c r="F377" s="23">
        <v>5.5199999999999999E-2</v>
      </c>
      <c r="G377" s="28">
        <f t="shared" si="167"/>
        <v>1.4482701333333334</v>
      </c>
      <c r="H377" s="12">
        <v>0.9</v>
      </c>
      <c r="I377" s="60">
        <f t="shared" si="168"/>
        <v>-0.54827013333333341</v>
      </c>
      <c r="J377" s="26">
        <v>4</v>
      </c>
      <c r="K377" s="26">
        <v>6</v>
      </c>
      <c r="L377" s="26">
        <v>8</v>
      </c>
      <c r="N377" s="24">
        <v>45440</v>
      </c>
      <c r="O377" s="16" cm="1">
        <f t="array" ref="O377">_xll.BADDPERIODS(N377, "PER=WD", "NUMBEROFPERIODS=2", "BUSDAYADJ=-2", "CDR=GQ", "CDR=P9")</f>
        <v>45442</v>
      </c>
      <c r="P377" s="15" cm="1">
        <f t="array" ref="P377">_xll.BDH("XAG Curncy","PX_LAST",N377,N377)</f>
        <v>32.104500000000002</v>
      </c>
      <c r="Q377" s="15" t="str" cm="1">
        <f t="array" ref="Q377">_xll.BDP("SIN24 Comdty",$M$32)</f>
        <v>01/07/2024</v>
      </c>
      <c r="R377" s="15">
        <f t="shared" si="180"/>
        <v>32</v>
      </c>
      <c r="S377" s="23">
        <v>5.6500000000000002E-2</v>
      </c>
      <c r="T377" s="21">
        <f t="shared" si="181"/>
        <v>0.16123593333333333</v>
      </c>
      <c r="U377" s="12">
        <v>0.20250000000000001</v>
      </c>
      <c r="V377" s="59">
        <f t="shared" si="182"/>
        <v>4.1264066666666679</v>
      </c>
      <c r="W377" s="15">
        <v>15</v>
      </c>
      <c r="X377" s="15">
        <v>20</v>
      </c>
      <c r="Y377" s="15">
        <v>25</v>
      </c>
      <c r="Z377" s="18">
        <f t="shared" si="183"/>
        <v>16.123593333333332</v>
      </c>
      <c r="AA377" s="18">
        <f t="shared" si="184"/>
        <v>20.25</v>
      </c>
      <c r="AB377" s="18">
        <f t="shared" si="185"/>
        <v>4.1264066666666679</v>
      </c>
      <c r="AE377" s="44" cm="1">
        <f t="array" ref="AE377">_xll.BDH("COMXGOLD Comdty","PX_Last", N377)</f>
        <v>17577077.684999999</v>
      </c>
      <c r="AF377" s="15" t="str" cm="1">
        <f t="array" ref="AF377">_xll.BDS("GCA Comdty","FUT_CHAIN", "CHAIN_DATE",A377,"endrow=1")</f>
        <v>GCK24 Comdty</v>
      </c>
      <c r="AG377" s="44" cm="1">
        <f t="array" ref="AG377">_xll.BDH(AF377,"FUT_AGGTE_OPEN_INT",A377)</f>
        <v>485430</v>
      </c>
      <c r="AH377" s="44">
        <f t="shared" si="190"/>
        <v>48543000</v>
      </c>
      <c r="AI377" s="48">
        <f t="shared" si="191"/>
        <v>0.3620929420307768</v>
      </c>
      <c r="AK377" s="44" cm="1">
        <f t="array" ref="AK377">_xll.BDH("COMXSILV Comdty","PX_Last", N377)</f>
        <v>299048.03000000003</v>
      </c>
      <c r="AL377" s="15" t="str" cm="1">
        <f t="array" ref="AL377">_xll.BDS("SIA Comdty","FUT_CHAIN", "CHAIN_DATE",A377,"endrow=1")</f>
        <v>SIK24 Comdty</v>
      </c>
      <c r="AM377" s="47" cm="1">
        <f t="array" ref="AM377">_xll.BDH(AL377,"FUT_AGGTE_OPEN_INT",A377)</f>
        <v>184846</v>
      </c>
      <c r="AN377" s="45">
        <f t="shared" si="175"/>
        <v>323.56451316230812</v>
      </c>
      <c r="AO377" s="46">
        <f t="shared" si="192"/>
        <v>29904803000.000004</v>
      </c>
      <c r="AP377" s="46">
        <f t="shared" si="193"/>
        <v>924230</v>
      </c>
    </row>
    <row r="378" spans="1:42" x14ac:dyDescent="0.2">
      <c r="A378" s="24">
        <v>45441</v>
      </c>
      <c r="B378" s="16" cm="1">
        <f t="array" ref="B378">_xll.BADDPERIODS(A378, "PER=WD", "NUMBEROFPERIODS=2", "BUSDAYADJ=-2", "CDR=GQ", "CDR=P9")</f>
        <v>45443</v>
      </c>
      <c r="C378" s="15" cm="1">
        <f t="array" ref="C378">_xll.BDH("XAU Curncy","PX_LAST",A378,A378)</f>
        <v>2338.12</v>
      </c>
      <c r="D378" s="15" t="str" cm="1">
        <f t="array" ref="D378">_xll.BDP("GCM24 Comdty",$M$32)</f>
        <v>03/06/2024</v>
      </c>
      <c r="E378" s="15">
        <f t="shared" si="194"/>
        <v>3</v>
      </c>
      <c r="F378" s="23">
        <v>5.5199999999999999E-2</v>
      </c>
      <c r="G378" s="28">
        <f t="shared" si="167"/>
        <v>1.0755351999999998</v>
      </c>
      <c r="H378" s="12">
        <v>0.9</v>
      </c>
      <c r="I378" s="60">
        <f t="shared" si="168"/>
        <v>-0.17553519999999978</v>
      </c>
      <c r="J378" s="26">
        <v>4</v>
      </c>
      <c r="K378" s="26">
        <v>6</v>
      </c>
      <c r="L378" s="26">
        <v>8</v>
      </c>
      <c r="N378" s="24">
        <v>45441</v>
      </c>
      <c r="O378" s="16" cm="1">
        <f t="array" ref="O378">_xll.BADDPERIODS(N378, "PER=WD", "NUMBEROFPERIODS=2", "BUSDAYADJ=-2", "CDR=GQ", "CDR=P9")</f>
        <v>45443</v>
      </c>
      <c r="P378" s="15" cm="1">
        <f t="array" ref="P378">_xll.BDH("XAG Curncy","PX_LAST",N378,N378)</f>
        <v>31.975999999999999</v>
      </c>
      <c r="Q378" s="15" t="str" cm="1">
        <f t="array" ref="Q378">_xll.BDP("SIN24 Comdty",$M$32)</f>
        <v>01/07/2024</v>
      </c>
      <c r="R378" s="15">
        <f t="shared" si="180"/>
        <v>31</v>
      </c>
      <c r="S378" s="23">
        <v>5.6500000000000002E-2</v>
      </c>
      <c r="T378" s="21">
        <f t="shared" si="181"/>
        <v>0.15557212222222222</v>
      </c>
      <c r="U378" s="12">
        <v>0.20250000000000001</v>
      </c>
      <c r="V378" s="59">
        <f t="shared" si="182"/>
        <v>4.6927877777777791</v>
      </c>
      <c r="W378" s="15">
        <v>15</v>
      </c>
      <c r="X378" s="15">
        <v>20</v>
      </c>
      <c r="Y378" s="15">
        <v>25</v>
      </c>
      <c r="Z378" s="18">
        <f t="shared" si="183"/>
        <v>15.557212222222223</v>
      </c>
      <c r="AA378" s="18">
        <f t="shared" si="184"/>
        <v>20.25</v>
      </c>
      <c r="AB378" s="18">
        <f t="shared" si="185"/>
        <v>4.6927877777777791</v>
      </c>
      <c r="AE378" s="44" cm="1">
        <f t="array" ref="AE378">_xll.BDH("COMXGOLD Comdty","PX_Last", N378)</f>
        <v>17609473.363000002</v>
      </c>
      <c r="AF378" s="15" t="str" cm="1">
        <f t="array" ref="AF378">_xll.BDS("GCA Comdty","FUT_CHAIN", "CHAIN_DATE",A378,"endrow=1")</f>
        <v>GCK24 Comdty</v>
      </c>
      <c r="AG378" s="44" cm="1">
        <f t="array" ref="AG378">_xll.BDH(AF378,"FUT_AGGTE_OPEN_INT",A378)</f>
        <v>475191</v>
      </c>
      <c r="AH378" s="44">
        <f t="shared" si="190"/>
        <v>47519100</v>
      </c>
      <c r="AI378" s="48">
        <f t="shared" si="191"/>
        <v>0.37057674415129921</v>
      </c>
      <c r="AK378" s="44" cm="1">
        <f t="array" ref="AK378">_xll.BDH("COMXSILV Comdty","PX_Last", N378)</f>
        <v>298467.69</v>
      </c>
      <c r="AL378" s="15" t="str" cm="1">
        <f t="array" ref="AL378">_xll.BDS("SIA Comdty","FUT_CHAIN", "CHAIN_DATE",A378,"endrow=1")</f>
        <v>SIK24 Comdty</v>
      </c>
      <c r="AM378" s="47" cm="1">
        <f t="array" ref="AM378">_xll.BDH(AL378,"FUT_AGGTE_OPEN_INT",A378)</f>
        <v>186877</v>
      </c>
      <c r="AN378" s="45">
        <f t="shared" si="175"/>
        <v>319.42688506343745</v>
      </c>
      <c r="AO378" s="46">
        <f t="shared" si="192"/>
        <v>29846769000</v>
      </c>
      <c r="AP378" s="46">
        <f t="shared" si="193"/>
        <v>934385</v>
      </c>
    </row>
    <row r="379" spans="1:42" x14ac:dyDescent="0.2">
      <c r="A379" s="24">
        <v>45442</v>
      </c>
      <c r="B379" s="16" cm="1">
        <f t="array" ref="B379">_xll.BADDPERIODS(A379, "PER=WD", "NUMBEROFPERIODS=2", "BUSDAYADJ=-2", "CDR=GQ", "CDR=P9")</f>
        <v>45446</v>
      </c>
      <c r="C379" s="15" cm="1">
        <f t="array" ref="C379">_xll.BDH("XAU Curncy","PX_LAST",A379,A379)</f>
        <v>2343.0700000000002</v>
      </c>
      <c r="D379" s="15" t="str" cm="1">
        <f t="array" ref="D379">_xll.BDP("GCQ24 Comdty",$M$32)</f>
        <v>01/08/2024</v>
      </c>
      <c r="E379" s="15">
        <f t="shared" si="194"/>
        <v>59</v>
      </c>
      <c r="F379" s="23">
        <v>5.5199999999999999E-2</v>
      </c>
      <c r="G379" s="28">
        <f t="shared" si="167"/>
        <v>21.196973266666671</v>
      </c>
      <c r="H379" s="12">
        <v>21.4</v>
      </c>
      <c r="I379" s="60">
        <f t="shared" si="168"/>
        <v>0.20302673333332777</v>
      </c>
      <c r="J379" s="26">
        <v>4</v>
      </c>
      <c r="K379" s="26">
        <v>6</v>
      </c>
      <c r="L379" s="26">
        <v>8</v>
      </c>
      <c r="N379" s="24">
        <v>45442</v>
      </c>
      <c r="O379" s="16" cm="1">
        <f t="array" ref="O379">_xll.BADDPERIODS(N379, "PER=WD", "NUMBEROFPERIODS=2", "BUSDAYADJ=-2", "CDR=GQ", "CDR=P9")</f>
        <v>45446</v>
      </c>
      <c r="P379" s="15" cm="1">
        <f t="array" ref="P379">_xll.BDH("XAG Curncy","PX_LAST",N379,N379)</f>
        <v>31.173200000000001</v>
      </c>
      <c r="Q379" s="15" t="str" cm="1">
        <f t="array" ref="Q379">_xll.BDP("SIN24 Comdty",$M$32)</f>
        <v>01/07/2024</v>
      </c>
      <c r="R379" s="15">
        <f t="shared" si="180"/>
        <v>28</v>
      </c>
      <c r="S379" s="23">
        <v>5.6500000000000002E-2</v>
      </c>
      <c r="T379" s="21">
        <f t="shared" si="181"/>
        <v>0.13698889555555557</v>
      </c>
      <c r="U379" s="12">
        <v>0.1875</v>
      </c>
      <c r="V379" s="59">
        <f t="shared" si="182"/>
        <v>5.0511104444444426</v>
      </c>
      <c r="W379" s="15">
        <v>15</v>
      </c>
      <c r="X379" s="15">
        <v>20</v>
      </c>
      <c r="Y379" s="15">
        <v>25</v>
      </c>
      <c r="Z379" s="18">
        <f t="shared" si="183"/>
        <v>13.698889555555557</v>
      </c>
      <c r="AA379" s="18">
        <f t="shared" si="184"/>
        <v>18.75</v>
      </c>
      <c r="AB379" s="18">
        <f t="shared" si="185"/>
        <v>5.0511104444444426</v>
      </c>
      <c r="AE379" s="44" cm="1">
        <f t="array" ref="AE379">_xll.BDH("COMXGOLD Comdty","PX_Last", N379)</f>
        <v>17641822.252999999</v>
      </c>
      <c r="AF379" s="15" t="str" cm="1">
        <f t="array" ref="AF379">_xll.BDS("GCA Comdty","FUT_CHAIN", "CHAIN_DATE",A379,"endrow=1")</f>
        <v>GCM24 Comdty</v>
      </c>
      <c r="AG379" s="44" cm="1">
        <f t="array" ref="AG379">_xll.BDH(AF379,"FUT_AGGTE_OPEN_INT",A379)</f>
        <v>480039</v>
      </c>
      <c r="AH379" s="44">
        <f t="shared" si="190"/>
        <v>48003900</v>
      </c>
      <c r="AI379" s="48">
        <f t="shared" si="191"/>
        <v>0.36750810357075153</v>
      </c>
      <c r="AK379" s="44" cm="1">
        <f t="array" ref="AK379">_xll.BDH("COMXSILV Comdty","PX_Last", N379)</f>
        <v>297910.46999999997</v>
      </c>
      <c r="AL379" s="15" t="str" cm="1">
        <f t="array" ref="AL379">_xll.BDS("SIA Comdty","FUT_CHAIN", "CHAIN_DATE",A379,"endrow=1")</f>
        <v>SIM24 Comdty</v>
      </c>
      <c r="AM379" s="47" cm="1">
        <f t="array" ref="AM379">_xll.BDH(AL379,"FUT_AGGTE_OPEN_INT",A379)</f>
        <v>184465</v>
      </c>
      <c r="AN379" s="45">
        <f t="shared" si="175"/>
        <v>322.99945247065835</v>
      </c>
      <c r="AO379" s="46">
        <f t="shared" si="192"/>
        <v>29791046999.999996</v>
      </c>
      <c r="AP379" s="46">
        <f t="shared" si="193"/>
        <v>922325</v>
      </c>
    </row>
    <row r="380" spans="1:42" x14ac:dyDescent="0.2">
      <c r="A380" s="24">
        <v>45443</v>
      </c>
      <c r="B380" s="16" cm="1">
        <f t="array" ref="B380">_xll.BADDPERIODS(A380, "PER=WD", "NUMBEROFPERIODS=2", "BUSDAYADJ=-2", "CDR=GQ", "CDR=P9")</f>
        <v>45447</v>
      </c>
      <c r="C380" s="15" cm="1">
        <f t="array" ref="C380">_xll.BDH("XAU Curncy","PX_LAST",A380,A380)</f>
        <v>2327.33</v>
      </c>
      <c r="D380" s="15" t="str" cm="1">
        <f t="array" ref="D380">_xll.BDP("GCQ24 Comdty",$M$32)</f>
        <v>01/08/2024</v>
      </c>
      <c r="E380" s="15">
        <f t="shared" si="194"/>
        <v>58</v>
      </c>
      <c r="F380" s="23">
        <v>5.5199999999999999E-2</v>
      </c>
      <c r="G380" s="28">
        <f t="shared" si="167"/>
        <v>20.697721466666664</v>
      </c>
      <c r="H380" s="12">
        <v>21.3</v>
      </c>
      <c r="I380" s="60">
        <f t="shared" si="168"/>
        <v>0.6022785333333367</v>
      </c>
      <c r="J380" s="26">
        <v>4</v>
      </c>
      <c r="K380" s="26">
        <v>6</v>
      </c>
      <c r="L380" s="26">
        <v>8</v>
      </c>
      <c r="N380" s="24">
        <v>45443</v>
      </c>
      <c r="O380" s="16" cm="1">
        <f t="array" ref="O380">_xll.BADDPERIODS(N380, "PER=WD", "NUMBEROFPERIODS=2", "BUSDAYADJ=-2", "CDR=GQ", "CDR=P9")</f>
        <v>45447</v>
      </c>
      <c r="P380" s="15" cm="1">
        <f t="array" ref="P380">_xll.BDH("XAG Curncy","PX_LAST",N380,N380)</f>
        <v>30.408300000000001</v>
      </c>
      <c r="Q380" s="15" t="str" cm="1">
        <f t="array" ref="Q380">_xll.BDP("SIN24 Comdty",$M$32)</f>
        <v>01/07/2024</v>
      </c>
      <c r="R380" s="15">
        <f t="shared" si="180"/>
        <v>27</v>
      </c>
      <c r="S380" s="23">
        <v>5.6500000000000002E-2</v>
      </c>
      <c r="T380" s="21">
        <f t="shared" si="181"/>
        <v>0.12885517124999998</v>
      </c>
      <c r="U380" s="12">
        <v>0.16750000000000001</v>
      </c>
      <c r="V380" s="59">
        <f t="shared" si="182"/>
        <v>3.8644828750000029</v>
      </c>
      <c r="W380" s="15">
        <v>15</v>
      </c>
      <c r="X380" s="15">
        <v>20</v>
      </c>
      <c r="Y380" s="15">
        <v>25</v>
      </c>
      <c r="Z380" s="18">
        <f t="shared" si="183"/>
        <v>12.885517124999998</v>
      </c>
      <c r="AA380" s="18">
        <f t="shared" si="184"/>
        <v>16.75</v>
      </c>
      <c r="AB380" s="18">
        <f t="shared" si="185"/>
        <v>3.8644828750000029</v>
      </c>
      <c r="AE380" s="44" cm="1">
        <f t="array" ref="AE380">_xll.BDH("COMXGOLD Comdty","PX_Last", N380)</f>
        <v>17673552.188999999</v>
      </c>
      <c r="AF380" s="15" t="str" cm="1">
        <f t="array" ref="AF380">_xll.BDS("GCA Comdty","FUT_CHAIN", "CHAIN_DATE",A380,"endrow=1")</f>
        <v>GCM24 Comdty</v>
      </c>
      <c r="AG380" s="44" cm="1">
        <f t="array" ref="AG380">_xll.BDH(AF380,"FUT_AGGTE_OPEN_INT",A380)</f>
        <v>459251</v>
      </c>
      <c r="AH380" s="44">
        <f t="shared" ref="AH380:AH384" si="195">AG380*$AG$17</f>
        <v>45925100</v>
      </c>
      <c r="AI380" s="48">
        <f t="shared" ref="AI380:AI384" si="196">AE380/AH380</f>
        <v>0.38483426686060562</v>
      </c>
      <c r="AK380" s="44" cm="1">
        <f t="array" ref="AK380">_xll.BDH("COMXSILV Comdty","PX_Last", N380)</f>
        <v>297588.56</v>
      </c>
      <c r="AL380" s="15" t="str" cm="1">
        <f t="array" ref="AL380">_xll.BDS("SIA Comdty","FUT_CHAIN", "CHAIN_DATE",A380,"endrow=1")</f>
        <v>SIM24 Comdty</v>
      </c>
      <c r="AM380" s="47" cm="1">
        <f t="array" ref="AM380">_xll.BDH(AL380,"FUT_AGGTE_OPEN_INT",A380)</f>
        <v>180434</v>
      </c>
      <c r="AN380" s="45">
        <f t="shared" ref="AN380:AN384" si="197">(AO380/AP380)/100</f>
        <v>329.85862974827359</v>
      </c>
      <c r="AO380" s="46">
        <f t="shared" ref="AO380:AO384" si="198">AK380*100000</f>
        <v>29758856000</v>
      </c>
      <c r="AP380" s="46">
        <f t="shared" ref="AP380:AP384" si="199">(AM380*5000)/1000</f>
        <v>902170</v>
      </c>
    </row>
    <row r="381" spans="1:42" x14ac:dyDescent="0.2">
      <c r="A381" s="24">
        <v>45446</v>
      </c>
      <c r="B381" s="16" cm="1">
        <f t="array" ref="B381">_xll.BADDPERIODS(A381, "PER=WD", "NUMBEROFPERIODS=2", "BUSDAYADJ=-2", "CDR=GQ", "CDR=P9")</f>
        <v>45448</v>
      </c>
      <c r="C381" s="15" cm="1">
        <f t="array" ref="C381">_xll.BDH("XAU Curncy","PX_LAST",A381,A381)</f>
        <v>2350.75</v>
      </c>
      <c r="D381" s="15" t="str" cm="1">
        <f t="array" ref="D381">_xll.BDP("GCQ24 Comdty",$M$32)</f>
        <v>01/08/2024</v>
      </c>
      <c r="E381" s="15">
        <f t="shared" si="194"/>
        <v>57</v>
      </c>
      <c r="F381" s="23">
        <v>5.5199999999999999E-2</v>
      </c>
      <c r="G381" s="28">
        <f t="shared" si="167"/>
        <v>20.545554999999997</v>
      </c>
      <c r="H381" s="12">
        <v>20.5</v>
      </c>
      <c r="I381" s="61">
        <f t="shared" si="168"/>
        <v>-4.5554999999996681E-2</v>
      </c>
      <c r="J381" s="26">
        <v>4</v>
      </c>
      <c r="K381" s="26">
        <v>6</v>
      </c>
      <c r="L381" s="26">
        <v>8</v>
      </c>
      <c r="N381" s="24">
        <v>45446</v>
      </c>
      <c r="O381" s="16" cm="1">
        <f t="array" ref="O381">_xll.BADDPERIODS(N381, "PER=WD", "NUMBEROFPERIODS=2", "BUSDAYADJ=-2", "CDR=GQ", "CDR=P9")</f>
        <v>45448</v>
      </c>
      <c r="P381" s="15" cm="1">
        <f t="array" ref="P381">_xll.BDH("XAG Curncy","PX_LAST",N381,N381)</f>
        <v>30.7347</v>
      </c>
      <c r="Q381" s="15" t="str" cm="1">
        <f t="array" ref="Q381">_xll.BDP("SIN24 Comdty",$M$32)</f>
        <v>01/07/2024</v>
      </c>
      <c r="R381" s="15">
        <f t="shared" ref="R381:R444" si="200">_xlfn.DAYS(Q381,O381)</f>
        <v>26</v>
      </c>
      <c r="S381" s="23">
        <v>5.6500000000000002E-2</v>
      </c>
      <c r="T381" s="21">
        <f t="shared" si="181"/>
        <v>0.12541465083333334</v>
      </c>
      <c r="U381" s="12">
        <v>0.14499999999999999</v>
      </c>
      <c r="V381" s="62">
        <f t="shared" si="182"/>
        <v>1.9585349166666655</v>
      </c>
      <c r="W381" s="15">
        <v>15</v>
      </c>
      <c r="X381" s="15">
        <v>20</v>
      </c>
      <c r="Y381" s="15">
        <v>25</v>
      </c>
      <c r="Z381" s="18">
        <f t="shared" si="183"/>
        <v>12.541465083333334</v>
      </c>
      <c r="AA381" s="18">
        <f t="shared" si="184"/>
        <v>14.499999999999998</v>
      </c>
      <c r="AB381" s="18">
        <f t="shared" si="185"/>
        <v>1.9585349166666655</v>
      </c>
      <c r="AE381" s="44" cm="1">
        <f t="array" ref="AE381">_xll.BDH("COMXGOLD Comdty","PX_Last", N381)</f>
        <v>17673584.34</v>
      </c>
      <c r="AF381" s="15" t="str" cm="1">
        <f t="array" ref="AF381">_xll.BDS("GCA Comdty","FUT_CHAIN", "CHAIN_DATE",A381,"endrow=1")</f>
        <v>GCM24 Comdty</v>
      </c>
      <c r="AG381" s="44" cm="1">
        <f t="array" ref="AG381">_xll.BDH(AF381,"FUT_AGGTE_OPEN_INT",A381)</f>
        <v>455086</v>
      </c>
      <c r="AH381" s="44">
        <f t="shared" si="195"/>
        <v>45508600</v>
      </c>
      <c r="AI381" s="48">
        <f t="shared" si="196"/>
        <v>0.38835702131025784</v>
      </c>
      <c r="AK381" s="44" cm="1">
        <f t="array" ref="AK381">_xll.BDH("COMXSILV Comdty","PX_Last", N381)</f>
        <v>298751.53000000003</v>
      </c>
      <c r="AL381" s="15" t="str" cm="1">
        <f t="array" ref="AL381">_xll.BDS("SIA Comdty","FUT_CHAIN", "CHAIN_DATE",A381,"endrow=1")</f>
        <v>SIM24 Comdty</v>
      </c>
      <c r="AM381" s="47" cm="1">
        <f t="array" ref="AM381">_xll.BDH(AL381,"FUT_AGGTE_OPEN_INT",A381)</f>
        <v>181898</v>
      </c>
      <c r="AN381" s="45">
        <f t="shared" si="197"/>
        <v>328.48247919163492</v>
      </c>
      <c r="AO381" s="46">
        <f t="shared" si="198"/>
        <v>29875153000.000004</v>
      </c>
      <c r="AP381" s="46">
        <f t="shared" si="199"/>
        <v>909490</v>
      </c>
    </row>
    <row r="382" spans="1:42" x14ac:dyDescent="0.2">
      <c r="A382" s="24">
        <v>45447</v>
      </c>
      <c r="B382" s="16" cm="1">
        <f t="array" ref="B382">_xll.BADDPERIODS(A382, "PER=WD", "NUMBEROFPERIODS=2", "BUSDAYADJ=-2", "CDR=GQ", "CDR=P9")</f>
        <v>45449</v>
      </c>
      <c r="C382" s="15" cm="1">
        <f t="array" ref="C382">_xll.BDH("XAU Curncy","PX_LAST",A382,A382)</f>
        <v>2327.0100000000002</v>
      </c>
      <c r="D382" s="15" t="str" cm="1">
        <f t="array" ref="D382">_xll.BDP("GCQ24 Comdty",$M$32)</f>
        <v>01/08/2024</v>
      </c>
      <c r="E382" s="15">
        <f t="shared" si="194"/>
        <v>56</v>
      </c>
      <c r="F382" s="23">
        <v>5.5199999999999999E-2</v>
      </c>
      <c r="G382" s="28">
        <f t="shared" si="167"/>
        <v>19.981259200000004</v>
      </c>
      <c r="H382" s="12">
        <v>20.100000000000001</v>
      </c>
      <c r="I382" s="61">
        <f t="shared" si="168"/>
        <v>0.11874079999999765</v>
      </c>
      <c r="J382" s="26">
        <v>4</v>
      </c>
      <c r="K382" s="26">
        <v>6</v>
      </c>
      <c r="L382" s="26">
        <v>8</v>
      </c>
      <c r="N382" s="24">
        <v>45447</v>
      </c>
      <c r="O382" s="16" cm="1">
        <f t="array" ref="O382">_xll.BADDPERIODS(N382, "PER=WD", "NUMBEROFPERIODS=2", "BUSDAYADJ=-2", "CDR=GQ", "CDR=P9")</f>
        <v>45449</v>
      </c>
      <c r="P382" s="15" cm="1">
        <f t="array" ref="P382">_xll.BDH("XAG Curncy","PX_LAST",N382,N382)</f>
        <v>29.497699999999998</v>
      </c>
      <c r="Q382" s="15" t="str" cm="1">
        <f t="array" ref="Q382">_xll.BDP("SIN24 Comdty",$M$32)</f>
        <v>01/07/2024</v>
      </c>
      <c r="R382" s="15">
        <f t="shared" si="200"/>
        <v>25</v>
      </c>
      <c r="S382" s="23">
        <v>5.6500000000000002E-2</v>
      </c>
      <c r="T382" s="21">
        <f t="shared" si="181"/>
        <v>0.11573750347222221</v>
      </c>
      <c r="U382" s="12">
        <v>0.14000000000000001</v>
      </c>
      <c r="V382" s="62">
        <f t="shared" si="182"/>
        <v>2.4262496527777802</v>
      </c>
      <c r="W382" s="15">
        <v>15</v>
      </c>
      <c r="X382" s="15">
        <v>20</v>
      </c>
      <c r="Y382" s="15">
        <v>25</v>
      </c>
      <c r="Z382" s="18">
        <f t="shared" si="183"/>
        <v>11.573750347222221</v>
      </c>
      <c r="AA382" s="18">
        <f t="shared" si="184"/>
        <v>14.000000000000002</v>
      </c>
      <c r="AB382" s="18">
        <f t="shared" si="185"/>
        <v>2.4262496527777802</v>
      </c>
      <c r="AE382" s="44" cm="1">
        <f t="array" ref="AE382">_xll.BDH("COMXGOLD Comdty","PX_Last", N382)</f>
        <v>17673584.34</v>
      </c>
      <c r="AF382" s="15" t="str" cm="1">
        <f t="array" ref="AF382">_xll.BDS("GCA Comdty","FUT_CHAIN", "CHAIN_DATE",A382,"endrow=1")</f>
        <v>GCM24 Comdty</v>
      </c>
      <c r="AG382" s="44" cm="1">
        <f t="array" ref="AG382">_xll.BDH(AF382,"FUT_AGGTE_OPEN_INT",A382)</f>
        <v>447488</v>
      </c>
      <c r="AH382" s="44">
        <f t="shared" si="195"/>
        <v>44748800</v>
      </c>
      <c r="AI382" s="48">
        <f t="shared" si="196"/>
        <v>0.39495102304419338</v>
      </c>
      <c r="AK382" s="44" cm="1">
        <f t="array" ref="AK382">_xll.BDH("COMXSILV Comdty","PX_Last", N382)</f>
        <v>298167.59000000003</v>
      </c>
      <c r="AL382" s="15" t="str" cm="1">
        <f t="array" ref="AL382">_xll.BDS("SIA Comdty","FUT_CHAIN", "CHAIN_DATE",A382,"endrow=1")</f>
        <v>SIM24 Comdty</v>
      </c>
      <c r="AM382" s="47" cm="1">
        <f t="array" ref="AM382">_xll.BDH(AL382,"FUT_AGGTE_OPEN_INT",A382)</f>
        <v>179854</v>
      </c>
      <c r="AN382" s="45">
        <f t="shared" si="197"/>
        <v>331.56625929920943</v>
      </c>
      <c r="AO382" s="46">
        <f t="shared" si="198"/>
        <v>29816759000.000004</v>
      </c>
      <c r="AP382" s="46">
        <f t="shared" si="199"/>
        <v>899270</v>
      </c>
    </row>
    <row r="383" spans="1:42" x14ac:dyDescent="0.2">
      <c r="A383" s="24">
        <v>45448</v>
      </c>
      <c r="B383" s="16" cm="1">
        <f t="array" ref="B383">_xll.BADDPERIODS(A383, "PER=WD", "NUMBEROFPERIODS=2", "BUSDAYADJ=-2", "CDR=GQ", "CDR=P9")</f>
        <v>45450</v>
      </c>
      <c r="C383" s="15" cm="1">
        <f t="array" ref="C383">_xll.BDH("XAU Curncy","PX_LAST",A383,A383)</f>
        <v>2355.3200000000002</v>
      </c>
      <c r="D383" s="15" t="str" cm="1">
        <f t="array" ref="D383">_xll.BDP("GCQ24 Comdty",$M$32)</f>
        <v>01/08/2024</v>
      </c>
      <c r="E383" s="15">
        <f t="shared" si="194"/>
        <v>55</v>
      </c>
      <c r="F383" s="23">
        <v>5.5199999999999999E-2</v>
      </c>
      <c r="G383" s="28">
        <f t="shared" si="167"/>
        <v>19.863198666666669</v>
      </c>
      <c r="H383" s="12">
        <v>19.75</v>
      </c>
      <c r="I383" s="61">
        <f t="shared" si="168"/>
        <v>-0.11319866666666911</v>
      </c>
      <c r="J383" s="26">
        <v>4</v>
      </c>
      <c r="K383" s="26">
        <v>6</v>
      </c>
      <c r="L383" s="26">
        <v>8</v>
      </c>
      <c r="N383" s="24">
        <v>45448</v>
      </c>
      <c r="O383" s="16" cm="1">
        <f t="array" ref="O383">_xll.BADDPERIODS(N383, "PER=WD", "NUMBEROFPERIODS=2", "BUSDAYADJ=-2", "CDR=GQ", "CDR=P9")</f>
        <v>45450</v>
      </c>
      <c r="P383" s="15" cm="1">
        <f t="array" ref="P383">_xll.BDH("XAG Curncy","PX_LAST",N383,N383)</f>
        <v>30.011800000000001</v>
      </c>
      <c r="Q383" s="15" t="str" cm="1">
        <f t="array" ref="Q383">_xll.BDP("SIN24 Comdty",$M$32)</f>
        <v>01/07/2024</v>
      </c>
      <c r="R383" s="15">
        <f t="shared" si="200"/>
        <v>24</v>
      </c>
      <c r="S383" s="23">
        <v>5.6500000000000002E-2</v>
      </c>
      <c r="T383" s="21">
        <f t="shared" si="181"/>
        <v>0.11304444666666666</v>
      </c>
      <c r="U383" s="12">
        <v>0.14000000000000001</v>
      </c>
      <c r="V383" s="62">
        <f t="shared" si="182"/>
        <v>2.6955553333333353</v>
      </c>
      <c r="W383" s="15">
        <v>15</v>
      </c>
      <c r="X383" s="15">
        <v>20</v>
      </c>
      <c r="Y383" s="15">
        <v>25</v>
      </c>
      <c r="Z383" s="18">
        <f t="shared" si="183"/>
        <v>11.304444666666665</v>
      </c>
      <c r="AA383" s="18">
        <f t="shared" si="184"/>
        <v>14.000000000000002</v>
      </c>
      <c r="AB383" s="18">
        <f t="shared" si="185"/>
        <v>2.6955553333333353</v>
      </c>
      <c r="AE383" s="44" cm="1">
        <f t="array" ref="AE383">_xll.BDH("COMXGOLD Comdty","PX_Last", N383)</f>
        <v>17673584.34</v>
      </c>
      <c r="AF383" s="15" t="str" cm="1">
        <f t="array" ref="AF383">_xll.BDS("GCA Comdty","FUT_CHAIN", "CHAIN_DATE",A383,"endrow=1")</f>
        <v>GCM24 Comdty</v>
      </c>
      <c r="AG383" s="44" cm="1">
        <f t="array" ref="AG383">_xll.BDH(AF383,"FUT_AGGTE_OPEN_INT",A383)</f>
        <v>453409</v>
      </c>
      <c r="AH383" s="44">
        <f t="shared" si="195"/>
        <v>45340900</v>
      </c>
      <c r="AI383" s="48">
        <f t="shared" si="196"/>
        <v>0.38979341698113623</v>
      </c>
      <c r="AK383" s="44" cm="1">
        <f t="array" ref="AK383">_xll.BDH("COMXSILV Comdty","PX_Last", N383)</f>
        <v>297285.94</v>
      </c>
      <c r="AL383" s="15" t="str" cm="1">
        <f t="array" ref="AL383">_xll.BDS("SIA Comdty","FUT_CHAIN", "CHAIN_DATE",A383,"endrow=1")</f>
        <v>SIM24 Comdty</v>
      </c>
      <c r="AM383" s="47" cm="1">
        <f t="array" ref="AM383">_xll.BDH(AL383,"FUT_AGGTE_OPEN_INT",A383)</f>
        <v>179993</v>
      </c>
      <c r="AN383" s="45">
        <f t="shared" si="197"/>
        <v>330.3305572994505</v>
      </c>
      <c r="AO383" s="46">
        <f t="shared" si="198"/>
        <v>29728594000</v>
      </c>
      <c r="AP383" s="46">
        <f t="shared" si="199"/>
        <v>899965</v>
      </c>
    </row>
    <row r="384" spans="1:42" x14ac:dyDescent="0.2">
      <c r="A384" s="24">
        <v>45449</v>
      </c>
      <c r="B384" s="16" cm="1">
        <f t="array" ref="B384">_xll.BADDPERIODS(A384, "PER=WD", "NUMBEROFPERIODS=2", "BUSDAYADJ=-2", "CDR=GQ", "CDR=P9")</f>
        <v>45453</v>
      </c>
      <c r="C384" s="15" cm="1">
        <f t="array" ref="C384">_xll.BDH("XAU Curncy","PX_LAST",A384,A384)</f>
        <v>2376.06</v>
      </c>
      <c r="D384" s="15" t="str" cm="1">
        <f t="array" ref="D384">_xll.BDP("GCQ24 Comdty",$M$32)</f>
        <v>01/08/2024</v>
      </c>
      <c r="E384" s="15">
        <f t="shared" si="194"/>
        <v>52</v>
      </c>
      <c r="F384" s="23">
        <v>5.5199999999999999E-2</v>
      </c>
      <c r="G384" s="28">
        <f t="shared" si="167"/>
        <v>18.945118399999995</v>
      </c>
      <c r="H384" s="12">
        <v>19</v>
      </c>
      <c r="I384" s="61">
        <f t="shared" si="168"/>
        <v>5.4881600000005193E-2</v>
      </c>
      <c r="J384" s="26">
        <v>4</v>
      </c>
      <c r="K384" s="26">
        <v>6</v>
      </c>
      <c r="L384" s="26">
        <v>8</v>
      </c>
      <c r="N384" s="24">
        <v>45449</v>
      </c>
      <c r="O384" s="16" cm="1">
        <f t="array" ref="O384">_xll.BADDPERIODS(N384, "PER=WD", "NUMBEROFPERIODS=2", "BUSDAYADJ=-2", "CDR=GQ", "CDR=P9")</f>
        <v>45453</v>
      </c>
      <c r="P384" s="15" cm="1">
        <f t="array" ref="P384">_xll.BDH("XAG Curncy","PX_LAST",N384,N384)</f>
        <v>31.324999999999999</v>
      </c>
      <c r="Q384" s="15" t="str" cm="1">
        <f t="array" ref="Q384">_xll.BDP("SIN24 Comdty",$M$32)</f>
        <v>01/07/2024</v>
      </c>
      <c r="R384" s="15">
        <f t="shared" si="200"/>
        <v>21</v>
      </c>
      <c r="S384" s="23">
        <v>5.6500000000000002E-2</v>
      </c>
      <c r="T384" s="21">
        <f t="shared" si="181"/>
        <v>0.10324197916666668</v>
      </c>
      <c r="U384" s="12">
        <v>0.125</v>
      </c>
      <c r="V384" s="62">
        <f t="shared" si="182"/>
        <v>2.1758020833333322</v>
      </c>
      <c r="W384" s="15">
        <v>15</v>
      </c>
      <c r="X384" s="15">
        <v>20</v>
      </c>
      <c r="Y384" s="15">
        <v>25</v>
      </c>
      <c r="Z384" s="18">
        <f t="shared" si="183"/>
        <v>10.324197916666668</v>
      </c>
      <c r="AA384" s="18">
        <f t="shared" si="184"/>
        <v>12.5</v>
      </c>
      <c r="AB384" s="18">
        <f t="shared" si="185"/>
        <v>2.1758020833333322</v>
      </c>
      <c r="AE384" s="44" cm="1">
        <f t="array" ref="AE384">_xll.BDH("COMXGOLD Comdty","PX_Last", N384)</f>
        <v>17676059.967</v>
      </c>
      <c r="AF384" s="15" t="str" cm="1">
        <f t="array" ref="AF384">_xll.BDS("GCA Comdty","FUT_CHAIN", "CHAIN_DATE",A384,"endrow=1")</f>
        <v>GCM24 Comdty</v>
      </c>
      <c r="AG384" s="44" cm="1">
        <f t="array" ref="AG384">_xll.BDH(AF384,"FUT_AGGTE_OPEN_INT",A384)</f>
        <v>456354</v>
      </c>
      <c r="AH384" s="44">
        <f t="shared" si="195"/>
        <v>45635400</v>
      </c>
      <c r="AI384" s="48">
        <f t="shared" si="196"/>
        <v>0.38733220190904427</v>
      </c>
      <c r="AK384" s="44" cm="1">
        <f t="array" ref="AK384">_xll.BDH("COMXSILV Comdty","PX_Last", N384)</f>
        <v>296208.5</v>
      </c>
      <c r="AL384" s="15" t="str" cm="1">
        <f t="array" ref="AL384">_xll.BDS("SIA Comdty","FUT_CHAIN", "CHAIN_DATE",A384,"endrow=1")</f>
        <v>SIM24 Comdty</v>
      </c>
      <c r="AM384" s="47" cm="1">
        <f t="array" ref="AM384">_xll.BDH(AL384,"FUT_AGGTE_OPEN_INT",A384)</f>
        <v>180588</v>
      </c>
      <c r="AN384" s="45">
        <f t="shared" si="197"/>
        <v>328.04892905397924</v>
      </c>
      <c r="AO384" s="46">
        <f t="shared" si="198"/>
        <v>29620850000</v>
      </c>
      <c r="AP384" s="46">
        <f t="shared" si="199"/>
        <v>902940</v>
      </c>
    </row>
    <row r="385" spans="1:42" x14ac:dyDescent="0.2">
      <c r="A385" s="24">
        <v>45450</v>
      </c>
      <c r="B385" s="16" cm="1">
        <f t="array" ref="B385">_xll.BADDPERIODS(A385, "PER=WD", "NUMBEROFPERIODS=2", "BUSDAYADJ=-2", "CDR=GQ", "CDR=P9")</f>
        <v>45454</v>
      </c>
      <c r="C385" s="15" cm="1">
        <f t="array" ref="C385">_xll.BDH("XAU Curncy","PX_LAST",A385,A385)</f>
        <v>2293.7800000000002</v>
      </c>
      <c r="D385" s="15" t="str" cm="1">
        <f t="array" ref="D385">_xll.BDP("GCQ24 Comdty",$M$32)</f>
        <v>01/08/2024</v>
      </c>
      <c r="E385" s="15">
        <f t="shared" si="194"/>
        <v>51</v>
      </c>
      <c r="F385" s="23">
        <v>5.5199999999999999E-2</v>
      </c>
      <c r="G385" s="28">
        <f t="shared" si="167"/>
        <v>17.937359600000001</v>
      </c>
      <c r="H385" s="12">
        <v>18.100000000000001</v>
      </c>
      <c r="I385" s="61">
        <f t="shared" si="168"/>
        <v>0.1626404000000008</v>
      </c>
      <c r="J385" s="26">
        <v>4</v>
      </c>
      <c r="K385" s="26">
        <v>6</v>
      </c>
      <c r="L385" s="26">
        <v>8</v>
      </c>
      <c r="N385" s="24">
        <v>45450</v>
      </c>
      <c r="O385" s="16" cm="1">
        <f t="array" ref="O385">_xll.BADDPERIODS(N385, "PER=WD", "NUMBEROFPERIODS=2", "BUSDAYADJ=-2", "CDR=GQ", "CDR=P9")</f>
        <v>45454</v>
      </c>
      <c r="P385" s="15" cm="1">
        <f t="array" ref="P385">_xll.BDH("XAG Curncy","PX_LAST",N385,N385)</f>
        <v>29.152999999999999</v>
      </c>
      <c r="Q385" s="15" t="str" cm="1">
        <f t="array" ref="Q385">_xll.BDP("SIN24 Comdty",$M$32)</f>
        <v>01/07/2024</v>
      </c>
      <c r="R385" s="15">
        <f t="shared" si="200"/>
        <v>20</v>
      </c>
      <c r="S385" s="23">
        <v>5.6500000000000002E-2</v>
      </c>
      <c r="T385" s="21">
        <f t="shared" si="181"/>
        <v>9.1508027777777765E-2</v>
      </c>
      <c r="U385" s="12">
        <v>0.115</v>
      </c>
      <c r="V385" s="62">
        <f t="shared" si="182"/>
        <v>2.3491972222222239</v>
      </c>
      <c r="W385" s="15">
        <v>15</v>
      </c>
      <c r="X385" s="15">
        <v>20</v>
      </c>
      <c r="Y385" s="15">
        <v>25</v>
      </c>
      <c r="Z385" s="18">
        <f t="shared" si="183"/>
        <v>9.150802777777777</v>
      </c>
      <c r="AA385" s="18">
        <f t="shared" si="184"/>
        <v>11.5</v>
      </c>
      <c r="AB385" s="18">
        <f t="shared" si="185"/>
        <v>2.3491972222222239</v>
      </c>
      <c r="AE385" s="44" cm="1">
        <f t="array" ref="AE385">_xll.BDH("COMXGOLD Comdty","PX_Last", N385)</f>
        <v>17666253.916999999</v>
      </c>
      <c r="AF385" s="15" t="str" cm="1">
        <f t="array" ref="AF385">_xll.BDS("GCA Comdty","FUT_CHAIN", "CHAIN_DATE",A385,"endrow=1")</f>
        <v>GCM24 Comdty</v>
      </c>
      <c r="AG385" s="44" cm="1">
        <f t="array" ref="AG385">_xll.BDH(AF385,"FUT_AGGTE_OPEN_INT",A385)</f>
        <v>441808</v>
      </c>
      <c r="AH385" s="44">
        <f t="shared" ref="AH385:AH409" si="201">AG385*$AG$17</f>
        <v>44180800</v>
      </c>
      <c r="AI385" s="48">
        <f t="shared" ref="AI385:AI409" si="202">AE385/AH385</f>
        <v>0.39986269866095681</v>
      </c>
      <c r="AK385" s="44" cm="1">
        <f t="array" ref="AK385">_xll.BDH("COMXSILV Comdty","PX_Last", N385)</f>
        <v>295630.59000000003</v>
      </c>
      <c r="AL385" s="15" t="str" cm="1">
        <f t="array" ref="AL385">_xll.BDS("SIA Comdty","FUT_CHAIN", "CHAIN_DATE",A385,"endrow=1")</f>
        <v>SIM24 Comdty</v>
      </c>
      <c r="AM385" s="47" cm="1">
        <f t="array" ref="AM385">_xll.BDH(AL385,"FUT_AGGTE_OPEN_INT",A385)</f>
        <v>178645</v>
      </c>
      <c r="AN385" s="45">
        <f t="shared" ref="AN385:AN409" si="203">(AO385/AP385)/100</f>
        <v>330.96990120070535</v>
      </c>
      <c r="AO385" s="46">
        <f t="shared" ref="AO385:AO409" si="204">AK385*100000</f>
        <v>29563059000.000004</v>
      </c>
      <c r="AP385" s="46">
        <f t="shared" ref="AP385:AP409" si="205">(AM385*5000)/1000</f>
        <v>893225</v>
      </c>
    </row>
    <row r="386" spans="1:42" x14ac:dyDescent="0.2">
      <c r="A386" s="24">
        <v>45453</v>
      </c>
      <c r="B386" s="16" cm="1">
        <f t="array" ref="B386">_xll.BADDPERIODS(A386, "PER=WD", "NUMBEROFPERIODS=2", "BUSDAYADJ=-2", "CDR=GQ", "CDR=P9")</f>
        <v>45455</v>
      </c>
      <c r="C386" s="15" cm="1">
        <f t="array" ref="C386">_xll.BDH("XAU Curncy","PX_LAST",A386,A386)</f>
        <v>2310.88</v>
      </c>
      <c r="D386" s="15" t="str" cm="1">
        <f t="array" ref="D386">_xll.BDP("GCQ24 Comdty",$M$32)</f>
        <v>01/08/2024</v>
      </c>
      <c r="E386" s="15">
        <f t="shared" si="194"/>
        <v>50</v>
      </c>
      <c r="F386" s="23">
        <v>5.4699999999999999E-2</v>
      </c>
      <c r="G386" s="28">
        <f t="shared" si="167"/>
        <v>17.556268888888891</v>
      </c>
      <c r="H386" s="12">
        <v>17.399999999999999</v>
      </c>
      <c r="I386" s="63">
        <f t="shared" si="168"/>
        <v>-0.15626888888889212</v>
      </c>
      <c r="J386" s="26">
        <v>4</v>
      </c>
      <c r="K386" s="26">
        <v>6</v>
      </c>
      <c r="L386" s="26">
        <v>8</v>
      </c>
      <c r="N386" s="24">
        <v>45453</v>
      </c>
      <c r="O386" s="16" cm="1">
        <f t="array" ref="O386">_xll.BADDPERIODS(N386, "PER=WD", "NUMBEROFPERIODS=2", "BUSDAYADJ=-2", "CDR=GQ", "CDR=P9")</f>
        <v>45455</v>
      </c>
      <c r="P386" s="15" cm="1">
        <f t="array" ref="P386">_xll.BDH("XAG Curncy","PX_LAST",N386,N386)</f>
        <v>29.745000000000001</v>
      </c>
      <c r="Q386" s="15" t="str" cm="1">
        <f t="array" ref="Q386">_xll.BDP("SIN24 Comdty",$M$32)</f>
        <v>01/07/2024</v>
      </c>
      <c r="R386" s="15">
        <f t="shared" si="200"/>
        <v>19</v>
      </c>
      <c r="S386" s="23">
        <v>5.6899999999999999E-2</v>
      </c>
      <c r="T386" s="21">
        <f t="shared" si="181"/>
        <v>8.9325887500000006E-2</v>
      </c>
      <c r="U386" s="12">
        <v>0.115</v>
      </c>
      <c r="V386" s="62">
        <f t="shared" si="182"/>
        <v>2.5674112499999997</v>
      </c>
      <c r="W386" s="15">
        <v>15</v>
      </c>
      <c r="X386" s="15">
        <v>20</v>
      </c>
      <c r="Y386" s="15">
        <v>25</v>
      </c>
      <c r="Z386" s="18">
        <f t="shared" si="183"/>
        <v>8.9325887500000007</v>
      </c>
      <c r="AA386" s="18">
        <f t="shared" si="184"/>
        <v>11.5</v>
      </c>
      <c r="AB386" s="18">
        <f t="shared" si="185"/>
        <v>2.5674112499999997</v>
      </c>
      <c r="AE386" s="44" cm="1">
        <f t="array" ref="AE386">_xll.BDH("COMXGOLD Comdty","PX_Last", N386)</f>
        <v>17662974.515000001</v>
      </c>
      <c r="AF386" s="15" t="str" cm="1">
        <f t="array" ref="AF386">_xll.BDS("GCA Comdty","FUT_CHAIN", "CHAIN_DATE",A386,"endrow=1")</f>
        <v>GCM24 Comdty</v>
      </c>
      <c r="AG386" s="44" cm="1">
        <f t="array" ref="AG386">_xll.BDH(AF386,"FUT_AGGTE_OPEN_INT",A386)</f>
        <v>435003</v>
      </c>
      <c r="AH386" s="44">
        <f t="shared" si="201"/>
        <v>43500300</v>
      </c>
      <c r="AI386" s="48">
        <f t="shared" si="202"/>
        <v>0.40604259085569527</v>
      </c>
      <c r="AK386" s="44" cm="1">
        <f t="array" ref="AK386">_xll.BDH("COMXSILV Comdty","PX_Last", N386)</f>
        <v>295371.5</v>
      </c>
      <c r="AL386" s="15" t="str" cm="1">
        <f t="array" ref="AL386">_xll.BDS("SIA Comdty","FUT_CHAIN", "CHAIN_DATE",A386,"endrow=1")</f>
        <v>SIM24 Comdty</v>
      </c>
      <c r="AM386" s="47" cm="1">
        <f t="array" ref="AM386">_xll.BDH(AL386,"FUT_AGGTE_OPEN_INT",A386)</f>
        <v>179023</v>
      </c>
      <c r="AN386" s="45">
        <f t="shared" si="203"/>
        <v>329.98162247309006</v>
      </c>
      <c r="AO386" s="46">
        <f t="shared" si="204"/>
        <v>29537150000</v>
      </c>
      <c r="AP386" s="46">
        <f t="shared" si="205"/>
        <v>895115</v>
      </c>
    </row>
    <row r="387" spans="1:42" x14ac:dyDescent="0.2">
      <c r="A387" s="24">
        <v>45454</v>
      </c>
      <c r="B387" s="16" cm="1">
        <f t="array" ref="B387">_xll.BADDPERIODS(A387, "PER=WD", "NUMBEROFPERIODS=2", "BUSDAYADJ=-2", "CDR=GQ", "CDR=P9")</f>
        <v>45456</v>
      </c>
      <c r="C387" s="15" cm="1">
        <f t="array" ref="C387">_xll.BDH("XAU Curncy","PX_LAST",A387,A387)</f>
        <v>2317.0100000000002</v>
      </c>
      <c r="D387" s="15" t="str" cm="1">
        <f t="array" ref="D387">_xll.BDP("GCQ24 Comdty",$M$32)</f>
        <v>01/08/2024</v>
      </c>
      <c r="E387" s="15">
        <f t="shared" si="194"/>
        <v>49</v>
      </c>
      <c r="F387" s="23">
        <v>5.5E-2</v>
      </c>
      <c r="G387" s="28">
        <f t="shared" si="167"/>
        <v>17.345394305555555</v>
      </c>
      <c r="H387" s="12">
        <v>17</v>
      </c>
      <c r="I387" s="63">
        <f t="shared" si="168"/>
        <v>-0.34539430555555484</v>
      </c>
      <c r="J387" s="26">
        <v>4</v>
      </c>
      <c r="K387" s="26">
        <v>6</v>
      </c>
      <c r="L387" s="26">
        <v>8</v>
      </c>
      <c r="N387" s="24">
        <v>45454</v>
      </c>
      <c r="O387" s="16" cm="1">
        <f t="array" ref="O387">_xll.BADDPERIODS(N387, "PER=WD", "NUMBEROFPERIODS=2", "BUSDAYADJ=-2", "CDR=GQ", "CDR=P9")</f>
        <v>45456</v>
      </c>
      <c r="P387" s="15" cm="1">
        <f t="array" ref="P387">_xll.BDH("XAG Curncy","PX_LAST",N387,N387)</f>
        <v>29.276800000000001</v>
      </c>
      <c r="Q387" s="15" t="str" cm="1">
        <f t="array" ref="Q387">_xll.BDP("SIN24 Comdty",$M$32)</f>
        <v>01/07/2024</v>
      </c>
      <c r="R387" s="15">
        <f t="shared" si="200"/>
        <v>18</v>
      </c>
      <c r="S387" s="23">
        <v>5.6399999999999999E-2</v>
      </c>
      <c r="T387" s="21">
        <f t="shared" si="181"/>
        <v>8.2560576000000011E-2</v>
      </c>
      <c r="U387" s="12">
        <v>0.105</v>
      </c>
      <c r="V387" s="62">
        <f t="shared" si="182"/>
        <v>2.2439423999999986</v>
      </c>
      <c r="W387" s="15">
        <v>15</v>
      </c>
      <c r="X387" s="15">
        <v>20</v>
      </c>
      <c r="Y387" s="15">
        <v>25</v>
      </c>
      <c r="Z387" s="18">
        <f t="shared" si="183"/>
        <v>8.2560576000000019</v>
      </c>
      <c r="AA387" s="18">
        <f t="shared" si="184"/>
        <v>10.5</v>
      </c>
      <c r="AB387" s="18">
        <f t="shared" si="185"/>
        <v>2.2439423999999986</v>
      </c>
      <c r="AE387" s="44" cm="1">
        <f t="array" ref="AE387">_xll.BDH("COMXGOLD Comdty","PX_Last", N387)</f>
        <v>17662910.213</v>
      </c>
      <c r="AF387" s="15" t="str" cm="1">
        <f t="array" ref="AF387">_xll.BDS("GCA Comdty","FUT_CHAIN", "CHAIN_DATE",A387,"endrow=1")</f>
        <v>GCM24 Comdty</v>
      </c>
      <c r="AG387" s="44" cm="1">
        <f t="array" ref="AG387">_xll.BDH(AF387,"FUT_AGGTE_OPEN_INT",A387)</f>
        <v>436857</v>
      </c>
      <c r="AH387" s="44">
        <f t="shared" si="201"/>
        <v>43685700</v>
      </c>
      <c r="AI387" s="48">
        <f t="shared" si="202"/>
        <v>0.40431789379591032</v>
      </c>
      <c r="AK387" s="44" cm="1">
        <f t="array" ref="AK387">_xll.BDH("COMXSILV Comdty","PX_Last", N387)</f>
        <v>296591.15999999997</v>
      </c>
      <c r="AL387" s="15" t="str" cm="1">
        <f t="array" ref="AL387">_xll.BDS("SIA Comdty","FUT_CHAIN", "CHAIN_DATE",A387,"endrow=1")</f>
        <v>SIM24 Comdty</v>
      </c>
      <c r="AM387" s="47" cm="1">
        <f t="array" ref="AM387">_xll.BDH(AL387,"FUT_AGGTE_OPEN_INT",A387)</f>
        <v>176036</v>
      </c>
      <c r="AN387" s="45">
        <f t="shared" si="203"/>
        <v>336.96648412824646</v>
      </c>
      <c r="AO387" s="46">
        <f t="shared" si="204"/>
        <v>29659115999.999996</v>
      </c>
      <c r="AP387" s="46">
        <f t="shared" si="205"/>
        <v>880180</v>
      </c>
    </row>
    <row r="388" spans="1:42" x14ac:dyDescent="0.2">
      <c r="A388" s="24">
        <v>45455</v>
      </c>
      <c r="B388" s="16" cm="1">
        <f t="array" ref="B388">_xll.BADDPERIODS(A388, "PER=WD", "NUMBEROFPERIODS=2", "BUSDAYADJ=-2", "CDR=GQ", "CDR=P9")</f>
        <v>45457</v>
      </c>
      <c r="C388" s="15" cm="1">
        <f t="array" ref="C388">_xll.BDH("XAU Curncy","PX_LAST",A388,A388)</f>
        <v>2324.98</v>
      </c>
      <c r="D388" s="15" t="str" cm="1">
        <f t="array" ref="D388">_xll.BDP("GCQ24 Comdty",$M$32)</f>
        <v>01/08/2024</v>
      </c>
      <c r="E388" s="15">
        <f t="shared" si="194"/>
        <v>48</v>
      </c>
      <c r="F388" s="23">
        <v>5.45E-2</v>
      </c>
      <c r="G388" s="28">
        <f t="shared" si="167"/>
        <v>16.894854666666667</v>
      </c>
      <c r="H388" s="12">
        <v>16.899999999999999</v>
      </c>
      <c r="I388" s="63">
        <f t="shared" si="168"/>
        <v>5.1453333333313367E-3</v>
      </c>
      <c r="J388" s="26">
        <v>4</v>
      </c>
      <c r="K388" s="26">
        <v>6</v>
      </c>
      <c r="L388" s="26">
        <v>8</v>
      </c>
      <c r="N388" s="24">
        <v>45455</v>
      </c>
      <c r="O388" s="16" cm="1">
        <f t="array" ref="O388">_xll.BADDPERIODS(N388, "PER=WD", "NUMBEROFPERIODS=2", "BUSDAYADJ=-2", "CDR=GQ", "CDR=P9")</f>
        <v>45457</v>
      </c>
      <c r="P388" s="15" cm="1">
        <f t="array" ref="P388">_xll.BDH("XAG Curncy","PX_LAST",N388,N388)</f>
        <v>29.725999999999999</v>
      </c>
      <c r="Q388" s="15" t="str" cm="1">
        <f t="array" ref="Q388">_xll.BDP("SIN24 Comdty",$M$32)</f>
        <v>01/07/2024</v>
      </c>
      <c r="R388" s="15">
        <f t="shared" si="200"/>
        <v>17</v>
      </c>
      <c r="S388" s="23">
        <v>5.6399999999999999E-2</v>
      </c>
      <c r="T388" s="21">
        <f t="shared" si="181"/>
        <v>7.9170246666666666E-2</v>
      </c>
      <c r="U388" s="12">
        <v>0.1</v>
      </c>
      <c r="V388" s="62">
        <f t="shared" si="182"/>
        <v>2.0829753333333341</v>
      </c>
      <c r="W388" s="15">
        <v>15</v>
      </c>
      <c r="X388" s="15">
        <v>20</v>
      </c>
      <c r="Y388" s="15">
        <v>25</v>
      </c>
      <c r="Z388" s="18">
        <f t="shared" si="183"/>
        <v>7.9170246666666664</v>
      </c>
      <c r="AA388" s="18">
        <f t="shared" si="184"/>
        <v>10</v>
      </c>
      <c r="AB388" s="18">
        <f t="shared" si="185"/>
        <v>2.0829753333333341</v>
      </c>
      <c r="AE388" s="44" cm="1">
        <f t="array" ref="AE388">_xll.BDH("COMXGOLD Comdty","PX_Last", N388)</f>
        <v>17656892.653000001</v>
      </c>
      <c r="AF388" s="15" t="str" cm="1">
        <f t="array" ref="AF388">_xll.BDS("GCA Comdty","FUT_CHAIN", "CHAIN_DATE",A388,"endrow=1")</f>
        <v>GCM24 Comdty</v>
      </c>
      <c r="AG388" s="44" cm="1">
        <f t="array" ref="AG388">_xll.BDH(AF388,"FUT_AGGTE_OPEN_INT",A388)</f>
        <v>436563</v>
      </c>
      <c r="AH388" s="44">
        <f t="shared" si="201"/>
        <v>43656300</v>
      </c>
      <c r="AI388" s="48">
        <f t="shared" si="202"/>
        <v>0.40445233913547418</v>
      </c>
      <c r="AK388" s="44" cm="1">
        <f t="array" ref="AK388">_xll.BDH("COMXSILV Comdty","PX_Last", N388)</f>
        <v>297190.78000000003</v>
      </c>
      <c r="AL388" s="15" t="str" cm="1">
        <f t="array" ref="AL388">_xll.BDS("SIA Comdty","FUT_CHAIN", "CHAIN_DATE",A388,"endrow=1")</f>
        <v>SIM24 Comdty</v>
      </c>
      <c r="AM388" s="47" cm="1">
        <f t="array" ref="AM388">_xll.BDH(AL388,"FUT_AGGTE_OPEN_INT",A388)</f>
        <v>177407</v>
      </c>
      <c r="AN388" s="45">
        <f t="shared" si="203"/>
        <v>335.03839194620281</v>
      </c>
      <c r="AO388" s="46">
        <f t="shared" si="204"/>
        <v>29719078000.000004</v>
      </c>
      <c r="AP388" s="46">
        <f t="shared" si="205"/>
        <v>887035</v>
      </c>
    </row>
    <row r="389" spans="1:42" x14ac:dyDescent="0.2">
      <c r="A389" s="24">
        <v>45456</v>
      </c>
      <c r="B389" s="16" cm="1">
        <f t="array" ref="B389">_xll.BADDPERIODS(A389, "PER=WD", "NUMBEROFPERIODS=2", "BUSDAYADJ=-2", "CDR=GQ", "CDR=P9")</f>
        <v>45460</v>
      </c>
      <c r="C389" s="15" cm="1">
        <f t="array" ref="C389">_xll.BDH("XAU Curncy","PX_LAST",A389,A389)</f>
        <v>2304.21</v>
      </c>
      <c r="D389" s="15" t="str" cm="1">
        <f t="array" ref="D389">_xll.BDP("GCQ24 Comdty",$M$32)</f>
        <v>01/08/2024</v>
      </c>
      <c r="E389" s="15">
        <f t="shared" si="194"/>
        <v>45</v>
      </c>
      <c r="F389" s="23">
        <v>5.4699999999999999E-2</v>
      </c>
      <c r="G389" s="28">
        <f t="shared" si="167"/>
        <v>15.755035874999999</v>
      </c>
      <c r="H389" s="12">
        <v>15.9</v>
      </c>
      <c r="I389" s="63">
        <f t="shared" si="168"/>
        <v>0.14496412500000133</v>
      </c>
      <c r="J389" s="26">
        <v>4</v>
      </c>
      <c r="K389" s="26">
        <v>6</v>
      </c>
      <c r="L389" s="26">
        <v>8</v>
      </c>
      <c r="N389" s="24">
        <v>45456</v>
      </c>
      <c r="O389" s="16" cm="1">
        <f t="array" ref="O389">_xll.BADDPERIODS(N389, "PER=WD", "NUMBEROFPERIODS=2", "BUSDAYADJ=-2", "CDR=GQ", "CDR=P9")</f>
        <v>45460</v>
      </c>
      <c r="P389" s="15" cm="1">
        <f t="array" ref="P389">_xll.BDH("XAG Curncy","PX_LAST",N389,N389)</f>
        <v>28.966799999999999</v>
      </c>
      <c r="Q389" s="15" t="str" cm="1">
        <f t="array" ref="Q389">_xll.BDP("SIN24 Comdty",$M$32)</f>
        <v>01/07/2024</v>
      </c>
      <c r="R389" s="15">
        <f t="shared" si="200"/>
        <v>14</v>
      </c>
      <c r="S389" s="23">
        <v>5.6300000000000003E-2</v>
      </c>
      <c r="T389" s="21">
        <f t="shared" si="181"/>
        <v>6.3421199333333331E-2</v>
      </c>
      <c r="U389" s="12">
        <v>8.2000000000000003E-2</v>
      </c>
      <c r="V389" s="62">
        <f t="shared" si="182"/>
        <v>1.8578800666666673</v>
      </c>
      <c r="W389" s="15">
        <v>15</v>
      </c>
      <c r="X389" s="15">
        <v>20</v>
      </c>
      <c r="Y389" s="15">
        <v>25</v>
      </c>
      <c r="Z389" s="18">
        <f t="shared" si="183"/>
        <v>6.3421199333333327</v>
      </c>
      <c r="AA389" s="18">
        <f t="shared" si="184"/>
        <v>8.2000000000000011</v>
      </c>
      <c r="AB389" s="18">
        <f t="shared" si="185"/>
        <v>1.8578800666666673</v>
      </c>
      <c r="AE389" s="44" cm="1">
        <f t="array" ref="AE389">_xll.BDH("COMXGOLD Comdty","PX_Last", N389)</f>
        <v>17656892.653000001</v>
      </c>
      <c r="AF389" s="15" t="str" cm="1">
        <f t="array" ref="AF389">_xll.BDS("GCA Comdty","FUT_CHAIN", "CHAIN_DATE",A389,"endrow=1")</f>
        <v>GCM24 Comdty</v>
      </c>
      <c r="AG389" s="44" cm="1">
        <f t="array" ref="AG389">_xll.BDH(AF389,"FUT_AGGTE_OPEN_INT",A389)</f>
        <v>433946</v>
      </c>
      <c r="AH389" s="44">
        <f t="shared" si="201"/>
        <v>43394600</v>
      </c>
      <c r="AI389" s="48">
        <f t="shared" si="202"/>
        <v>0.40689147158863087</v>
      </c>
      <c r="AK389" s="44" cm="1">
        <f t="array" ref="AK389">_xll.BDH("COMXSILV Comdty","PX_Last", N389)</f>
        <v>297190.78000000003</v>
      </c>
      <c r="AL389" s="15" t="str" cm="1">
        <f t="array" ref="AL389">_xll.BDS("SIA Comdty","FUT_CHAIN", "CHAIN_DATE",A389,"endrow=1")</f>
        <v>SIM24 Comdty</v>
      </c>
      <c r="AM389" s="47" cm="1">
        <f t="array" ref="AM389">_xll.BDH(AL389,"FUT_AGGTE_OPEN_INT",A389)</f>
        <v>179000</v>
      </c>
      <c r="AN389" s="45">
        <f t="shared" si="203"/>
        <v>332.05673743016763</v>
      </c>
      <c r="AO389" s="46">
        <f t="shared" si="204"/>
        <v>29719078000.000004</v>
      </c>
      <c r="AP389" s="46">
        <f t="shared" si="205"/>
        <v>895000</v>
      </c>
    </row>
    <row r="390" spans="1:42" x14ac:dyDescent="0.2">
      <c r="A390" s="24">
        <v>45457</v>
      </c>
      <c r="B390" s="16" cm="1">
        <f t="array" ref="B390">_xll.BADDPERIODS(A390, "PER=WD", "NUMBEROFPERIODS=2", "BUSDAYADJ=-2", "CDR=GQ", "CDR=P9")</f>
        <v>45461</v>
      </c>
      <c r="C390" s="15" cm="1">
        <f t="array" ref="C390">_xll.BDH("XAU Curncy","PX_LAST",A390,A390)</f>
        <v>2333.04</v>
      </c>
      <c r="D390" s="15" t="str" cm="1">
        <f t="array" ref="D390">_xll.BDP("GCQ24 Comdty",$M$32)</f>
        <v>01/08/2024</v>
      </c>
      <c r="E390" s="15">
        <f t="shared" si="194"/>
        <v>44</v>
      </c>
      <c r="F390" s="23">
        <v>5.4699999999999999E-2</v>
      </c>
      <c r="G390" s="28">
        <f t="shared" si="167"/>
        <v>15.597668533333334</v>
      </c>
      <c r="H390" s="12">
        <v>15.5</v>
      </c>
      <c r="I390" s="63">
        <f t="shared" si="168"/>
        <v>-9.7668533333333585E-2</v>
      </c>
      <c r="J390" s="26">
        <v>4</v>
      </c>
      <c r="K390" s="26">
        <v>6</v>
      </c>
      <c r="L390" s="26">
        <v>8</v>
      </c>
      <c r="N390" s="24">
        <v>45457</v>
      </c>
      <c r="O390" s="16" cm="1">
        <f t="array" ref="O390">_xll.BADDPERIODS(N390, "PER=WD", "NUMBEROFPERIODS=2", "BUSDAYADJ=-2", "CDR=GQ", "CDR=P9")</f>
        <v>45461</v>
      </c>
      <c r="P390" s="15" cm="1">
        <f t="array" ref="P390">_xll.BDH("XAG Curncy","PX_LAST",N390,N390)</f>
        <v>29.554500000000001</v>
      </c>
      <c r="Q390" s="15" t="str" cm="1">
        <f t="array" ref="Q390">_xll.BDP("SIN24 Comdty",$M$32)</f>
        <v>01/07/2024</v>
      </c>
      <c r="R390" s="15">
        <f t="shared" si="200"/>
        <v>13</v>
      </c>
      <c r="S390" s="23">
        <v>5.6399999999999999E-2</v>
      </c>
      <c r="T390" s="21">
        <f t="shared" si="181"/>
        <v>6.0192664999999992E-2</v>
      </c>
      <c r="U390" s="12">
        <v>0.08</v>
      </c>
      <c r="V390" s="62">
        <f t="shared" si="182"/>
        <v>1.9807335000000008</v>
      </c>
      <c r="W390" s="15">
        <v>15</v>
      </c>
      <c r="X390" s="15">
        <v>20</v>
      </c>
      <c r="Y390" s="15">
        <v>25</v>
      </c>
      <c r="Z390" s="18">
        <f t="shared" si="183"/>
        <v>6.0192664999999996</v>
      </c>
      <c r="AA390" s="18">
        <f t="shared" si="184"/>
        <v>8</v>
      </c>
      <c r="AB390" s="18">
        <f t="shared" si="185"/>
        <v>1.9807335000000008</v>
      </c>
      <c r="AE390" s="44" cm="1">
        <f t="array" ref="AE390">_xll.BDH("COMXGOLD Comdty","PX_Last", N390)</f>
        <v>17643908.603999998</v>
      </c>
      <c r="AF390" s="15" t="str" cm="1">
        <f t="array" ref="AF390">_xll.BDS("GCA Comdty","FUT_CHAIN", "CHAIN_DATE",A390,"endrow=1")</f>
        <v>GCM24 Comdty</v>
      </c>
      <c r="AG390" s="44" cm="1">
        <f t="array" ref="AG390">_xll.BDH(AF390,"FUT_AGGTE_OPEN_INT",A390)</f>
        <v>442050</v>
      </c>
      <c r="AH390" s="44">
        <f t="shared" si="201"/>
        <v>44205000</v>
      </c>
      <c r="AI390" s="48">
        <f t="shared" si="202"/>
        <v>0.39913830118764843</v>
      </c>
      <c r="AK390" s="44" cm="1">
        <f t="array" ref="AK390">_xll.BDH("COMXSILV Comdty","PX_Last", N390)</f>
        <v>296393.31</v>
      </c>
      <c r="AL390" s="15" t="str" cm="1">
        <f t="array" ref="AL390">_xll.BDS("SIA Comdty","FUT_CHAIN", "CHAIN_DATE",A390,"endrow=1")</f>
        <v>SIM24 Comdty</v>
      </c>
      <c r="AM390" s="47" cm="1">
        <f t="array" ref="AM390">_xll.BDH(AL390,"FUT_AGGTE_OPEN_INT",A390)</f>
        <v>177753</v>
      </c>
      <c r="AN390" s="45">
        <f t="shared" si="203"/>
        <v>333.48895377293206</v>
      </c>
      <c r="AO390" s="46">
        <f t="shared" si="204"/>
        <v>29639331000</v>
      </c>
      <c r="AP390" s="46">
        <f t="shared" si="205"/>
        <v>888765</v>
      </c>
    </row>
    <row r="391" spans="1:42" x14ac:dyDescent="0.2">
      <c r="A391" s="24">
        <v>45460</v>
      </c>
      <c r="B391" s="16" cm="1">
        <f t="array" ref="B391">_xll.BADDPERIODS(A391, "PER=WD", "NUMBEROFPERIODS=2", "BUSDAYADJ=-2", "CDR=GQ", "CDR=P9")</f>
        <v>45462</v>
      </c>
      <c r="C391" s="15" cm="1">
        <f t="array" ref="C391">_xll.BDH("XAU Curncy","PX_LAST",A391,A391)</f>
        <v>2319.14</v>
      </c>
      <c r="D391" s="15" t="str" cm="1">
        <f t="array" ref="D391">_xll.BDP("GCQ24 Comdty",$M$32)</f>
        <v>01/08/2024</v>
      </c>
      <c r="E391" s="15">
        <f t="shared" si="194"/>
        <v>43</v>
      </c>
      <c r="F391" s="23">
        <v>5.4600000000000003E-2</v>
      </c>
      <c r="G391" s="28">
        <f t="shared" si="167"/>
        <v>15.124658033333333</v>
      </c>
      <c r="H391" s="12">
        <v>14.8</v>
      </c>
      <c r="I391" s="63">
        <f t="shared" si="168"/>
        <v>-0.32465803333333199</v>
      </c>
      <c r="J391" s="26">
        <v>4</v>
      </c>
      <c r="K391" s="26">
        <v>6</v>
      </c>
      <c r="L391" s="26">
        <v>8</v>
      </c>
      <c r="N391" s="24">
        <v>45460</v>
      </c>
      <c r="O391" s="16" cm="1">
        <f t="array" ref="O391">_xll.BADDPERIODS(N391, "PER=WD", "NUMBEROFPERIODS=2", "BUSDAYADJ=-2", "CDR=GQ", "CDR=P9")</f>
        <v>45462</v>
      </c>
      <c r="P391" s="15" cm="1">
        <f t="array" ref="P391">_xll.BDH("XAG Curncy","PX_LAST",N391,N391)</f>
        <v>29.4651</v>
      </c>
      <c r="Q391" s="15" t="str" cm="1">
        <f t="array" ref="Q391">_xll.BDP("SIN24 Comdty",$M$32)</f>
        <v>01/07/2024</v>
      </c>
      <c r="R391" s="15">
        <f t="shared" si="200"/>
        <v>12</v>
      </c>
      <c r="S391" s="23">
        <v>5.6000000000000001E-2</v>
      </c>
      <c r="T391" s="21">
        <f t="shared" si="181"/>
        <v>5.5001519999999998E-2</v>
      </c>
      <c r="U391" s="12">
        <v>7.4999999999999997E-2</v>
      </c>
      <c r="V391" s="62">
        <f t="shared" si="182"/>
        <v>1.9998479999999998</v>
      </c>
      <c r="W391" s="15">
        <v>15</v>
      </c>
      <c r="X391" s="15">
        <v>20</v>
      </c>
      <c r="Y391" s="15">
        <v>25</v>
      </c>
      <c r="Z391" s="18">
        <f t="shared" si="183"/>
        <v>5.5001519999999999</v>
      </c>
      <c r="AA391" s="18">
        <f t="shared" si="184"/>
        <v>7.5</v>
      </c>
      <c r="AB391" s="18">
        <f t="shared" si="185"/>
        <v>1.9998479999999998</v>
      </c>
      <c r="AE391" s="44" cm="1">
        <f t="array" ref="AE391">_xll.BDH("COMXGOLD Comdty","PX_Last", N391)</f>
        <v>17616174.534000002</v>
      </c>
      <c r="AF391" s="15" t="str" cm="1">
        <f t="array" ref="AF391">_xll.BDS("GCA Comdty","FUT_CHAIN", "CHAIN_DATE",A391,"endrow=1")</f>
        <v>GCM24 Comdty</v>
      </c>
      <c r="AG391" s="44" cm="1">
        <f t="array" ref="AG391">_xll.BDH(AF391,"FUT_AGGTE_OPEN_INT",A391)</f>
        <v>439211</v>
      </c>
      <c r="AH391" s="44">
        <f t="shared" si="201"/>
        <v>43921100</v>
      </c>
      <c r="AI391" s="48">
        <f t="shared" si="202"/>
        <v>0.40108682464692375</v>
      </c>
      <c r="AK391" s="44" cm="1">
        <f t="array" ref="AK391">_xll.BDH("COMXSILV Comdty","PX_Last", N391)</f>
        <v>296314.40999999997</v>
      </c>
      <c r="AL391" s="15" t="str" cm="1">
        <f t="array" ref="AL391">_xll.BDS("SIA Comdty","FUT_CHAIN", "CHAIN_DATE",A391,"endrow=1")</f>
        <v>SIM24 Comdty</v>
      </c>
      <c r="AM391" s="47" cm="1">
        <f t="array" ref="AM391">_xll.BDH(AL391,"FUT_AGGTE_OPEN_INT",A391)</f>
        <v>176357</v>
      </c>
      <c r="AN391" s="45">
        <f t="shared" si="203"/>
        <v>336.03929529307027</v>
      </c>
      <c r="AO391" s="46">
        <f t="shared" si="204"/>
        <v>29631440999.999996</v>
      </c>
      <c r="AP391" s="46">
        <f t="shared" si="205"/>
        <v>881785</v>
      </c>
    </row>
    <row r="392" spans="1:42" x14ac:dyDescent="0.2">
      <c r="A392" s="24">
        <v>45461</v>
      </c>
      <c r="B392" s="16" cm="1">
        <f t="array" ref="B392">_xll.BADDPERIODS(A392, "PER=WD", "NUMBEROFPERIODS=2", "BUSDAYADJ=-2", "CDR=GQ", "CDR=P9")</f>
        <v>45463</v>
      </c>
      <c r="C392" s="15" cm="1">
        <f t="array" ref="C392">_xll.BDH("XAU Curncy","PX_LAST",A392,A392)</f>
        <v>2329.46</v>
      </c>
      <c r="D392" s="15" t="str" cm="1">
        <f t="array" ref="D392">_xll.BDP("GCQ24 Comdty",$M$32)</f>
        <v>01/08/2024</v>
      </c>
      <c r="E392" s="15">
        <f t="shared" si="194"/>
        <v>42</v>
      </c>
      <c r="F392" s="23">
        <v>5.4600000000000003E-2</v>
      </c>
      <c r="G392" s="28">
        <f t="shared" si="167"/>
        <v>14.8386602</v>
      </c>
      <c r="H392" s="12">
        <v>14.7</v>
      </c>
      <c r="I392" s="63">
        <f t="shared" si="168"/>
        <v>-0.13866020000000034</v>
      </c>
      <c r="J392" s="26">
        <v>4</v>
      </c>
      <c r="K392" s="26">
        <v>6</v>
      </c>
      <c r="L392" s="26">
        <v>8</v>
      </c>
      <c r="N392" s="24">
        <v>45461</v>
      </c>
      <c r="O392" s="16" cm="1">
        <f t="array" ref="O392">_xll.BADDPERIODS(N392, "PER=WD", "NUMBEROFPERIODS=2", "BUSDAYADJ=-2", "CDR=GQ", "CDR=P9")</f>
        <v>45463</v>
      </c>
      <c r="P392" s="15" cm="1">
        <f t="array" ref="P392">_xll.BDH("XAG Curncy","PX_LAST",N392,N392)</f>
        <v>29.536000000000001</v>
      </c>
      <c r="Q392" s="15" t="str" cm="1">
        <f t="array" ref="Q392">_xll.BDP("SIN24 Comdty",$M$32)</f>
        <v>01/07/2024</v>
      </c>
      <c r="R392" s="15">
        <f t="shared" si="200"/>
        <v>11</v>
      </c>
      <c r="S392" s="23">
        <v>5.6000000000000001E-2</v>
      </c>
      <c r="T392" s="21">
        <f t="shared" si="181"/>
        <v>5.0539377777777776E-2</v>
      </c>
      <c r="U392" s="12">
        <v>7.4999999999999997E-2</v>
      </c>
      <c r="V392" s="62">
        <f t="shared" si="182"/>
        <v>2.4460622222222219</v>
      </c>
      <c r="W392" s="15">
        <v>15</v>
      </c>
      <c r="X392" s="15">
        <v>20</v>
      </c>
      <c r="Y392" s="15">
        <v>25</v>
      </c>
      <c r="Z392" s="18">
        <f t="shared" si="183"/>
        <v>5.0539377777777776</v>
      </c>
      <c r="AA392" s="18">
        <f t="shared" si="184"/>
        <v>7.5</v>
      </c>
      <c r="AB392" s="18">
        <f t="shared" si="185"/>
        <v>2.4460622222222219</v>
      </c>
      <c r="AE392" s="44" cm="1">
        <f t="array" ref="AE392">_xll.BDH("COMXGOLD Comdty","PX_Last", N392)</f>
        <v>17615692.269000001</v>
      </c>
      <c r="AF392" s="15" t="str" cm="1">
        <f t="array" ref="AF392">_xll.BDS("GCA Comdty","FUT_CHAIN", "CHAIN_DATE",A392,"endrow=1")</f>
        <v>GCM24 Comdty</v>
      </c>
      <c r="AG392" s="44" cm="1">
        <f t="array" ref="AG392">_xll.BDH(AF392,"FUT_AGGTE_OPEN_INT",A392)</f>
        <v>444663</v>
      </c>
      <c r="AH392" s="44">
        <f t="shared" si="201"/>
        <v>44466300</v>
      </c>
      <c r="AI392" s="48">
        <f t="shared" si="202"/>
        <v>0.39615826522557535</v>
      </c>
      <c r="AK392" s="44" cm="1">
        <f t="array" ref="AK392">_xll.BDH("COMXSILV Comdty","PX_Last", N392)</f>
        <v>296338.28000000003</v>
      </c>
      <c r="AL392" s="15" t="str" cm="1">
        <f t="array" ref="AL392">_xll.BDS("SIA Comdty","FUT_CHAIN", "CHAIN_DATE",A392,"endrow=1")</f>
        <v>SIM24 Comdty</v>
      </c>
      <c r="AM392" s="47" cm="1">
        <f t="array" ref="AM392">_xll.BDH(AL392,"FUT_AGGTE_OPEN_INT",A392)</f>
        <v>176837</v>
      </c>
      <c r="AN392" s="45">
        <f t="shared" si="203"/>
        <v>335.15415891470678</v>
      </c>
      <c r="AO392" s="46">
        <f t="shared" si="204"/>
        <v>29633828000.000004</v>
      </c>
      <c r="AP392" s="46">
        <f t="shared" si="205"/>
        <v>884185</v>
      </c>
    </row>
    <row r="393" spans="1:42" x14ac:dyDescent="0.2">
      <c r="A393" s="24">
        <v>45462</v>
      </c>
      <c r="B393" s="16" cm="1">
        <f t="array" ref="B393">_xll.BADDPERIODS(A393, "PER=WD", "NUMBEROFPERIODS=2", "BUSDAYADJ=-2", "CDR=GQ", "CDR=P9")</f>
        <v>45464</v>
      </c>
      <c r="C393" s="15" cm="1">
        <f t="array" ref="C393">_xll.BDH("XAU Curncy","PX_LAST",A393,A393)</f>
        <v>2328.16</v>
      </c>
      <c r="D393" s="15" t="str" cm="1">
        <f t="array" ref="D393">_xll.BDP("GCQ24 Comdty",$M$32)</f>
        <v>01/08/2024</v>
      </c>
      <c r="E393" s="15">
        <f t="shared" si="194"/>
        <v>41</v>
      </c>
      <c r="F393" s="23">
        <v>5.45E-2</v>
      </c>
      <c r="G393" s="28">
        <f t="shared" si="167"/>
        <v>14.450759777777778</v>
      </c>
      <c r="H393" s="12">
        <v>13.6</v>
      </c>
      <c r="I393" s="63">
        <f t="shared" si="168"/>
        <v>-0.85075977777777823</v>
      </c>
      <c r="J393" s="26">
        <v>4</v>
      </c>
      <c r="K393" s="26">
        <v>6</v>
      </c>
      <c r="L393" s="26">
        <v>8</v>
      </c>
      <c r="N393" s="24">
        <v>45462</v>
      </c>
      <c r="O393" s="16" cm="1">
        <f t="array" ref="O393">_xll.BADDPERIODS(N393, "PER=WD", "NUMBEROFPERIODS=2", "BUSDAYADJ=-2", "CDR=GQ", "CDR=P9")</f>
        <v>45464</v>
      </c>
      <c r="P393" s="15" cm="1">
        <f t="array" ref="P393">_xll.BDH("XAG Curncy","PX_LAST",N393,N393)</f>
        <v>29.788699999999999</v>
      </c>
      <c r="Q393" s="15" t="str" cm="1">
        <f t="array" ref="Q393">_xll.BDP("SIN24 Comdty",$M$32)</f>
        <v>01/07/2024</v>
      </c>
      <c r="R393" s="15">
        <f t="shared" si="200"/>
        <v>10</v>
      </c>
      <c r="S393" s="23">
        <v>5.6000000000000001E-2</v>
      </c>
      <c r="T393" s="21">
        <f t="shared" si="181"/>
        <v>4.6337977777777775E-2</v>
      </c>
      <c r="U393" s="12">
        <v>5.7500000000000002E-2</v>
      </c>
      <c r="V393" s="62">
        <f t="shared" si="182"/>
        <v>1.1162022222222228</v>
      </c>
      <c r="W393" s="15">
        <v>15</v>
      </c>
      <c r="X393" s="15">
        <v>20</v>
      </c>
      <c r="Y393" s="15">
        <v>25</v>
      </c>
      <c r="Z393" s="18">
        <f t="shared" si="183"/>
        <v>4.6337977777777777</v>
      </c>
      <c r="AA393" s="18">
        <f t="shared" si="184"/>
        <v>5.75</v>
      </c>
      <c r="AB393" s="18">
        <f t="shared" si="185"/>
        <v>1.1162022222222228</v>
      </c>
      <c r="AE393" s="44">
        <v>17615692.269000001</v>
      </c>
      <c r="AF393" s="15" t="s">
        <v>43</v>
      </c>
      <c r="AG393" s="44">
        <v>444663</v>
      </c>
      <c r="AH393" s="44">
        <v>44466300</v>
      </c>
      <c r="AI393" s="48">
        <f t="shared" si="202"/>
        <v>0.39615826522557535</v>
      </c>
      <c r="AK393" s="44">
        <v>296338.28000000003</v>
      </c>
      <c r="AL393" s="15" t="s">
        <v>44</v>
      </c>
      <c r="AM393" s="47">
        <v>176837</v>
      </c>
      <c r="AN393" s="45">
        <v>335.15415891470678</v>
      </c>
      <c r="AO393" s="46">
        <v>29633828000.000004</v>
      </c>
      <c r="AP393" s="46">
        <v>884185</v>
      </c>
    </row>
    <row r="394" spans="1:42" x14ac:dyDescent="0.2">
      <c r="A394" s="24">
        <v>45463</v>
      </c>
      <c r="B394" s="16" cm="1">
        <f t="array" ref="B394">_xll.BADDPERIODS(A394, "PER=WD", "NUMBEROFPERIODS=2", "BUSDAYADJ=-2", "CDR=GQ", "CDR=P9")</f>
        <v>45467</v>
      </c>
      <c r="C394" s="15" cm="1">
        <f t="array" ref="C394">_xll.BDH("XAU Curncy","PX_LAST",A394,A394)</f>
        <v>2360.09</v>
      </c>
      <c r="D394" s="15" t="str" cm="1">
        <f t="array" ref="D394">_xll.BDP("GCQ24 Comdty",$M$32)</f>
        <v>01/08/2024</v>
      </c>
      <c r="E394" s="15">
        <f t="shared" si="194"/>
        <v>38</v>
      </c>
      <c r="F394" s="23">
        <v>5.45E-2</v>
      </c>
      <c r="G394" s="28">
        <f t="shared" si="167"/>
        <v>13.577073305555556</v>
      </c>
      <c r="H394" s="12">
        <v>13.5</v>
      </c>
      <c r="I394" s="63">
        <f t="shared" si="168"/>
        <v>-7.707330555555636E-2</v>
      </c>
      <c r="J394" s="26">
        <v>4</v>
      </c>
      <c r="K394" s="26">
        <v>6</v>
      </c>
      <c r="L394" s="26">
        <v>8</v>
      </c>
      <c r="N394" s="24">
        <v>45463</v>
      </c>
      <c r="O394" s="16" cm="1">
        <f t="array" ref="O394">_xll.BADDPERIODS(N394, "PER=WD", "NUMBEROFPERIODS=2", "BUSDAYADJ=-2", "CDR=GQ", "CDR=P9")</f>
        <v>45467</v>
      </c>
      <c r="P394" s="15" cm="1">
        <f t="array" ref="P394">_xll.BDH("XAG Curncy","PX_LAST",N394,N394)</f>
        <v>30.744599999999998</v>
      </c>
      <c r="Q394" s="15" t="str" cm="1">
        <f t="array" ref="Q394">_xll.BDP("SIN24 Comdty",$M$32)</f>
        <v>01/07/2024</v>
      </c>
      <c r="R394" s="15">
        <f t="shared" si="200"/>
        <v>7</v>
      </c>
      <c r="S394" s="23">
        <v>5.6000000000000001E-2</v>
      </c>
      <c r="T394" s="21">
        <f t="shared" si="181"/>
        <v>3.347745333333333E-2</v>
      </c>
      <c r="U394" s="12">
        <v>4.4999999999999998E-2</v>
      </c>
      <c r="V394" s="62">
        <f t="shared" si="182"/>
        <v>1.1522546666666669</v>
      </c>
      <c r="W394" s="15">
        <v>15</v>
      </c>
      <c r="X394" s="15">
        <v>20</v>
      </c>
      <c r="Y394" s="15">
        <v>25</v>
      </c>
      <c r="Z394" s="18">
        <f t="shared" si="183"/>
        <v>3.3477453333333331</v>
      </c>
      <c r="AA394" s="18">
        <f t="shared" si="184"/>
        <v>4.5</v>
      </c>
      <c r="AB394" s="18">
        <f t="shared" si="185"/>
        <v>1.1522546666666669</v>
      </c>
      <c r="AE394" s="44" cm="1">
        <f t="array" ref="AE394">_xll.BDH("COMXGOLD Comdty","PX_Last", N394)</f>
        <v>17579908.206</v>
      </c>
      <c r="AF394" s="15" t="str" cm="1">
        <f t="array" ref="AF394">_xll.BDS("GCA Comdty","FUT_CHAIN", "CHAIN_DATE",A394,"endrow=1")</f>
        <v>GCM24 Comdty</v>
      </c>
      <c r="AG394" s="44" cm="1">
        <f t="array" ref="AG394">_xll.BDH(AF394,"FUT_AGGTE_OPEN_INT",A394)</f>
        <v>457423</v>
      </c>
      <c r="AH394" s="44">
        <f t="shared" si="201"/>
        <v>45742300</v>
      </c>
      <c r="AI394" s="48">
        <f t="shared" si="202"/>
        <v>0.38432497285881995</v>
      </c>
      <c r="AK394" s="44" cm="1">
        <f t="array" ref="AK394">_xll.BDH("COMXSILV Comdty","PX_Last", N394)</f>
        <v>296824</v>
      </c>
      <c r="AL394" s="15" t="str" cm="1">
        <f t="array" ref="AL394">_xll.BDS("SIA Comdty","FUT_CHAIN", "CHAIN_DATE",A394,"endrow=1")</f>
        <v>SIM24 Comdty</v>
      </c>
      <c r="AM394" s="47" cm="1">
        <f t="array" ref="AM394">_xll.BDH(AL394,"FUT_AGGTE_OPEN_INT",A394)</f>
        <v>175578</v>
      </c>
      <c r="AN394" s="45">
        <f t="shared" si="203"/>
        <v>338.11069723997309</v>
      </c>
      <c r="AO394" s="46">
        <f t="shared" si="204"/>
        <v>29682400000</v>
      </c>
      <c r="AP394" s="46">
        <f t="shared" si="205"/>
        <v>877890</v>
      </c>
    </row>
    <row r="395" spans="1:42" x14ac:dyDescent="0.2">
      <c r="A395" s="24">
        <v>45464</v>
      </c>
      <c r="B395" s="16" cm="1">
        <f t="array" ref="B395">_xll.BADDPERIODS(A395, "PER=WD", "NUMBEROFPERIODS=2", "BUSDAYADJ=-2", "CDR=GQ", "CDR=P9")</f>
        <v>45468</v>
      </c>
      <c r="C395" s="15" cm="1">
        <f t="array" ref="C395">_xll.BDH("XAU Curncy","PX_LAST",A395,A395)</f>
        <v>2321.98</v>
      </c>
      <c r="D395" s="15" t="str" cm="1">
        <f t="array" ref="D395">_xll.BDP("GCQ24 Comdty",$M$32)</f>
        <v>01/08/2024</v>
      </c>
      <c r="E395" s="15">
        <f t="shared" si="194"/>
        <v>37</v>
      </c>
      <c r="F395" s="23">
        <v>5.45E-2</v>
      </c>
      <c r="G395" s="28">
        <f t="shared" si="167"/>
        <v>13.006312972222222</v>
      </c>
      <c r="H395" s="12">
        <v>13.5</v>
      </c>
      <c r="I395" s="63">
        <f t="shared" si="168"/>
        <v>0.49368702777777784</v>
      </c>
      <c r="J395" s="26">
        <v>4</v>
      </c>
      <c r="K395" s="26">
        <v>6</v>
      </c>
      <c r="L395" s="26">
        <v>8</v>
      </c>
      <c r="N395" s="24">
        <v>45464</v>
      </c>
      <c r="O395" s="16" cm="1">
        <f t="array" ref="O395">_xll.BADDPERIODS(N395, "PER=WD", "NUMBEROFPERIODS=2", "BUSDAYADJ=-2", "CDR=GQ", "CDR=P9")</f>
        <v>45468</v>
      </c>
      <c r="P395" s="15" cm="1">
        <f t="array" ref="P395">_xll.BDH("XAG Curncy","PX_LAST",N395,N395)</f>
        <v>29.554200000000002</v>
      </c>
      <c r="Q395" s="15" t="str" cm="1">
        <f t="array" ref="Q395">_xll.BDP("SIN24 Comdty",$M$32)</f>
        <v>01/07/2024</v>
      </c>
      <c r="R395" s="15">
        <f t="shared" si="200"/>
        <v>6</v>
      </c>
      <c r="S395" s="23">
        <v>5.6000000000000001E-2</v>
      </c>
      <c r="T395" s="21">
        <f t="shared" si="181"/>
        <v>2.7583920000000001E-2</v>
      </c>
      <c r="U395" s="12">
        <v>4.4999999999999998E-2</v>
      </c>
      <c r="V395" s="62">
        <f t="shared" si="182"/>
        <v>1.7416079999999996</v>
      </c>
      <c r="W395" s="15">
        <v>15</v>
      </c>
      <c r="X395" s="15">
        <v>20</v>
      </c>
      <c r="Y395" s="15">
        <v>25</v>
      </c>
      <c r="Z395" s="18">
        <f t="shared" si="183"/>
        <v>2.7583920000000002</v>
      </c>
      <c r="AA395" s="18">
        <f t="shared" si="184"/>
        <v>4.5</v>
      </c>
      <c r="AB395" s="18">
        <f t="shared" si="185"/>
        <v>1.7416079999999996</v>
      </c>
      <c r="AE395" s="44" cm="1">
        <f t="array" ref="AE395">_xll.BDH("COMXGOLD Comdty","PX_Last", N395)</f>
        <v>17576275.142999999</v>
      </c>
      <c r="AF395" s="15" t="s">
        <v>55</v>
      </c>
      <c r="AG395" s="44" cm="1">
        <f t="array" ref="AG395">_xll.BDH(AF395,"FUT_AGGTE_OPEN_INT",A395)</f>
        <v>453535</v>
      </c>
      <c r="AH395" s="44">
        <f t="shared" si="201"/>
        <v>45353500</v>
      </c>
      <c r="AI395" s="48">
        <f t="shared" si="202"/>
        <v>0.3875395535735941</v>
      </c>
      <c r="AK395" s="44" cm="1">
        <f t="array" ref="AK395">_xll.BDH("COMXSILV Comdty","PX_Last", N395)</f>
        <v>296815.09000000003</v>
      </c>
      <c r="AL395" s="15" t="s">
        <v>56</v>
      </c>
      <c r="AM395" s="47" cm="1">
        <f t="array" ref="AM395">_xll.BDH(AL395,"FUT_AGGTE_OPEN_INT",A395)</f>
        <v>174725</v>
      </c>
      <c r="AN395" s="45">
        <f t="shared" si="203"/>
        <v>339.75114036342825</v>
      </c>
      <c r="AO395" s="46">
        <f t="shared" si="204"/>
        <v>29681509000.000004</v>
      </c>
      <c r="AP395" s="46">
        <f t="shared" si="205"/>
        <v>873625</v>
      </c>
    </row>
    <row r="396" spans="1:42" x14ac:dyDescent="0.2">
      <c r="A396" s="24">
        <v>45467</v>
      </c>
      <c r="B396" s="16" cm="1">
        <f t="array" ref="B396">_xll.BADDPERIODS(A396, "PER=WD", "NUMBEROFPERIODS=2", "BUSDAYADJ=-2", "CDR=GQ", "CDR=P9")</f>
        <v>45469</v>
      </c>
      <c r="C396" s="15" cm="1">
        <f t="array" ref="C396">_xll.BDH("XAU Curncy","PX_LAST",A396,A396)</f>
        <v>2334.65</v>
      </c>
      <c r="D396" s="15" t="str" cm="1">
        <f t="array" ref="D396">_xll.BDP("GCQ24 Comdty",$M$32)</f>
        <v>01/08/2024</v>
      </c>
      <c r="E396" s="15">
        <f t="shared" si="194"/>
        <v>36</v>
      </c>
      <c r="F396" s="23">
        <v>5.4699999999999999E-2</v>
      </c>
      <c r="G396" s="28">
        <f t="shared" si="167"/>
        <v>12.770535500000001</v>
      </c>
      <c r="H396" s="12">
        <v>13.5</v>
      </c>
      <c r="I396" s="64">
        <f t="shared" si="168"/>
        <v>0.72946449999999885</v>
      </c>
      <c r="J396" s="26">
        <v>4</v>
      </c>
      <c r="K396" s="26">
        <v>6</v>
      </c>
      <c r="L396" s="26">
        <v>8</v>
      </c>
      <c r="M396" s="15"/>
      <c r="N396" s="24">
        <v>45467</v>
      </c>
      <c r="O396" s="16" cm="1">
        <f t="array" ref="O396">_xll.BADDPERIODS(N396, "PER=WD", "NUMBEROFPERIODS=2", "BUSDAYADJ=-2", "CDR=GQ", "CDR=P9")</f>
        <v>45469</v>
      </c>
      <c r="P396" s="15" cm="1">
        <f t="array" ref="P396">_xll.BDH("XAG Curncy","PX_LAST",N396,N396)</f>
        <v>29.5806</v>
      </c>
      <c r="Q396" s="15" t="str" cm="1">
        <f t="array" ref="Q396">_xll.BDP("SIN24 Comdty",$M$32)</f>
        <v>01/07/2024</v>
      </c>
      <c r="R396" s="15">
        <f t="shared" si="200"/>
        <v>5</v>
      </c>
      <c r="S396" s="23">
        <v>5.6000000000000001E-2</v>
      </c>
      <c r="T396" s="21">
        <f t="shared" si="181"/>
        <v>2.3007133333333332E-2</v>
      </c>
      <c r="U396" s="12">
        <v>3.5000000000000003E-2</v>
      </c>
      <c r="V396" s="62">
        <f t="shared" si="182"/>
        <v>1.1992866666666671</v>
      </c>
      <c r="W396" s="15">
        <v>15</v>
      </c>
      <c r="X396" s="15">
        <v>20</v>
      </c>
      <c r="Y396" s="15">
        <v>25</v>
      </c>
      <c r="Z396" s="18">
        <f t="shared" si="183"/>
        <v>2.3007133333333334</v>
      </c>
      <c r="AA396" s="18">
        <f t="shared" si="184"/>
        <v>3.5000000000000004</v>
      </c>
      <c r="AB396" s="18">
        <f t="shared" si="185"/>
        <v>1.1992866666666671</v>
      </c>
      <c r="AE396" s="44" cm="1">
        <f t="array" ref="AE396">_xll.BDH("COMXGOLD Comdty","PX_Last", N396)</f>
        <v>17576275.142999999</v>
      </c>
      <c r="AF396" s="15" t="s">
        <v>55</v>
      </c>
      <c r="AG396" s="44" cm="1">
        <f t="array" ref="AG396">_xll.BDH(AF396,"FUT_AGGTE_OPEN_INT",A396)</f>
        <v>453353</v>
      </c>
      <c r="AH396" s="44">
        <f t="shared" si="201"/>
        <v>45335300</v>
      </c>
      <c r="AI396" s="48">
        <f t="shared" si="202"/>
        <v>0.38769513255674937</v>
      </c>
      <c r="AK396" s="44" cm="1">
        <f t="array" ref="AK396">_xll.BDH("COMXSILV Comdty","PX_Last", N396)</f>
        <v>297415.13</v>
      </c>
      <c r="AL396" s="15" t="s">
        <v>56</v>
      </c>
      <c r="AM396" s="47" cm="1">
        <f t="array" ref="AM396">_xll.BDH(AL396,"FUT_AGGTE_OPEN_INT",A396)</f>
        <v>173099</v>
      </c>
      <c r="AN396" s="45">
        <f t="shared" si="203"/>
        <v>343.63587311307407</v>
      </c>
      <c r="AO396" s="46">
        <f t="shared" si="204"/>
        <v>29741513000</v>
      </c>
      <c r="AP396" s="46">
        <f t="shared" si="205"/>
        <v>865495</v>
      </c>
    </row>
    <row r="397" spans="1:42" x14ac:dyDescent="0.2">
      <c r="A397" s="24">
        <v>45468</v>
      </c>
      <c r="B397" s="16" cm="1">
        <f t="array" ref="B397">_xll.BADDPERIODS(A397, "PER=WD", "NUMBEROFPERIODS=2", "BUSDAYADJ=-2", "CDR=GQ", "CDR=P9")</f>
        <v>45470</v>
      </c>
      <c r="C397" s="15" cm="1">
        <f t="array" ref="C397">_xll.BDH("XAU Curncy","PX_LAST",A397,A397)</f>
        <v>2319.62</v>
      </c>
      <c r="D397" s="15" t="str" cm="1">
        <f t="array" ref="D397">_xll.BDP("GCQ24 Comdty",$M$32)</f>
        <v>01/08/2024</v>
      </c>
      <c r="E397" s="15">
        <f t="shared" si="194"/>
        <v>35</v>
      </c>
      <c r="F397" s="23">
        <v>5.4699999999999999E-2</v>
      </c>
      <c r="G397" s="28">
        <f t="shared" si="167"/>
        <v>12.335868027777778</v>
      </c>
      <c r="H397" s="12">
        <v>12.4</v>
      </c>
      <c r="I397" s="64">
        <f t="shared" si="168"/>
        <v>6.4131972222222444E-2</v>
      </c>
      <c r="J397" s="26">
        <v>4</v>
      </c>
      <c r="K397" s="26">
        <v>6</v>
      </c>
      <c r="L397" s="26">
        <v>8</v>
      </c>
      <c r="M397" s="15"/>
      <c r="N397" s="24">
        <v>45468</v>
      </c>
      <c r="O397" s="16" cm="1">
        <f t="array" ref="O397">_xll.BADDPERIODS(N397, "PER=WD", "NUMBEROFPERIODS=2", "BUSDAYADJ=-2", "CDR=GQ", "CDR=P9")</f>
        <v>45470</v>
      </c>
      <c r="P397" s="15" cm="1">
        <f t="array" ref="P397">_xll.BDH("XAG Curncy","PX_LAST",N397,N397)</f>
        <v>28.911000000000001</v>
      </c>
      <c r="Q397" s="15" t="str" cm="1">
        <f t="array" ref="Q397">_xll.BDP("SIN24 Comdty",$M$32)</f>
        <v>01/07/2024</v>
      </c>
      <c r="R397" s="15">
        <f t="shared" si="200"/>
        <v>4</v>
      </c>
      <c r="S397" s="23">
        <v>5.6000000000000001E-2</v>
      </c>
      <c r="T397" s="21">
        <f t="shared" si="181"/>
        <v>1.7989066666666668E-2</v>
      </c>
      <c r="U397" s="12">
        <v>0.03</v>
      </c>
      <c r="V397" s="62">
        <f t="shared" si="182"/>
        <v>1.2010933333333331</v>
      </c>
      <c r="W397" s="15">
        <v>15</v>
      </c>
      <c r="X397" s="15">
        <v>20</v>
      </c>
      <c r="Y397" s="15">
        <v>25</v>
      </c>
      <c r="Z397" s="18">
        <f t="shared" si="183"/>
        <v>1.7989066666666669</v>
      </c>
      <c r="AA397" s="18">
        <f t="shared" si="184"/>
        <v>3</v>
      </c>
      <c r="AB397" s="18">
        <f t="shared" si="185"/>
        <v>1.2010933333333331</v>
      </c>
      <c r="AE397" s="44" cm="1">
        <f t="array" ref="AE397">_xll.BDH("COMXGOLD Comdty","PX_Last", N397)</f>
        <v>17576275.142999999</v>
      </c>
      <c r="AF397" s="15" t="s">
        <v>55</v>
      </c>
      <c r="AG397" s="44" cm="1">
        <f t="array" ref="AG397">_xll.BDH(AF397,"FUT_AGGTE_OPEN_INT",A397)</f>
        <v>452190</v>
      </c>
      <c r="AH397" s="44">
        <f t="shared" si="201"/>
        <v>45219000</v>
      </c>
      <c r="AI397" s="48">
        <f t="shared" si="202"/>
        <v>0.38869225641876198</v>
      </c>
      <c r="AK397" s="44" cm="1">
        <f t="array" ref="AK397">_xll.BDH("COMXSILV Comdty","PX_Last", N397)</f>
        <v>297198.84000000003</v>
      </c>
      <c r="AL397" s="15" t="s">
        <v>56</v>
      </c>
      <c r="AM397" s="47" cm="1">
        <f t="array" ref="AM397">_xll.BDH(AL397,"FUT_AGGTE_OPEN_INT",A397)</f>
        <v>166470</v>
      </c>
      <c r="AN397" s="45">
        <f t="shared" si="203"/>
        <v>357.05993872769875</v>
      </c>
      <c r="AO397" s="46">
        <f t="shared" si="204"/>
        <v>29719884000.000004</v>
      </c>
      <c r="AP397" s="46">
        <f t="shared" si="205"/>
        <v>832350</v>
      </c>
    </row>
    <row r="398" spans="1:42" x14ac:dyDescent="0.2">
      <c r="A398" s="24">
        <v>45469</v>
      </c>
      <c r="B398" s="16" cm="1">
        <f t="array" ref="B398">_xll.BADDPERIODS(A398, "PER=WD", "NUMBEROFPERIODS=2", "BUSDAYADJ=-2", "CDR=GQ", "CDR=P9")</f>
        <v>45471</v>
      </c>
      <c r="C398" s="15" cm="1">
        <f t="array" ref="C398">_xll.BDH("XAU Curncy","PX_LAST",A398,A398)</f>
        <v>2298.23</v>
      </c>
      <c r="D398" s="15" t="str" cm="1">
        <f t="array" ref="D398">_xll.BDP("GCQ24 Comdty",$M$32)</f>
        <v>01/08/2024</v>
      </c>
      <c r="E398" s="15">
        <f t="shared" si="194"/>
        <v>34</v>
      </c>
      <c r="F398" s="23">
        <v>5.4699999999999999E-2</v>
      </c>
      <c r="G398" s="28">
        <f t="shared" si="167"/>
        <v>11.872911538888889</v>
      </c>
      <c r="H398" s="12">
        <v>11.85</v>
      </c>
      <c r="I398" s="64">
        <f t="shared" si="168"/>
        <v>-2.2911538888889638E-2</v>
      </c>
      <c r="J398" s="26">
        <v>4</v>
      </c>
      <c r="K398" s="26">
        <v>6</v>
      </c>
      <c r="L398" s="26">
        <v>8</v>
      </c>
      <c r="M398" s="15"/>
      <c r="N398" s="24">
        <v>45469</v>
      </c>
      <c r="O398" s="16" cm="1">
        <f t="array" ref="O398">_xll.BADDPERIODS(N398, "PER=WD", "NUMBEROFPERIODS=2", "BUSDAYADJ=-2", "CDR=GQ", "CDR=P9")</f>
        <v>45471</v>
      </c>
      <c r="P398" s="15" cm="1">
        <f t="array" ref="P398">_xll.BDH("XAG Curncy","PX_LAST",N398,N398)</f>
        <v>28.773</v>
      </c>
      <c r="Q398" s="15" t="str" cm="1">
        <f t="array" ref="Q398">_xll.BDP("SIN24 Comdty",$M$32)</f>
        <v>01/07/2024</v>
      </c>
      <c r="R398" s="15">
        <f t="shared" si="200"/>
        <v>3</v>
      </c>
      <c r="S398" s="23">
        <v>5.6000000000000001E-2</v>
      </c>
      <c r="T398" s="21">
        <f t="shared" si="181"/>
        <v>1.3427399999999999E-2</v>
      </c>
      <c r="U398" s="12">
        <v>1.7500000000000002E-2</v>
      </c>
      <c r="V398" s="62">
        <f t="shared" si="182"/>
        <v>0.40726000000000029</v>
      </c>
      <c r="W398" s="15">
        <v>15</v>
      </c>
      <c r="X398" s="15">
        <v>20</v>
      </c>
      <c r="Y398" s="15">
        <v>25</v>
      </c>
      <c r="Z398" s="18">
        <f t="shared" si="183"/>
        <v>1.3427399999999998</v>
      </c>
      <c r="AA398" s="18">
        <f t="shared" si="184"/>
        <v>1.7500000000000002</v>
      </c>
      <c r="AB398" s="18">
        <f t="shared" si="185"/>
        <v>0.40726000000000029</v>
      </c>
      <c r="AE398" s="44" cm="1">
        <f t="array" ref="AE398">_xll.BDH("COMXGOLD Comdty","PX_Last", N398)</f>
        <v>17598631.903000001</v>
      </c>
      <c r="AF398" s="15" t="s">
        <v>55</v>
      </c>
      <c r="AG398" s="44" cm="1">
        <f t="array" ref="AG398">_xll.BDH(AF398,"FUT_AGGTE_OPEN_INT",A398)</f>
        <v>442290</v>
      </c>
      <c r="AH398" s="44">
        <f t="shared" si="201"/>
        <v>44229000</v>
      </c>
      <c r="AI398" s="48">
        <f t="shared" si="202"/>
        <v>0.39789802851070566</v>
      </c>
      <c r="AK398" s="44" cm="1">
        <f t="array" ref="AK398">_xll.BDH("COMXSILV Comdty","PX_Last", N398)</f>
        <v>296265.40999999997</v>
      </c>
      <c r="AL398" s="15" t="s">
        <v>56</v>
      </c>
      <c r="AM398" s="47" cm="1">
        <f t="array" ref="AM398">_xll.BDH(AL398,"FUT_AGGTE_OPEN_INT",A398)</f>
        <v>160331</v>
      </c>
      <c r="AN398" s="45">
        <f t="shared" si="203"/>
        <v>369.5672203129775</v>
      </c>
      <c r="AO398" s="46">
        <f t="shared" si="204"/>
        <v>29626540999.999996</v>
      </c>
      <c r="AP398" s="46">
        <f t="shared" si="205"/>
        <v>801655</v>
      </c>
    </row>
    <row r="399" spans="1:42" x14ac:dyDescent="0.2">
      <c r="A399" s="24">
        <v>45470</v>
      </c>
      <c r="B399" s="16" cm="1">
        <f t="array" ref="B399">_xll.BADDPERIODS(A399, "PER=WD", "NUMBEROFPERIODS=2", "BUSDAYADJ=-2", "CDR=GQ", "CDR=P9")</f>
        <v>45474</v>
      </c>
      <c r="C399" s="15" cm="1">
        <f t="array" ref="C399">_xll.BDH("XAU Curncy","PX_LAST",A399,A399)</f>
        <v>2327.73</v>
      </c>
      <c r="D399" s="15" t="str" cm="1">
        <f t="array" ref="D399">_xll.BDP("GCQ24 Comdty",$M$32)</f>
        <v>01/08/2024</v>
      </c>
      <c r="E399" s="15">
        <f t="shared" si="194"/>
        <v>31</v>
      </c>
      <c r="F399" s="23">
        <v>5.4899999999999997E-2</v>
      </c>
      <c r="G399" s="28">
        <f t="shared" si="167"/>
        <v>11.004343575</v>
      </c>
      <c r="H399" s="12">
        <v>10.7</v>
      </c>
      <c r="I399" s="64">
        <f t="shared" si="168"/>
        <v>-0.30434357500000075</v>
      </c>
      <c r="J399" s="26">
        <v>4</v>
      </c>
      <c r="K399" s="26">
        <v>6</v>
      </c>
      <c r="L399" s="26">
        <v>8</v>
      </c>
      <c r="M399" s="15"/>
      <c r="N399" s="24">
        <v>45470</v>
      </c>
      <c r="O399" s="16" cm="1">
        <f t="array" ref="O399">_xll.BADDPERIODS(N399, "PER=WD", "NUMBEROFPERIODS=2", "BUSDAYADJ=-2", "CDR=GQ", "CDR=P9")</f>
        <v>45474</v>
      </c>
      <c r="P399" s="15" cm="1">
        <f t="array" ref="P399">_xll.BDH("XAG Curncy","PX_LAST",N399,N399)</f>
        <v>28.971399999999999</v>
      </c>
      <c r="Q399" s="15" t="str" cm="1">
        <f t="array" ref="Q399">_xll.BDP("SIU24 Comdty",$M$32)</f>
        <v>03/09/2024</v>
      </c>
      <c r="R399" s="15">
        <f t="shared" si="200"/>
        <v>64</v>
      </c>
      <c r="S399" s="23">
        <v>5.6000000000000001E-2</v>
      </c>
      <c r="T399" s="21">
        <f t="shared" si="181"/>
        <v>0.28842638222222222</v>
      </c>
      <c r="U399" s="12">
        <v>0.32500000000000001</v>
      </c>
      <c r="V399" s="62">
        <f t="shared" si="182"/>
        <v>3.6573617777777789</v>
      </c>
      <c r="W399" s="15">
        <v>15</v>
      </c>
      <c r="X399" s="15">
        <v>20</v>
      </c>
      <c r="Y399" s="15">
        <v>25</v>
      </c>
      <c r="Z399" s="18">
        <f t="shared" si="183"/>
        <v>28.842638222222224</v>
      </c>
      <c r="AA399" s="18">
        <f t="shared" si="184"/>
        <v>32.5</v>
      </c>
      <c r="AB399" s="18">
        <f t="shared" si="185"/>
        <v>3.6573617777777789</v>
      </c>
      <c r="AE399" s="44" cm="1">
        <f t="array" ref="AE399">_xll.BDH("COMXGOLD Comdty","PX_Last", N399)</f>
        <v>17566608.022999998</v>
      </c>
      <c r="AF399" s="15" t="s">
        <v>55</v>
      </c>
      <c r="AG399" s="44" cm="1">
        <f t="array" ref="AG399">_xll.BDH(AF399,"FUT_AGGTE_OPEN_INT",A399)</f>
        <v>448086</v>
      </c>
      <c r="AH399" s="44">
        <f t="shared" si="201"/>
        <v>44808600</v>
      </c>
      <c r="AI399" s="48">
        <f t="shared" si="202"/>
        <v>0.3920365292153738</v>
      </c>
      <c r="AK399" s="44" cm="1">
        <f t="array" ref="AK399">_xll.BDH("COMXSILV Comdty","PX_Last", N399)</f>
        <v>296895.78000000003</v>
      </c>
      <c r="AL399" s="15" t="s">
        <v>56</v>
      </c>
      <c r="AM399" s="47" cm="1">
        <f t="array" ref="AM399">_xll.BDH(AL399,"FUT_AGGTE_OPEN_INT",A399)</f>
        <v>158558</v>
      </c>
      <c r="AN399" s="45">
        <f t="shared" si="203"/>
        <v>374.49485992507476</v>
      </c>
      <c r="AO399" s="46">
        <f t="shared" si="204"/>
        <v>29689578000.000004</v>
      </c>
      <c r="AP399" s="46">
        <f>(AM399*5000)/1000</f>
        <v>792790</v>
      </c>
    </row>
    <row r="400" spans="1:42" x14ac:dyDescent="0.2">
      <c r="A400" s="24">
        <v>45471</v>
      </c>
      <c r="B400" s="16" cm="1">
        <f t="array" ref="B400">_xll.BADDPERIODS(A400, "PER=WD", "NUMBEROFPERIODS=2", "BUSDAYADJ=-2", "CDR=GQ", "CDR=P9")</f>
        <v>45475</v>
      </c>
      <c r="C400" s="15" cm="1">
        <f t="array" ref="C400">_xll.BDH("XAU Curncy","PX_LAST",A400,A400)</f>
        <v>2326.75</v>
      </c>
      <c r="D400" s="15" t="str" cm="1">
        <f t="array" ref="D400">_xll.BDP("GCQ24 Comdty",$M$32)</f>
        <v>01/08/2024</v>
      </c>
      <c r="E400" s="15">
        <f t="shared" si="194"/>
        <v>30</v>
      </c>
      <c r="F400" s="23">
        <v>5.4800000000000001E-2</v>
      </c>
      <c r="G400" s="28">
        <f t="shared" si="167"/>
        <v>10.625491666666665</v>
      </c>
      <c r="H400" s="12">
        <v>10.5</v>
      </c>
      <c r="I400" s="64">
        <f t="shared" si="168"/>
        <v>-0.12549166666666522</v>
      </c>
      <c r="J400" s="26">
        <v>4</v>
      </c>
      <c r="K400" s="26">
        <v>6</v>
      </c>
      <c r="L400" s="26">
        <v>8</v>
      </c>
      <c r="M400" s="15"/>
      <c r="N400" s="24">
        <v>45471</v>
      </c>
      <c r="O400" s="16" cm="1">
        <f t="array" ref="O400">_xll.BADDPERIODS(N400, "PER=WD", "NUMBEROFPERIODS=2", "BUSDAYADJ=-2", "CDR=GQ", "CDR=P9")</f>
        <v>45475</v>
      </c>
      <c r="P400" s="15" cm="1">
        <f t="array" ref="P400">_xll.BDH("XAG Curncy","PX_LAST",N400,N400)</f>
        <v>29.142900000000001</v>
      </c>
      <c r="Q400" s="15" t="str" cm="1">
        <f t="array" ref="Q400">_xll.BDP("SIU24 Comdty",$M$32)</f>
        <v>03/09/2024</v>
      </c>
      <c r="R400" s="15">
        <f t="shared" si="200"/>
        <v>63</v>
      </c>
      <c r="S400" s="23">
        <v>5.62E-2</v>
      </c>
      <c r="T400" s="21">
        <f t="shared" si="181"/>
        <v>0.2866204215</v>
      </c>
      <c r="U400" s="12">
        <v>0.30499999999999999</v>
      </c>
      <c r="V400" s="62">
        <f t="shared" si="182"/>
        <v>1.8379578499999993</v>
      </c>
      <c r="W400" s="15">
        <v>15</v>
      </c>
      <c r="X400" s="15">
        <v>20</v>
      </c>
      <c r="Y400" s="15">
        <v>25</v>
      </c>
      <c r="Z400" s="18">
        <f t="shared" si="183"/>
        <v>28.662042150000001</v>
      </c>
      <c r="AA400" s="18">
        <f t="shared" si="184"/>
        <v>30.5</v>
      </c>
      <c r="AB400" s="18">
        <f t="shared" si="185"/>
        <v>1.8379578499999993</v>
      </c>
      <c r="AE400" s="44" cm="1">
        <f t="array" ref="AE400">_xll.BDH("COMXGOLD Comdty","PX_Last", N400)</f>
        <v>17580810.306000002</v>
      </c>
      <c r="AF400" s="15" t="s">
        <v>55</v>
      </c>
      <c r="AG400" s="44" cm="1">
        <f t="array" ref="AG400">_xll.BDH(AF400,"FUT_AGGTE_OPEN_INT",A400)</f>
        <v>448354</v>
      </c>
      <c r="AH400" s="44">
        <f t="shared" si="201"/>
        <v>44835400</v>
      </c>
      <c r="AI400" s="48">
        <f t="shared" si="202"/>
        <v>0.39211895747556624</v>
      </c>
      <c r="AK400" s="44" cm="1">
        <f t="array" ref="AK400">_xll.BDH("COMXSILV Comdty","PX_Last", N400)</f>
        <v>297063.78000000003</v>
      </c>
      <c r="AL400" s="15" t="s">
        <v>56</v>
      </c>
      <c r="AM400" s="47" cm="1">
        <f t="array" ref="AM400">_xll.BDH(AL400,"FUT_AGGTE_OPEN_INT",A400)</f>
        <v>155336</v>
      </c>
      <c r="AN400" s="45">
        <f t="shared" si="203"/>
        <v>382.47898748519344</v>
      </c>
      <c r="AO400" s="46">
        <f t="shared" si="204"/>
        <v>29706378000.000004</v>
      </c>
      <c r="AP400" s="46">
        <f t="shared" si="205"/>
        <v>776680</v>
      </c>
    </row>
    <row r="401" spans="1:42" x14ac:dyDescent="0.2">
      <c r="A401" s="24">
        <v>45474</v>
      </c>
      <c r="B401" s="16" cm="1">
        <f t="array" ref="B401">_xll.BADDPERIODS(A401, "PER=WD", "NUMBEROFPERIODS=2", "BUSDAYADJ=-2", "CDR=GQ", "CDR=P9")</f>
        <v>45476</v>
      </c>
      <c r="C401" s="15" cm="1">
        <f t="array" ref="C401">_xll.BDH("XAU Curncy","PX_LAST",A401,A401)</f>
        <v>2331.9</v>
      </c>
      <c r="D401" s="15" t="str" cm="1">
        <f t="array" ref="D401">_xll.BDP("GCQ24 Comdty",$M$32)</f>
        <v>01/08/2024</v>
      </c>
      <c r="E401" s="15">
        <f t="shared" si="194"/>
        <v>29</v>
      </c>
      <c r="F401" s="23">
        <v>5.4800000000000001E-2</v>
      </c>
      <c r="G401" s="28">
        <f t="shared" si="167"/>
        <v>10.294043000000002</v>
      </c>
      <c r="H401" s="12">
        <v>10.15</v>
      </c>
      <c r="I401" s="64">
        <f t="shared" si="168"/>
        <v>-0.1440430000000017</v>
      </c>
      <c r="J401" s="26">
        <v>4</v>
      </c>
      <c r="K401" s="26">
        <v>6</v>
      </c>
      <c r="L401" s="26">
        <v>8</v>
      </c>
      <c r="M401" s="15"/>
      <c r="N401" s="24">
        <v>45474</v>
      </c>
      <c r="O401" s="16" cm="1">
        <f t="array" ref="O401">_xll.BADDPERIODS(N401, "PER=WD", "NUMBEROFPERIODS=2", "BUSDAYADJ=-2", "CDR=GQ", "CDR=P9")</f>
        <v>45476</v>
      </c>
      <c r="P401" s="15" cm="1">
        <f t="array" ref="P401">_xll.BDH("XAG Curncy","PX_LAST",N401,N401)</f>
        <v>29.450600000000001</v>
      </c>
      <c r="Q401" s="15" t="str" cm="1">
        <f t="array" ref="Q401">_xll.BDP("SIU24 Comdty",$M$32)</f>
        <v>03/09/2024</v>
      </c>
      <c r="R401" s="15">
        <f t="shared" si="200"/>
        <v>62</v>
      </c>
      <c r="S401" s="23">
        <v>5.62E-2</v>
      </c>
      <c r="T401" s="21">
        <f t="shared" ref="T401:T465" si="206">P401*(R401/360)*S401</f>
        <v>0.2850490851111111</v>
      </c>
      <c r="U401" s="12">
        <v>0.30499999999999999</v>
      </c>
      <c r="V401" s="62">
        <f t="shared" ref="V401:V465" si="207">100*(U401-T401)</f>
        <v>1.9950914888888893</v>
      </c>
      <c r="W401" s="15">
        <v>15</v>
      </c>
      <c r="X401" s="15">
        <v>20</v>
      </c>
      <c r="Y401" s="15">
        <v>25</v>
      </c>
      <c r="Z401" s="18">
        <f t="shared" ref="Z401:Z420" si="208">100*T401</f>
        <v>28.504908511111111</v>
      </c>
      <c r="AA401" s="18">
        <f t="shared" si="184"/>
        <v>30.5</v>
      </c>
      <c r="AB401" s="18">
        <f t="shared" ref="AB401:AB420" si="209">V401</f>
        <v>1.9950914888888893</v>
      </c>
      <c r="AE401" s="44" cm="1">
        <f t="array" ref="AE401">_xll.BDH("COMXGOLD Comdty","PX_Last", N401)</f>
        <v>17566511.559999999</v>
      </c>
      <c r="AF401" s="15" t="s">
        <v>61</v>
      </c>
      <c r="AG401" s="44" cm="1">
        <f t="array" ref="AG401">_xll.BDH(AF401,"FUT_AGGTE_OPEN_INT",A401)</f>
        <v>451708</v>
      </c>
      <c r="AH401" s="44">
        <f>AG401*$AG$17</f>
        <v>45170800</v>
      </c>
      <c r="AI401" s="48">
        <f t="shared" si="202"/>
        <v>0.38889086666607631</v>
      </c>
      <c r="AK401" s="44" cm="1">
        <f t="array" ref="AK401">_xll.BDH("COMXSILV Comdty","PX_Last", N401)</f>
        <v>297662.63</v>
      </c>
      <c r="AL401" s="15" t="s">
        <v>57</v>
      </c>
      <c r="AM401" s="47" cm="1">
        <f t="array" ref="AM401">_xll.BDH(AL401,"FUT_AGGTE_OPEN_INT",A401)</f>
        <v>154647</v>
      </c>
      <c r="AN401" s="45">
        <f t="shared" si="203"/>
        <v>384.95752261602235</v>
      </c>
      <c r="AO401" s="46">
        <f t="shared" si="204"/>
        <v>29766263000</v>
      </c>
      <c r="AP401" s="46">
        <f t="shared" si="205"/>
        <v>773235</v>
      </c>
    </row>
    <row r="402" spans="1:42" x14ac:dyDescent="0.2">
      <c r="A402" s="24">
        <v>45475</v>
      </c>
      <c r="B402" s="16" cm="1">
        <f t="array" ref="B402">_xll.BADDPERIODS(A402, "PER=WD", "NUMBEROFPERIODS=2", "BUSDAYADJ=-2", "CDR=GQ", "CDR=P9")</f>
        <v>45478</v>
      </c>
      <c r="C402" s="15" cm="1">
        <f t="array" ref="C402">_xll.BDH("XAU Curncy","PX_LAST",A402,A402)</f>
        <v>2329.46</v>
      </c>
      <c r="D402" s="15" t="str" cm="1">
        <f t="array" ref="D402">_xll.BDP("GCQ24 Comdty",$M$32)</f>
        <v>01/08/2024</v>
      </c>
      <c r="E402" s="15">
        <f t="shared" si="194"/>
        <v>27</v>
      </c>
      <c r="F402" s="23">
        <v>5.4800000000000001E-2</v>
      </c>
      <c r="G402" s="28">
        <f t="shared" si="167"/>
        <v>9.5740806000000003</v>
      </c>
      <c r="H402" s="12">
        <v>9.1999999999999993</v>
      </c>
      <c r="I402" s="64">
        <f t="shared" si="168"/>
        <v>-0.37408060000000098</v>
      </c>
      <c r="J402" s="26">
        <v>4</v>
      </c>
      <c r="K402" s="26">
        <v>6</v>
      </c>
      <c r="L402" s="26">
        <v>8</v>
      </c>
      <c r="M402" s="15"/>
      <c r="N402" s="24">
        <v>45475</v>
      </c>
      <c r="O402" s="16" cm="1">
        <f t="array" ref="O402">_xll.BADDPERIODS(N402, "PER=WD", "NUMBEROFPERIODS=2", "BUSDAYADJ=-2", "CDR=GQ", "CDR=P9")</f>
        <v>45478</v>
      </c>
      <c r="P402" s="15" cm="1">
        <f t="array" ref="P402">_xll.BDH("XAG Curncy","PX_LAST",N402,N402)</f>
        <v>29.527000000000001</v>
      </c>
      <c r="Q402" s="15" t="str" cm="1">
        <f t="array" ref="Q402">_xll.BDP("SIU24 Comdty",$M$32)</f>
        <v>03/09/2024</v>
      </c>
      <c r="R402" s="15">
        <f t="shared" si="200"/>
        <v>60</v>
      </c>
      <c r="S402" s="23">
        <v>5.62E-2</v>
      </c>
      <c r="T402" s="21">
        <f t="shared" si="206"/>
        <v>0.27656956666666666</v>
      </c>
      <c r="U402" s="12">
        <v>0.28499999999999998</v>
      </c>
      <c r="V402" s="62">
        <f t="shared" si="207"/>
        <v>0.84304333333333203</v>
      </c>
      <c r="W402" s="15">
        <v>15</v>
      </c>
      <c r="X402" s="15">
        <v>20</v>
      </c>
      <c r="Y402" s="15">
        <v>25</v>
      </c>
      <c r="Z402" s="18">
        <f t="shared" si="208"/>
        <v>27.656956666666666</v>
      </c>
      <c r="AA402" s="18">
        <f t="shared" si="184"/>
        <v>28.499999999999996</v>
      </c>
      <c r="AB402" s="18">
        <f t="shared" si="209"/>
        <v>0.84304333333333203</v>
      </c>
      <c r="AE402" s="44" cm="1">
        <f t="array" ref="AE402">_xll.BDH("COMXGOLD Comdty","PX_Last", N402)</f>
        <v>17566511.559999999</v>
      </c>
      <c r="AF402" s="15" t="s">
        <v>61</v>
      </c>
      <c r="AG402" s="44" cm="1">
        <f t="array" ref="AG402">_xll.BDH(AF402,"FUT_AGGTE_OPEN_INT",A402)</f>
        <v>454730</v>
      </c>
      <c r="AH402" s="44">
        <f t="shared" si="201"/>
        <v>45473000</v>
      </c>
      <c r="AI402" s="48">
        <f t="shared" si="202"/>
        <v>0.38630641391595011</v>
      </c>
      <c r="AK402" s="44" cm="1">
        <f t="array" ref="AK402">_xll.BDH("COMXSILV Comdty","PX_Last", N402)</f>
        <v>298178.53000000003</v>
      </c>
      <c r="AL402" s="15" t="s">
        <v>57</v>
      </c>
      <c r="AM402" s="47" cm="1">
        <f t="array" ref="AM402">_xll.BDH(AL402,"FUT_AGGTE_OPEN_INT",A402)</f>
        <v>154724</v>
      </c>
      <c r="AN402" s="45">
        <f t="shared" si="203"/>
        <v>385.43280938962283</v>
      </c>
      <c r="AO402" s="46">
        <f t="shared" si="204"/>
        <v>29817853000.000004</v>
      </c>
      <c r="AP402" s="46">
        <f t="shared" si="205"/>
        <v>773620</v>
      </c>
    </row>
    <row r="403" spans="1:42" x14ac:dyDescent="0.2">
      <c r="A403" s="24">
        <v>45476</v>
      </c>
      <c r="B403" s="16" cm="1">
        <f t="array" ref="B403">_xll.BADDPERIODS(A403, "PER=WD", "NUMBEROFPERIODS=2", "BUSDAYADJ=-2", "CDR=GQ", "CDR=P9")</f>
        <v>45481</v>
      </c>
      <c r="C403" s="15" cm="1">
        <f t="array" ref="C403">_xll.BDH("XAU Curncy","PX_LAST",A403,A403)</f>
        <v>2356.1999999999998</v>
      </c>
      <c r="D403" s="15" t="str" cm="1">
        <f t="array" ref="D403">_xll.BDP("GCQ24 Comdty",$M$32)</f>
        <v>01/08/2024</v>
      </c>
      <c r="E403" s="15">
        <f t="shared" si="194"/>
        <v>24</v>
      </c>
      <c r="F403" s="23">
        <v>5.4699999999999999E-2</v>
      </c>
      <c r="G403" s="28">
        <f t="shared" si="167"/>
        <v>8.5922759999999982</v>
      </c>
      <c r="H403" s="12">
        <v>9.35</v>
      </c>
      <c r="I403" s="64">
        <f t="shared" si="168"/>
        <v>0.7577240000000014</v>
      </c>
      <c r="J403" s="26">
        <v>4</v>
      </c>
      <c r="K403" s="26">
        <v>6</v>
      </c>
      <c r="L403" s="26">
        <v>8</v>
      </c>
      <c r="M403" s="15"/>
      <c r="N403" s="24">
        <v>45476</v>
      </c>
      <c r="O403" s="16" cm="1">
        <f t="array" ref="O403">_xll.BADDPERIODS(N403, "PER=WD", "NUMBEROFPERIODS=2", "BUSDAYADJ=-2", "CDR=GQ", "CDR=P9")</f>
        <v>45481</v>
      </c>
      <c r="P403" s="15" cm="1">
        <f t="array" ref="P403">_xll.BDH("XAG Curncy","PX_LAST",N403,N403)</f>
        <v>30.500699999999998</v>
      </c>
      <c r="Q403" s="15" t="str" cm="1">
        <f t="array" ref="Q403">_xll.BDP("SIU24 Comdty",$M$32)</f>
        <v>03/09/2024</v>
      </c>
      <c r="R403" s="15">
        <f t="shared" si="200"/>
        <v>57</v>
      </c>
      <c r="S403" s="23">
        <v>5.62E-2</v>
      </c>
      <c r="T403" s="21">
        <f t="shared" si="206"/>
        <v>0.27140539549999998</v>
      </c>
      <c r="U403" s="12">
        <v>0.29499999999999998</v>
      </c>
      <c r="V403" s="62">
        <f t="shared" si="207"/>
        <v>2.3594604500000003</v>
      </c>
      <c r="W403" s="15">
        <v>15</v>
      </c>
      <c r="X403" s="15">
        <v>20</v>
      </c>
      <c r="Y403" s="15">
        <v>25</v>
      </c>
      <c r="Z403" s="18">
        <f t="shared" si="208"/>
        <v>27.14053955</v>
      </c>
      <c r="AA403" s="18">
        <f t="shared" si="184"/>
        <v>29.5</v>
      </c>
      <c r="AB403" s="18">
        <f t="shared" si="209"/>
        <v>2.3594604500000003</v>
      </c>
      <c r="AE403" s="44" cm="1">
        <f t="array" ref="AE403">_xll.BDH("COMXGOLD Comdty","PX_Last", N403)</f>
        <v>17501649.557999998</v>
      </c>
      <c r="AF403" s="15" t="s">
        <v>61</v>
      </c>
      <c r="AG403" s="44" cm="1">
        <f t="array" ref="AG403">_xll.BDH(AF403,"FUT_AGGTE_OPEN_INT",A403)</f>
        <v>473114</v>
      </c>
      <c r="AH403" s="44">
        <f t="shared" si="201"/>
        <v>47311400</v>
      </c>
      <c r="AI403" s="48">
        <f t="shared" si="202"/>
        <v>0.36992457543002316</v>
      </c>
      <c r="AK403" s="44" cm="1">
        <f t="array" ref="AK403">_xll.BDH("COMXSILV Comdty","PX_Last", N403)</f>
        <v>297312.44</v>
      </c>
      <c r="AL403" s="15" t="s">
        <v>57</v>
      </c>
      <c r="AM403" s="47" cm="1">
        <f t="array" ref="AM403">_xll.BDH(AL403,"FUT_AGGTE_OPEN_INT",A403)</f>
        <v>156422</v>
      </c>
      <c r="AN403" s="45">
        <f t="shared" si="203"/>
        <v>380.14146347700449</v>
      </c>
      <c r="AO403" s="46">
        <f t="shared" si="204"/>
        <v>29731244000</v>
      </c>
      <c r="AP403" s="46">
        <f t="shared" si="205"/>
        <v>782110</v>
      </c>
    </row>
    <row r="404" spans="1:42" x14ac:dyDescent="0.2">
      <c r="A404" s="24">
        <v>45477</v>
      </c>
      <c r="B404" s="16" cm="1">
        <f t="array" ref="B404">_xll.BADDPERIODS(A404, "PER=WD", "NUMBEROFPERIODS=2", "BUSDAYADJ=-2", "CDR=GQ", "CDR=P9")</f>
        <v>45481</v>
      </c>
      <c r="C404" s="15" cm="1">
        <f t="array" ref="C404">_xll.BDH("XAU Curncy","PX_LAST",A404,A404)</f>
        <v>2356.69</v>
      </c>
      <c r="D404" s="15" t="str" cm="1">
        <f t="array" ref="D404">_xll.BDP("GCQ24 Comdty",$M$32)</f>
        <v>01/08/2024</v>
      </c>
      <c r="E404" s="15">
        <f t="shared" si="194"/>
        <v>24</v>
      </c>
      <c r="F404" s="23">
        <v>5.4699999999999999E-2</v>
      </c>
      <c r="G404" s="28">
        <f t="shared" si="167"/>
        <v>8.5940628666666665</v>
      </c>
      <c r="H404" s="12">
        <v>8.1999999999999993</v>
      </c>
      <c r="I404" s="64">
        <f t="shared" si="168"/>
        <v>-0.39406286666666723</v>
      </c>
      <c r="J404" s="26">
        <v>4</v>
      </c>
      <c r="K404" s="26">
        <v>6</v>
      </c>
      <c r="L404" s="26">
        <v>8</v>
      </c>
      <c r="M404" s="15"/>
      <c r="N404" s="24">
        <v>45477</v>
      </c>
      <c r="O404" s="16" cm="1">
        <f t="array" ref="O404">_xll.BADDPERIODS(N404, "PER=WD", "NUMBEROFPERIODS=2", "BUSDAYADJ=-2", "CDR=GQ", "CDR=P9")</f>
        <v>45481</v>
      </c>
      <c r="P404" s="15" cm="1">
        <f t="array" ref="P404">_xll.BDH("XAG Curncy","PX_LAST",N404,N404)</f>
        <v>30.396699999999999</v>
      </c>
      <c r="Q404" s="15" t="str" cm="1">
        <f t="array" ref="Q404">_xll.BDP("SIU24 Comdty",$M$32)</f>
        <v>03/09/2024</v>
      </c>
      <c r="R404" s="15">
        <f t="shared" si="200"/>
        <v>57</v>
      </c>
      <c r="S404" s="23">
        <v>5.62E-2</v>
      </c>
      <c r="T404" s="21">
        <f t="shared" si="206"/>
        <v>0.27047996883333331</v>
      </c>
      <c r="U404" s="12">
        <v>0.3</v>
      </c>
      <c r="V404" s="62">
        <f t="shared" si="207"/>
        <v>2.9520031166666683</v>
      </c>
      <c r="W404" s="15">
        <v>15</v>
      </c>
      <c r="X404" s="15">
        <v>20</v>
      </c>
      <c r="Y404" s="15">
        <v>25</v>
      </c>
      <c r="Z404" s="18">
        <f t="shared" si="208"/>
        <v>27.04799688333333</v>
      </c>
      <c r="AA404" s="18">
        <f t="shared" si="184"/>
        <v>30</v>
      </c>
      <c r="AB404" s="18">
        <f t="shared" si="209"/>
        <v>2.9520031166666683</v>
      </c>
      <c r="AE404" s="44">
        <v>17501649.557999998</v>
      </c>
      <c r="AF404" s="15" t="s">
        <v>61</v>
      </c>
      <c r="AG404" s="44">
        <v>473114</v>
      </c>
      <c r="AH404" s="44">
        <f t="shared" si="201"/>
        <v>47311400</v>
      </c>
      <c r="AI404" s="48">
        <f t="shared" si="202"/>
        <v>0.36992457543002316</v>
      </c>
      <c r="AK404" s="44">
        <v>297312.44</v>
      </c>
      <c r="AL404" s="15" t="s">
        <v>57</v>
      </c>
      <c r="AM404" s="47">
        <v>156422</v>
      </c>
      <c r="AN404" s="45">
        <f t="shared" si="203"/>
        <v>380.14146347700449</v>
      </c>
      <c r="AO404" s="46">
        <f t="shared" si="204"/>
        <v>29731244000</v>
      </c>
      <c r="AP404" s="46">
        <f>(AM404*5000)/1000</f>
        <v>782110</v>
      </c>
    </row>
    <row r="405" spans="1:42" x14ac:dyDescent="0.2">
      <c r="A405" s="24">
        <v>45478</v>
      </c>
      <c r="B405" s="16" cm="1">
        <f t="array" ref="B405">_xll.BADDPERIODS(A405, "PER=WD", "NUMBEROFPERIODS=2", "BUSDAYADJ=-2", "CDR=GQ", "CDR=P9")</f>
        <v>45482</v>
      </c>
      <c r="C405" s="15" cm="1">
        <f t="array" ref="C405">_xll.BDH("XAU Curncy","PX_LAST",A405,A405)</f>
        <v>2392.16</v>
      </c>
      <c r="D405" s="15" t="str" cm="1">
        <f t="array" ref="D405">_xll.BDP("GCQ24 Comdty",$M$32)</f>
        <v>01/08/2024</v>
      </c>
      <c r="E405" s="15">
        <f t="shared" si="194"/>
        <v>23</v>
      </c>
      <c r="F405" s="23">
        <v>5.4800000000000001E-2</v>
      </c>
      <c r="G405" s="28">
        <f t="shared" si="167"/>
        <v>8.3752179555555557</v>
      </c>
      <c r="H405" s="12">
        <v>7.8</v>
      </c>
      <c r="I405" s="64">
        <f t="shared" si="168"/>
        <v>-0.57521795555555588</v>
      </c>
      <c r="J405" s="26">
        <v>4</v>
      </c>
      <c r="K405" s="26">
        <v>6</v>
      </c>
      <c r="L405" s="26">
        <v>8</v>
      </c>
      <c r="M405" s="15"/>
      <c r="N405" s="24">
        <v>45478</v>
      </c>
      <c r="O405" s="16" cm="1">
        <f t="array" ref="O405">_xll.BADDPERIODS(N405, "PER=WD", "NUMBEROFPERIODS=2", "BUSDAYADJ=-2", "CDR=GQ", "CDR=P9")</f>
        <v>45482</v>
      </c>
      <c r="P405" s="15" cm="1">
        <f t="array" ref="P405">_xll.BDH("XAG Curncy","PX_LAST",N405,N405)</f>
        <v>31.219000000000001</v>
      </c>
      <c r="Q405" s="15" t="str" cm="1">
        <f t="array" ref="Q405">_xll.BDP("SIU24 Comdty",$M$32)</f>
        <v>03/09/2024</v>
      </c>
      <c r="R405" s="15">
        <f t="shared" si="200"/>
        <v>56</v>
      </c>
      <c r="S405" s="23">
        <v>5.6500000000000002E-2</v>
      </c>
      <c r="T405" s="21">
        <f t="shared" si="206"/>
        <v>0.27438032222222225</v>
      </c>
      <c r="U405" s="12">
        <v>0.3</v>
      </c>
      <c r="V405" s="62">
        <f t="shared" si="207"/>
        <v>2.5619677777777738</v>
      </c>
      <c r="W405" s="15">
        <v>15</v>
      </c>
      <c r="X405" s="15">
        <v>20</v>
      </c>
      <c r="Y405" s="15">
        <v>25</v>
      </c>
      <c r="Z405" s="18">
        <f t="shared" si="208"/>
        <v>27.438032222222226</v>
      </c>
      <c r="AA405" s="18">
        <f t="shared" si="184"/>
        <v>30</v>
      </c>
      <c r="AB405" s="18">
        <f t="shared" si="209"/>
        <v>2.5619677777777738</v>
      </c>
      <c r="AE405" s="44" cm="1">
        <f t="array" ref="AE405">_xll.BDH("COMXGOLD Comdty","PX_Last", N405)</f>
        <v>17615350.758000001</v>
      </c>
      <c r="AF405" s="15" t="s">
        <v>61</v>
      </c>
      <c r="AG405" s="44" cm="1">
        <f t="array" ref="AG405">_xll.BDH(AF405,"FUT_AGGTE_OPEN_INT",A405)</f>
        <v>507642</v>
      </c>
      <c r="AH405" s="44">
        <f t="shared" si="201"/>
        <v>50764200</v>
      </c>
      <c r="AI405" s="48">
        <f t="shared" si="202"/>
        <v>0.34700341496566478</v>
      </c>
      <c r="AK405" s="44" cm="1">
        <f t="array" ref="AK405">_xll.BDH("COMXSILV Comdty","PX_Last", N405)</f>
        <v>297910.71999999997</v>
      </c>
      <c r="AL405" s="15" t="s">
        <v>57</v>
      </c>
      <c r="AM405" s="47" cm="1">
        <f t="array" ref="AM405">_xll.BDH(AL405,"FUT_AGGTE_OPEN_INT",A405)</f>
        <v>161730</v>
      </c>
      <c r="AN405" s="45">
        <f t="shared" si="203"/>
        <v>368.40502071353484</v>
      </c>
      <c r="AO405" s="46">
        <f t="shared" si="204"/>
        <v>29791071999.999996</v>
      </c>
      <c r="AP405" s="46">
        <f>(AM405*5000)/1000</f>
        <v>808650</v>
      </c>
    </row>
    <row r="406" spans="1:42" x14ac:dyDescent="0.2">
      <c r="A406" s="24">
        <v>45481</v>
      </c>
      <c r="B406" s="16" cm="1">
        <f t="array" ref="B406">_xll.BADDPERIODS(A406, "PER=WD", "NUMBEROFPERIODS=2", "BUSDAYADJ=-2", "CDR=GQ", "CDR=P9")</f>
        <v>45483</v>
      </c>
      <c r="C406" s="15" cm="1">
        <f t="array" ref="C406">_xll.BDH("XAU Curncy","PX_LAST",A406,A406)</f>
        <v>2359.13</v>
      </c>
      <c r="D406" s="15" t="str" cm="1">
        <f t="array" ref="D406">_xll.BDP("GCQ24 Comdty",$M$32)</f>
        <v>01/08/2024</v>
      </c>
      <c r="E406" s="15">
        <f t="shared" si="194"/>
        <v>22</v>
      </c>
      <c r="F406" s="23">
        <v>5.4899999999999997E-2</v>
      </c>
      <c r="G406" s="28">
        <f t="shared" si="167"/>
        <v>7.9148811500000003</v>
      </c>
      <c r="H406" s="12">
        <v>7.45</v>
      </c>
      <c r="I406" s="64">
        <f t="shared" si="168"/>
        <v>-0.46488115000000008</v>
      </c>
      <c r="J406" s="26">
        <v>4</v>
      </c>
      <c r="K406" s="26">
        <v>6</v>
      </c>
      <c r="L406" s="26">
        <v>8</v>
      </c>
      <c r="M406" s="15"/>
      <c r="N406" s="24">
        <v>45481</v>
      </c>
      <c r="O406" s="16" cm="1">
        <f t="array" ref="O406">_xll.BADDPERIODS(N406, "PER=WD", "NUMBEROFPERIODS=2", "BUSDAYADJ=-2", "CDR=GQ", "CDR=P9")</f>
        <v>45483</v>
      </c>
      <c r="P406" s="15" cm="1">
        <f t="array" ref="P406">_xll.BDH("XAG Curncy","PX_LAST",N406,N406)</f>
        <v>30.763400000000001</v>
      </c>
      <c r="Q406" s="15" t="str" cm="1">
        <f t="array" ref="Q406">_xll.BDP("SIU24 Comdty",$M$32)</f>
        <v>03/09/2024</v>
      </c>
      <c r="R406" s="15">
        <f t="shared" si="200"/>
        <v>55</v>
      </c>
      <c r="S406" s="23">
        <v>5.6500000000000002E-2</v>
      </c>
      <c r="T406" s="21">
        <f t="shared" si="206"/>
        <v>0.26554795972222223</v>
      </c>
      <c r="U406" s="12">
        <v>0.29249999999999998</v>
      </c>
      <c r="V406" s="62">
        <f t="shared" si="207"/>
        <v>2.6952040277777756</v>
      </c>
      <c r="W406" s="15">
        <v>15</v>
      </c>
      <c r="X406" s="15">
        <v>20</v>
      </c>
      <c r="Y406" s="15">
        <v>25</v>
      </c>
      <c r="Z406" s="18">
        <f t="shared" si="208"/>
        <v>26.554795972222223</v>
      </c>
      <c r="AA406" s="18">
        <f t="shared" si="184"/>
        <v>29.25</v>
      </c>
      <c r="AB406" s="18">
        <f t="shared" si="209"/>
        <v>2.6952040277777756</v>
      </c>
      <c r="AE406" s="44" cm="1">
        <f t="array" ref="AE406">_xll.BDH("COMXGOLD Comdty","PX_Last", N406)</f>
        <v>17699873.908</v>
      </c>
      <c r="AF406" s="15" t="s">
        <v>61</v>
      </c>
      <c r="AG406" s="44" cm="1">
        <f t="array" ref="AG406">_xll.BDH(AF406,"FUT_AGGTE_OPEN_INT",A406)</f>
        <v>510067</v>
      </c>
      <c r="AH406" s="44">
        <f t="shared" si="201"/>
        <v>51006700</v>
      </c>
      <c r="AI406" s="48">
        <f t="shared" si="202"/>
        <v>0.34701076344872339</v>
      </c>
      <c r="AK406" s="44" cm="1">
        <f t="array" ref="AK406">_xll.BDH("COMXSILV Comdty","PX_Last", N406)</f>
        <v>299096.09000000003</v>
      </c>
      <c r="AL406" s="15" t="s">
        <v>57</v>
      </c>
      <c r="AM406" s="47" cm="1">
        <f t="array" ref="AM406">_xll.BDH(AL406,"FUT_AGGTE_OPEN_INT",A406)</f>
        <v>162287</v>
      </c>
      <c r="AN406" s="45">
        <f t="shared" si="203"/>
        <v>368.60141600990841</v>
      </c>
      <c r="AO406" s="46">
        <f t="shared" si="204"/>
        <v>29909609000.000004</v>
      </c>
      <c r="AP406" s="46">
        <f t="shared" si="205"/>
        <v>811435</v>
      </c>
    </row>
    <row r="407" spans="1:42" x14ac:dyDescent="0.2">
      <c r="A407" s="24">
        <v>45482</v>
      </c>
      <c r="B407" s="16" cm="1">
        <f t="array" ref="B407">_xll.BADDPERIODS(A407, "PER=WD", "NUMBEROFPERIODS=2", "BUSDAYADJ=-2", "CDR=GQ", "CDR=P9")</f>
        <v>45484</v>
      </c>
      <c r="C407" s="15" cm="1">
        <f t="array" ref="C407">_xll.BDH("XAU Curncy","PX_LAST",A407,A407)</f>
        <v>2364.09</v>
      </c>
      <c r="D407" s="15" t="str" cm="1">
        <f t="array" ref="D407">_xll.BDP("GCQ24 Comdty",$M$32)</f>
        <v>01/08/2024</v>
      </c>
      <c r="E407" s="15">
        <f t="shared" si="194"/>
        <v>21</v>
      </c>
      <c r="F407" s="23">
        <v>5.5E-2</v>
      </c>
      <c r="G407" s="28">
        <f t="shared" si="167"/>
        <v>7.5847887500000013</v>
      </c>
      <c r="H407" s="12">
        <v>7.1</v>
      </c>
      <c r="I407" s="64">
        <f t="shared" si="168"/>
        <v>-0.48478875000000166</v>
      </c>
      <c r="J407" s="26">
        <v>4</v>
      </c>
      <c r="K407" s="26">
        <v>6</v>
      </c>
      <c r="L407" s="26">
        <v>8</v>
      </c>
      <c r="M407" s="15"/>
      <c r="N407" s="24">
        <v>45482</v>
      </c>
      <c r="O407" s="16" cm="1">
        <f t="array" ref="O407">_xll.BADDPERIODS(N407, "PER=WD", "NUMBEROFPERIODS=2", "BUSDAYADJ=-2", "CDR=GQ", "CDR=P9")</f>
        <v>45484</v>
      </c>
      <c r="P407" s="15" cm="1">
        <f t="array" ref="P407">_xll.BDH("XAG Curncy","PX_LAST",N407,N407)</f>
        <v>30.802</v>
      </c>
      <c r="Q407" s="15" t="str" cm="1">
        <f t="array" ref="Q407">_xll.BDP("SIU24 Comdty",$M$32)</f>
        <v>03/09/2024</v>
      </c>
      <c r="R407" s="15">
        <f t="shared" si="200"/>
        <v>54</v>
      </c>
      <c r="S407" s="23">
        <v>5.67E-2</v>
      </c>
      <c r="T407" s="21">
        <f t="shared" si="206"/>
        <v>0.26197100999999995</v>
      </c>
      <c r="U407" s="12">
        <v>0.27750000000000002</v>
      </c>
      <c r="V407" s="62">
        <f t="shared" si="207"/>
        <v>1.5528990000000076</v>
      </c>
      <c r="W407" s="15">
        <v>15</v>
      </c>
      <c r="X407" s="15">
        <v>20</v>
      </c>
      <c r="Y407" s="15">
        <v>25</v>
      </c>
      <c r="Z407" s="18">
        <f t="shared" si="208"/>
        <v>26.197100999999996</v>
      </c>
      <c r="AA407" s="18">
        <f t="shared" si="184"/>
        <v>27.750000000000004</v>
      </c>
      <c r="AB407" s="18">
        <f t="shared" si="209"/>
        <v>1.5528990000000076</v>
      </c>
      <c r="AE407" s="44" cm="1">
        <f t="array" ref="AE407">_xll.BDH("COMXGOLD Comdty","PX_Last", N407)</f>
        <v>17699777.454999998</v>
      </c>
      <c r="AF407" s="15" t="s">
        <v>61</v>
      </c>
      <c r="AG407" s="44" cm="1">
        <f t="array" ref="AG407">_xll.BDH(AF407,"FUT_AGGTE_OPEN_INT",A407)</f>
        <v>516324</v>
      </c>
      <c r="AH407" s="44">
        <f t="shared" si="201"/>
        <v>51632400</v>
      </c>
      <c r="AI407" s="48">
        <f t="shared" si="202"/>
        <v>0.34280369409518052</v>
      </c>
      <c r="AK407" s="44" cm="1">
        <f t="array" ref="AK407">_xll.BDH("COMXSILV Comdty","PX_Last", N407)</f>
        <v>298501.53000000003</v>
      </c>
      <c r="AL407" s="15" t="s">
        <v>57</v>
      </c>
      <c r="AM407" s="47" cm="1">
        <f t="array" ref="AM407">_xll.BDH(AL407,"FUT_AGGTE_OPEN_INT",A407)</f>
        <v>163245</v>
      </c>
      <c r="AN407" s="45">
        <f t="shared" si="203"/>
        <v>365.70985941376466</v>
      </c>
      <c r="AO407" s="46">
        <f t="shared" si="204"/>
        <v>29850153000.000004</v>
      </c>
      <c r="AP407" s="46">
        <f t="shared" si="205"/>
        <v>816225</v>
      </c>
    </row>
    <row r="408" spans="1:42" x14ac:dyDescent="0.2">
      <c r="A408" s="24">
        <v>45483</v>
      </c>
      <c r="B408" s="16" cm="1">
        <f t="array" ref="B408">_xll.BADDPERIODS(A408, "PER=WD", "NUMBEROFPERIODS=2", "BUSDAYADJ=-2", "CDR=GQ", "CDR=P9")</f>
        <v>45485</v>
      </c>
      <c r="C408" s="15" cm="1">
        <f t="array" ref="C408">_xll.BDH("XAU Curncy","PX_LAST",A408,A408)</f>
        <v>2371.2600000000002</v>
      </c>
      <c r="D408" s="15" t="str" cm="1">
        <f t="array" ref="D408">_xll.BDP("GCQ24 Comdty",$M$32)</f>
        <v>01/08/2024</v>
      </c>
      <c r="E408" s="15">
        <f t="shared" si="194"/>
        <v>20</v>
      </c>
      <c r="F408" s="23">
        <v>5.5E-2</v>
      </c>
      <c r="G408" s="28">
        <f t="shared" si="167"/>
        <v>7.245516666666667</v>
      </c>
      <c r="H408" s="12">
        <v>6.55</v>
      </c>
      <c r="I408" s="64">
        <f t="shared" si="168"/>
        <v>-0.69551666666666723</v>
      </c>
      <c r="J408" s="26">
        <v>4</v>
      </c>
      <c r="K408" s="26">
        <v>6</v>
      </c>
      <c r="L408" s="26">
        <v>8</v>
      </c>
      <c r="M408" s="15"/>
      <c r="N408" s="24">
        <v>45483</v>
      </c>
      <c r="O408" s="16" cm="1">
        <f t="array" ref="O408">_xll.BADDPERIODS(N408, "PER=WD", "NUMBEROFPERIODS=2", "BUSDAYADJ=-2", "CDR=GQ", "CDR=P9")</f>
        <v>45485</v>
      </c>
      <c r="P408" s="15" cm="1">
        <f t="array" ref="P408">_xll.BDH("XAG Curncy","PX_LAST",N408,N408)</f>
        <v>30.815799999999999</v>
      </c>
      <c r="Q408" s="15" t="str" cm="1">
        <f t="array" ref="Q408">_xll.BDP("SIU24 Comdty",$M$32)</f>
        <v>03/09/2024</v>
      </c>
      <c r="R408" s="15">
        <f t="shared" si="200"/>
        <v>53</v>
      </c>
      <c r="S408" s="23">
        <v>5.67E-2</v>
      </c>
      <c r="T408" s="21">
        <f t="shared" si="206"/>
        <v>0.25723489050000004</v>
      </c>
      <c r="U408" s="12">
        <v>0.27250000000000002</v>
      </c>
      <c r="V408" s="62">
        <f t="shared" si="207"/>
        <v>1.5265109499999985</v>
      </c>
      <c r="W408" s="15">
        <v>15</v>
      </c>
      <c r="X408" s="15">
        <v>20</v>
      </c>
      <c r="Y408" s="15">
        <v>25</v>
      </c>
      <c r="Z408" s="18">
        <f t="shared" si="208"/>
        <v>25.723489050000005</v>
      </c>
      <c r="AA408" s="18">
        <f t="shared" si="184"/>
        <v>27.250000000000004</v>
      </c>
      <c r="AB408" s="18">
        <f t="shared" si="209"/>
        <v>1.5265109499999985</v>
      </c>
      <c r="AE408" s="44" cm="1">
        <f t="array" ref="AE408">_xll.BDH("COMXGOLD Comdty","PX_Last", N408)</f>
        <v>17699745.305</v>
      </c>
      <c r="AF408" s="15" t="s">
        <v>61</v>
      </c>
      <c r="AG408" s="44" cm="1">
        <f t="array" ref="AG408">_xll.BDH(AF408,"FUT_AGGTE_OPEN_INT",A408)</f>
        <v>528741</v>
      </c>
      <c r="AH408" s="44">
        <f t="shared" si="201"/>
        <v>52874100</v>
      </c>
      <c r="AI408" s="48">
        <f t="shared" si="202"/>
        <v>0.33475265404044702</v>
      </c>
      <c r="AK408" s="44" cm="1">
        <f t="array" ref="AK408">_xll.BDH("COMXSILV Comdty","PX_Last", N408)</f>
        <v>298496.40999999997</v>
      </c>
      <c r="AL408" s="15" t="s">
        <v>57</v>
      </c>
      <c r="AM408" s="47" cm="1">
        <f t="array" ref="AM408">_xll.BDH(AL408,"FUT_AGGTE_OPEN_INT",A408)</f>
        <v>164014</v>
      </c>
      <c r="AN408" s="45">
        <f t="shared" si="203"/>
        <v>363.98893996853917</v>
      </c>
      <c r="AO408" s="46">
        <f t="shared" si="204"/>
        <v>29849640999.999996</v>
      </c>
      <c r="AP408" s="46">
        <f t="shared" si="205"/>
        <v>820070</v>
      </c>
    </row>
    <row r="409" spans="1:42" x14ac:dyDescent="0.2">
      <c r="A409" s="24">
        <v>45484</v>
      </c>
      <c r="B409" s="16" cm="1">
        <f t="array" ref="B409">_xll.BADDPERIODS(A409, "PER=WD", "NUMBEROFPERIODS=2", "BUSDAYADJ=-2", "CDR=GQ", "CDR=P9")</f>
        <v>45488</v>
      </c>
      <c r="C409" s="15" cm="1">
        <f t="array" ref="C409">_xll.BDH("XAU Curncy","PX_LAST",A409,A409)</f>
        <v>2415.48</v>
      </c>
      <c r="D409" s="15" t="str" cm="1">
        <f t="array" ref="D409">_xll.BDP("GCQ24 Comdty",$M$32)</f>
        <v>01/08/2024</v>
      </c>
      <c r="E409" s="15">
        <f t="shared" si="194"/>
        <v>17</v>
      </c>
      <c r="F409" s="23">
        <v>5.5E-2</v>
      </c>
      <c r="G409" s="28">
        <f t="shared" si="167"/>
        <v>6.2735383333333337</v>
      </c>
      <c r="H409" s="12">
        <v>5.5</v>
      </c>
      <c r="I409" s="64">
        <f t="shared" si="168"/>
        <v>-0.77353833333333366</v>
      </c>
      <c r="J409" s="26">
        <v>4</v>
      </c>
      <c r="K409" s="26">
        <v>6</v>
      </c>
      <c r="L409" s="26">
        <v>8</v>
      </c>
      <c r="M409" s="15"/>
      <c r="N409" s="24">
        <v>45484</v>
      </c>
      <c r="O409" s="16" cm="1">
        <f t="array" ref="O409">_xll.BADDPERIODS(N409, "PER=WD", "NUMBEROFPERIODS=2", "BUSDAYADJ=-2", "CDR=GQ", "CDR=P9")</f>
        <v>45488</v>
      </c>
      <c r="P409" s="15" cm="1">
        <f t="array" ref="P409">_xll.BDH("XAG Curncy","PX_LAST",N409,N409)</f>
        <v>31.463999999999999</v>
      </c>
      <c r="Q409" s="15" t="str" cm="1">
        <f t="array" ref="Q409">_xll.BDP("SIU24 Comdty",$M$32)</f>
        <v>03/09/2024</v>
      </c>
      <c r="R409" s="15">
        <f t="shared" si="200"/>
        <v>50</v>
      </c>
      <c r="S409" s="23">
        <v>5.7500000000000002E-2</v>
      </c>
      <c r="T409" s="21">
        <f t="shared" si="206"/>
        <v>0.25127500000000003</v>
      </c>
      <c r="U409" s="12">
        <v>0.27</v>
      </c>
      <c r="V409" s="62">
        <f t="shared" si="207"/>
        <v>1.8724999999999992</v>
      </c>
      <c r="W409" s="15">
        <v>15</v>
      </c>
      <c r="X409" s="15">
        <v>20</v>
      </c>
      <c r="Y409" s="15">
        <v>25</v>
      </c>
      <c r="Z409" s="18">
        <f t="shared" si="208"/>
        <v>25.127500000000001</v>
      </c>
      <c r="AA409" s="18">
        <f t="shared" si="184"/>
        <v>27</v>
      </c>
      <c r="AB409" s="18">
        <f t="shared" si="209"/>
        <v>1.8724999999999992</v>
      </c>
      <c r="AE409" s="44" cm="1">
        <f t="array" ref="AE409">_xll.BDH("COMXGOLD Comdty","PX_Last", N409)</f>
        <v>17699809.607000001</v>
      </c>
      <c r="AF409" s="15" t="s">
        <v>61</v>
      </c>
      <c r="AG409" s="44" cm="1">
        <f t="array" ref="AG409">_xll.BDH(AF409,"FUT_AGGTE_OPEN_INT",A409)</f>
        <v>556967</v>
      </c>
      <c r="AH409" s="44">
        <f t="shared" si="201"/>
        <v>55696700</v>
      </c>
      <c r="AI409" s="48">
        <f t="shared" si="202"/>
        <v>0.31778919769034791</v>
      </c>
      <c r="AK409" s="44" cm="1">
        <f t="array" ref="AK409">_xll.BDH("COMXSILV Comdty","PX_Last", N409)</f>
        <v>297503.94</v>
      </c>
      <c r="AL409" s="15" t="s">
        <v>57</v>
      </c>
      <c r="AM409" s="47" cm="1">
        <f t="array" ref="AM409">_xll.BDH(AL409,"FUT_AGGTE_OPEN_INT",A409)</f>
        <v>165180</v>
      </c>
      <c r="AN409" s="45">
        <f t="shared" si="203"/>
        <v>360.21787141300405</v>
      </c>
      <c r="AO409" s="46">
        <f t="shared" si="204"/>
        <v>29750394000</v>
      </c>
      <c r="AP409" s="46">
        <f t="shared" si="205"/>
        <v>825900</v>
      </c>
    </row>
    <row r="410" spans="1:42" x14ac:dyDescent="0.2">
      <c r="A410" s="24">
        <v>45485</v>
      </c>
      <c r="B410" s="16" cm="1">
        <f t="array" ref="B410">_xll.BADDPERIODS(A410, "PER=WD", "NUMBEROFPERIODS=2", "BUSDAYADJ=-2", "CDR=GQ", "CDR=P9")</f>
        <v>45489</v>
      </c>
      <c r="C410" s="15" cm="1">
        <f t="array" ref="C410">_xll.BDH("XAU Curncy","PX_LAST",A410,A410)</f>
        <v>2411.4299999999998</v>
      </c>
      <c r="D410" s="15" t="str" cm="1">
        <f t="array" ref="D410">_xll.BDP("GCQ24 Comdty",$M$32)</f>
        <v>01/08/2024</v>
      </c>
      <c r="E410" s="15">
        <f t="shared" si="194"/>
        <v>16</v>
      </c>
      <c r="F410" s="23">
        <v>5.5399999999999998E-2</v>
      </c>
      <c r="G410" s="28">
        <f t="shared" si="167"/>
        <v>5.9374765333333333</v>
      </c>
      <c r="H410" s="12">
        <v>5</v>
      </c>
      <c r="I410" s="65">
        <f t="shared" si="168"/>
        <v>-0.93747653333333325</v>
      </c>
      <c r="J410" s="26">
        <v>4</v>
      </c>
      <c r="K410" s="26">
        <v>6</v>
      </c>
      <c r="L410" s="26">
        <v>8</v>
      </c>
      <c r="N410" s="24">
        <v>45485</v>
      </c>
      <c r="O410" s="16" cm="1">
        <f t="array" ref="O410">_xll.BADDPERIODS(N410, "PER=WD", "NUMBEROFPERIODS=2", "BUSDAYADJ=-2", "CDR=GQ", "CDR=P9")</f>
        <v>45489</v>
      </c>
      <c r="P410" s="15" cm="1">
        <f t="array" ref="P410">_xll.BDH("XAG Curncy","PX_LAST",N410,N410)</f>
        <v>30.788499999999999</v>
      </c>
      <c r="Q410" s="15" t="str" cm="1">
        <f t="array" ref="Q410">_xll.BDP("SIU24 Comdty",$M$32)</f>
        <v>03/09/2024</v>
      </c>
      <c r="R410" s="15">
        <f t="shared" si="200"/>
        <v>49</v>
      </c>
      <c r="S410" s="23">
        <v>5.7500000000000002E-2</v>
      </c>
      <c r="T410" s="21">
        <f t="shared" si="206"/>
        <v>0.24096277430555554</v>
      </c>
      <c r="U410" s="12">
        <v>0.255</v>
      </c>
      <c r="V410" s="66">
        <f t="shared" si="207"/>
        <v>1.403722569444446</v>
      </c>
      <c r="W410" s="15">
        <v>15</v>
      </c>
      <c r="X410" s="15">
        <v>20</v>
      </c>
      <c r="Y410" s="15">
        <v>25</v>
      </c>
      <c r="Z410" s="18">
        <f t="shared" si="208"/>
        <v>24.096277430555553</v>
      </c>
      <c r="AA410" s="18">
        <f t="shared" si="184"/>
        <v>25.5</v>
      </c>
      <c r="AB410" s="18">
        <f t="shared" si="209"/>
        <v>1.403722569444446</v>
      </c>
      <c r="AE410" s="44" cm="1">
        <f t="array" ref="AE410">_xll.BDH("COMXGOLD Comdty","PX_Last", N410)</f>
        <v>17699809.609999999</v>
      </c>
      <c r="AF410" s="15" t="s">
        <v>61</v>
      </c>
      <c r="AG410" s="44" cm="1">
        <f t="array" ref="AG410">_xll.BDH(AF410,"FUT_AGGTE_OPEN_INT",A410)</f>
        <v>549496</v>
      </c>
      <c r="AH410" s="44">
        <f t="shared" ref="AH410:AH414" si="210">AG410*$AG$17</f>
        <v>54949600</v>
      </c>
      <c r="AI410" s="48">
        <f t="shared" ref="AI410:AI415" si="211">AE410/AH410</f>
        <v>0.32210988997190149</v>
      </c>
      <c r="AK410" s="44" cm="1">
        <f t="array" ref="AK410">_xll.BDH("COMXSILV Comdty","PX_Last", N410)</f>
        <v>302943.78000000003</v>
      </c>
      <c r="AL410" s="15" t="s">
        <v>57</v>
      </c>
      <c r="AM410" s="47" cm="1">
        <f t="array" ref="AM410">_xll.BDH(AL410,"FUT_AGGTE_OPEN_INT",A410)</f>
        <v>162892</v>
      </c>
      <c r="AN410" s="45">
        <f t="shared" ref="AN410:AN415" si="212">(AO410/AP410)/100</f>
        <v>371.95660928713505</v>
      </c>
      <c r="AO410" s="46">
        <f t="shared" ref="AO410:AO415" si="213">AK410*100000</f>
        <v>30294378000.000004</v>
      </c>
      <c r="AP410" s="46">
        <f t="shared" ref="AP410:AP415" si="214">(AM410*5000)/1000</f>
        <v>814460</v>
      </c>
    </row>
    <row r="411" spans="1:42" x14ac:dyDescent="0.2">
      <c r="A411" s="24">
        <v>45488</v>
      </c>
      <c r="B411" s="16" cm="1">
        <f t="array" ref="B411">_xll.BADDPERIODS(A411, "PER=WD", "NUMBEROFPERIODS=2", "BUSDAYADJ=-2", "CDR=GQ", "CDR=P9")</f>
        <v>45490</v>
      </c>
      <c r="C411" s="15" cm="1">
        <f t="array" ref="C411">_xll.BDH("XAU Curncy","PX_LAST",A411,A411)</f>
        <v>2422.27</v>
      </c>
      <c r="D411" s="15" t="str" cm="1">
        <f t="array" ref="D411">_xll.BDP("GCQ24 Comdty",$M$32)</f>
        <v>01/08/2024</v>
      </c>
      <c r="E411" s="15">
        <f t="shared" si="194"/>
        <v>15</v>
      </c>
      <c r="F411" s="23">
        <v>5.5500000000000001E-2</v>
      </c>
      <c r="G411" s="28">
        <f t="shared" si="167"/>
        <v>5.6014993749999995</v>
      </c>
      <c r="H411" s="22">
        <v>4.8</v>
      </c>
      <c r="I411" s="65">
        <f t="shared" si="168"/>
        <v>-0.80149937499999968</v>
      </c>
      <c r="J411" s="26">
        <v>4</v>
      </c>
      <c r="K411" s="26">
        <v>6</v>
      </c>
      <c r="L411" s="26">
        <v>8</v>
      </c>
      <c r="N411" s="24">
        <v>45488</v>
      </c>
      <c r="O411" s="16" cm="1">
        <f t="array" ref="O411">_xll.BADDPERIODS(N411, "PER=WD", "NUMBEROFPERIODS=2", "BUSDAYADJ=-2", "CDR=GQ", "CDR=P9")</f>
        <v>45490</v>
      </c>
      <c r="P411" s="15" cm="1">
        <f t="array" ref="P411">_xll.BDH("XAG Curncy","PX_LAST",N411,N411)</f>
        <v>30.6769</v>
      </c>
      <c r="Q411" s="15" t="str" cm="1">
        <f t="array" ref="Q411">_xll.BDP("SIU24 Comdty",$M$32)</f>
        <v>03/09/2024</v>
      </c>
      <c r="R411" s="15">
        <f t="shared" si="200"/>
        <v>48</v>
      </c>
      <c r="S411" s="23">
        <v>5.7000000000000002E-2</v>
      </c>
      <c r="T411" s="21">
        <f t="shared" si="206"/>
        <v>0.23314443999999998</v>
      </c>
      <c r="U411" s="22">
        <v>0.245</v>
      </c>
      <c r="V411" s="66">
        <f t="shared" si="207"/>
        <v>1.1855560000000014</v>
      </c>
      <c r="W411" s="15">
        <v>15</v>
      </c>
      <c r="X411" s="15">
        <v>20</v>
      </c>
      <c r="Y411" s="15">
        <v>25</v>
      </c>
      <c r="Z411" s="18">
        <f t="shared" si="208"/>
        <v>23.314443999999998</v>
      </c>
      <c r="AA411" s="18">
        <f t="shared" si="184"/>
        <v>24.5</v>
      </c>
      <c r="AB411" s="18">
        <f t="shared" si="209"/>
        <v>1.1855560000000014</v>
      </c>
      <c r="AE411" s="44" cm="1">
        <f t="array" ref="AE411">_xll.BDH("COMXGOLD Comdty","PX_Last", N411)</f>
        <v>17699327.344999999</v>
      </c>
      <c r="AF411" s="15" t="s">
        <v>61</v>
      </c>
      <c r="AG411" s="44" cm="1">
        <f t="array" ref="AG411">_xll.BDH(AF411,"FUT_AGGTE_OPEN_INT",A411)</f>
        <v>564121</v>
      </c>
      <c r="AH411" s="44">
        <f t="shared" si="210"/>
        <v>56412100</v>
      </c>
      <c r="AI411" s="48">
        <f t="shared" si="211"/>
        <v>0.31375054899569416</v>
      </c>
      <c r="AK411" s="44" cm="1">
        <f t="array" ref="AK411">_xll.BDH("COMXSILV Comdty","PX_Last", N411)</f>
        <v>303110.56</v>
      </c>
      <c r="AL411" s="15" t="s">
        <v>57</v>
      </c>
      <c r="AM411" s="47" cm="1">
        <f t="array" ref="AM411">_xll.BDH(AL411,"FUT_AGGTE_OPEN_INT",A411)</f>
        <v>163381</v>
      </c>
      <c r="AN411" s="45">
        <f t="shared" si="212"/>
        <v>371.04750246356679</v>
      </c>
      <c r="AO411" s="46">
        <f t="shared" si="213"/>
        <v>30311056000</v>
      </c>
      <c r="AP411" s="46">
        <f t="shared" si="214"/>
        <v>816905</v>
      </c>
    </row>
    <row r="412" spans="1:42" x14ac:dyDescent="0.2">
      <c r="A412" s="24">
        <v>45489</v>
      </c>
      <c r="B412" s="16" cm="1">
        <f t="array" ref="B412">_xll.BADDPERIODS(A412, "PER=WD", "NUMBEROFPERIODS=2", "BUSDAYADJ=-2", "CDR=GQ", "CDR=P9")</f>
        <v>45491</v>
      </c>
      <c r="C412" s="15" cm="1">
        <f t="array" ref="C412">_xll.BDH("XAU Curncy","PX_LAST",A412,A412)</f>
        <v>2469.08</v>
      </c>
      <c r="D412" s="15" t="str" cm="1">
        <f t="array" ref="D412">_xll.BDP("GCQ24 Comdty",$M$32)</f>
        <v>01/08/2024</v>
      </c>
      <c r="E412" s="15">
        <f t="shared" si="194"/>
        <v>14</v>
      </c>
      <c r="F412" s="23">
        <v>5.7000000000000002E-2</v>
      </c>
      <c r="G412" s="28">
        <f t="shared" si="167"/>
        <v>5.4731273333333332</v>
      </c>
      <c r="H412" s="22">
        <v>4.8</v>
      </c>
      <c r="I412" s="65">
        <f t="shared" si="168"/>
        <v>-0.67312733333333341</v>
      </c>
      <c r="J412" s="26">
        <v>4</v>
      </c>
      <c r="K412" s="26">
        <v>6</v>
      </c>
      <c r="L412" s="26">
        <v>8</v>
      </c>
      <c r="N412" s="24">
        <v>45489</v>
      </c>
      <c r="O412" s="16" cm="1">
        <f t="array" ref="O412">_xll.BADDPERIODS(N412, "PER=WD", "NUMBEROFPERIODS=2", "BUSDAYADJ=-2", "CDR=GQ", "CDR=P9")</f>
        <v>45491</v>
      </c>
      <c r="P412" s="15" cm="1">
        <f t="array" ref="P412">_xll.BDH("XAG Curncy","PX_LAST",N412,N412)</f>
        <v>31.2484</v>
      </c>
      <c r="Q412" s="15" t="str" cm="1">
        <f t="array" ref="Q412">_xll.BDP("SIU24 Comdty",$M$32)</f>
        <v>03/09/2024</v>
      </c>
      <c r="R412" s="15">
        <f t="shared" si="200"/>
        <v>47</v>
      </c>
      <c r="S412" s="23">
        <v>5.7000000000000002E-2</v>
      </c>
      <c r="T412" s="21">
        <f t="shared" si="206"/>
        <v>0.23254017666666668</v>
      </c>
      <c r="U412" s="12">
        <v>0.24</v>
      </c>
      <c r="V412" s="66">
        <f t="shared" si="207"/>
        <v>0.74598233333333097</v>
      </c>
      <c r="W412" s="15">
        <v>15</v>
      </c>
      <c r="X412" s="15">
        <v>20</v>
      </c>
      <c r="Y412" s="15">
        <v>25</v>
      </c>
      <c r="Z412" s="18">
        <f t="shared" si="208"/>
        <v>23.25401766666667</v>
      </c>
      <c r="AA412" s="18">
        <f t="shared" ref="AA412:AA464" si="215">U412*100</f>
        <v>24</v>
      </c>
      <c r="AB412" s="18">
        <f t="shared" si="209"/>
        <v>0.74598233333333097</v>
      </c>
      <c r="AE412" s="44" cm="1">
        <f t="array" ref="AE412">_xll.BDH("COMXGOLD Comdty","PX_Last", N412)</f>
        <v>17699327.344999999</v>
      </c>
      <c r="AF412" s="15" t="s">
        <v>61</v>
      </c>
      <c r="AG412" s="44" cm="1">
        <f t="array" ref="AG412">_xll.BDH(AF412,"FUT_AGGTE_OPEN_INT",A412)</f>
        <v>579862</v>
      </c>
      <c r="AH412" s="44">
        <f t="shared" si="210"/>
        <v>57986200</v>
      </c>
      <c r="AI412" s="48">
        <f t="shared" si="211"/>
        <v>0.30523344080143205</v>
      </c>
      <c r="AK412" s="44" cm="1">
        <f t="array" ref="AK412">_xll.BDH("COMXSILV Comdty","PX_Last", N412)</f>
        <v>303103.75</v>
      </c>
      <c r="AL412" s="15" t="s">
        <v>57</v>
      </c>
      <c r="AM412" s="47" cm="1">
        <f t="array" ref="AM412">_xll.BDH(AL412,"FUT_AGGTE_OPEN_INT",A412)</f>
        <v>166641</v>
      </c>
      <c r="AN412" s="45">
        <f t="shared" si="212"/>
        <v>363.78052220041883</v>
      </c>
      <c r="AO412" s="46">
        <f t="shared" si="213"/>
        <v>30310375000</v>
      </c>
      <c r="AP412" s="46">
        <f t="shared" si="214"/>
        <v>833205</v>
      </c>
    </row>
    <row r="413" spans="1:42" x14ac:dyDescent="0.2">
      <c r="A413" s="24">
        <v>45490</v>
      </c>
      <c r="B413" s="16" cm="1">
        <f t="array" ref="B413">_xll.BADDPERIODS(A413, "PER=WD", "NUMBEROFPERIODS=2", "BUSDAYADJ=-2", "CDR=GQ", "CDR=P9")</f>
        <v>45492</v>
      </c>
      <c r="C413" s="15" cm="1">
        <f t="array" ref="C413">_xll.BDH("XAU Curncy","PX_LAST",A413,A413)</f>
        <v>2458.79</v>
      </c>
      <c r="D413" s="15" t="str" cm="1">
        <f t="array" ref="D413">_xll.BDP("GCQ24 Comdty",$M$32)</f>
        <v>01/08/2024</v>
      </c>
      <c r="E413" s="15">
        <f t="shared" si="194"/>
        <v>13</v>
      </c>
      <c r="F413" s="23">
        <v>5.7000000000000002E-2</v>
      </c>
      <c r="G413" s="28">
        <f t="shared" ref="G413:G476" si="216">C413*(E413/360)*F413</f>
        <v>5.0610094166666659</v>
      </c>
      <c r="H413" s="12">
        <v>4.8</v>
      </c>
      <c r="I413" s="65">
        <f t="shared" ref="I413:I506" si="217">H413-G413</f>
        <v>-0.26100941666666611</v>
      </c>
      <c r="J413" s="26">
        <v>4</v>
      </c>
      <c r="K413" s="26">
        <v>6</v>
      </c>
      <c r="L413" s="26">
        <v>8</v>
      </c>
      <c r="N413" s="24">
        <v>45490</v>
      </c>
      <c r="O413" s="16" cm="1">
        <f t="array" ref="O413">_xll.BADDPERIODS(N413, "PER=WD", "NUMBEROFPERIODS=2", "BUSDAYADJ=-2", "CDR=GQ", "CDR=P9")</f>
        <v>45492</v>
      </c>
      <c r="P413" s="15" cm="1">
        <f t="array" ref="P413">_xll.BDH("XAG Curncy","PX_LAST",N413,N413)</f>
        <v>30.302499999999998</v>
      </c>
      <c r="Q413" s="15" t="str" cm="1">
        <f t="array" ref="Q413">_xll.BDP("SIU24 Comdty",$M$32)</f>
        <v>03/09/2024</v>
      </c>
      <c r="R413" s="15">
        <f t="shared" si="200"/>
        <v>46</v>
      </c>
      <c r="S413" s="23">
        <v>5.7000000000000002E-2</v>
      </c>
      <c r="T413" s="21">
        <f t="shared" si="206"/>
        <v>0.22070320833333332</v>
      </c>
      <c r="U413" s="12">
        <v>0.23</v>
      </c>
      <c r="V413" s="66">
        <f t="shared" si="207"/>
        <v>0.92967916666666928</v>
      </c>
      <c r="W413" s="15">
        <v>15</v>
      </c>
      <c r="X413" s="15">
        <v>20</v>
      </c>
      <c r="Y413" s="15">
        <v>25</v>
      </c>
      <c r="Z413" s="18">
        <f t="shared" si="208"/>
        <v>22.07032083333333</v>
      </c>
      <c r="AA413" s="18">
        <f t="shared" si="215"/>
        <v>23</v>
      </c>
      <c r="AB413" s="18">
        <f t="shared" si="209"/>
        <v>0.92967916666666928</v>
      </c>
      <c r="AE413" s="44" cm="1">
        <f t="array" ref="AE413">_xll.BDH("COMXGOLD Comdty","PX_Last", N413)</f>
        <v>17699327.344999999</v>
      </c>
      <c r="AF413" s="15" t="s">
        <v>61</v>
      </c>
      <c r="AG413" s="44" cm="1">
        <f t="array" ref="AG413">_xll.BDH(AF413,"FUT_AGGTE_OPEN_INT",A413)</f>
        <v>592259</v>
      </c>
      <c r="AH413" s="44">
        <f t="shared" si="210"/>
        <v>59225900</v>
      </c>
      <c r="AI413" s="48">
        <f t="shared" si="211"/>
        <v>0.29884437965484695</v>
      </c>
      <c r="AK413" s="44" cm="1">
        <f t="array" ref="AK413">_xll.BDH("COMXSILV Comdty","PX_Last", N413)</f>
        <v>301830.56</v>
      </c>
      <c r="AL413" s="15" t="s">
        <v>57</v>
      </c>
      <c r="AM413" s="47" cm="1">
        <f t="array" ref="AM413">_xll.BDH(AL413,"FUT_AGGTE_OPEN_INT",A413)</f>
        <v>165019</v>
      </c>
      <c r="AN413" s="45">
        <f t="shared" si="212"/>
        <v>365.81310030966131</v>
      </c>
      <c r="AO413" s="46">
        <f t="shared" si="213"/>
        <v>30183056000</v>
      </c>
      <c r="AP413" s="46">
        <f t="shared" si="214"/>
        <v>825095</v>
      </c>
    </row>
    <row r="414" spans="1:42" x14ac:dyDescent="0.2">
      <c r="A414" s="24">
        <v>45491</v>
      </c>
      <c r="B414" s="16" cm="1">
        <f t="array" ref="B414">_xll.BADDPERIODS(A414, "PER=WD", "NUMBEROFPERIODS=2", "BUSDAYADJ=-2", "CDR=GQ", "CDR=P9")</f>
        <v>45495</v>
      </c>
      <c r="C414" s="15" cm="1">
        <f t="array" ref="C414">_xll.BDH("XAU Curncy","PX_LAST",A414,A414)</f>
        <v>2445.08</v>
      </c>
      <c r="D414" s="15" t="str" cm="1">
        <f t="array" ref="D414">_xll.BDP("GCQ24 Comdty",$M$32)</f>
        <v>01/08/2024</v>
      </c>
      <c r="E414" s="15">
        <f t="shared" si="194"/>
        <v>10</v>
      </c>
      <c r="F414" s="23">
        <v>5.7000000000000002E-2</v>
      </c>
      <c r="G414" s="28">
        <f t="shared" si="216"/>
        <v>3.8713766666666669</v>
      </c>
      <c r="H414" s="12">
        <v>3.4</v>
      </c>
      <c r="I414" s="65">
        <f t="shared" si="217"/>
        <v>-0.471376666666667</v>
      </c>
      <c r="J414" s="26">
        <v>4</v>
      </c>
      <c r="K414" s="26">
        <v>6</v>
      </c>
      <c r="L414" s="26">
        <v>8</v>
      </c>
      <c r="N414" s="24">
        <v>45491</v>
      </c>
      <c r="O414" s="16" cm="1">
        <f t="array" ref="O414">_xll.BADDPERIODS(N414, "PER=WD", "NUMBEROFPERIODS=2", "BUSDAYADJ=-2", "CDR=GQ", "CDR=P9")</f>
        <v>45495</v>
      </c>
      <c r="P414" s="15" cm="1">
        <f t="array" ref="P414">_xll.BDH("XAG Curncy","PX_LAST",N414,N414)</f>
        <v>29.832899999999999</v>
      </c>
      <c r="Q414" s="15" t="str" cm="1">
        <f t="array" ref="Q414">_xll.BDP("SIU24 Comdty",$M$32)</f>
        <v>03/09/2024</v>
      </c>
      <c r="R414" s="15">
        <f t="shared" si="200"/>
        <v>43</v>
      </c>
      <c r="S414" s="23">
        <v>5.7000000000000002E-2</v>
      </c>
      <c r="T414" s="21">
        <f t="shared" si="206"/>
        <v>0.20311232750000002</v>
      </c>
      <c r="U414" s="12">
        <v>0.21</v>
      </c>
      <c r="V414" s="66">
        <f t="shared" si="207"/>
        <v>0.68876724999999694</v>
      </c>
      <c r="W414" s="15">
        <v>15</v>
      </c>
      <c r="X414" s="15">
        <v>20</v>
      </c>
      <c r="Y414" s="15">
        <v>25</v>
      </c>
      <c r="Z414" s="18">
        <f t="shared" si="208"/>
        <v>20.311232750000002</v>
      </c>
      <c r="AA414" s="18">
        <f t="shared" si="215"/>
        <v>21</v>
      </c>
      <c r="AB414" s="18">
        <f t="shared" si="209"/>
        <v>0.68876724999999694</v>
      </c>
      <c r="AE414" s="44" cm="1">
        <f t="array" ref="AE414">_xll.BDH("COMXGOLD Comdty","PX_Last", N414)</f>
        <v>17568922.890000001</v>
      </c>
      <c r="AF414" s="15" t="s">
        <v>61</v>
      </c>
      <c r="AG414" s="44" cm="1">
        <f t="array" ref="AG414">_xll.BDH(AF414,"FUT_AGGTE_OPEN_INT",A414)</f>
        <v>598013</v>
      </c>
      <c r="AH414" s="44">
        <f t="shared" si="210"/>
        <v>59801300</v>
      </c>
      <c r="AI414" s="48">
        <f t="shared" si="211"/>
        <v>0.29378831045478948</v>
      </c>
      <c r="AK414" s="44" cm="1">
        <f t="array" ref="AK414">_xll.BDH("COMXSILV Comdty","PX_Last", N414)</f>
        <v>301920.28000000003</v>
      </c>
      <c r="AL414" s="15" t="s">
        <v>57</v>
      </c>
      <c r="AM414" s="47" cm="1">
        <f t="array" ref="AM414">_xll.BDH(AL414,"FUT_AGGTE_OPEN_INT",A414)</f>
        <v>162601</v>
      </c>
      <c r="AN414" s="45">
        <f t="shared" si="212"/>
        <v>371.36337414899054</v>
      </c>
      <c r="AO414" s="46">
        <f t="shared" si="213"/>
        <v>30192028000.000004</v>
      </c>
      <c r="AP414" s="46">
        <f t="shared" si="214"/>
        <v>813005</v>
      </c>
    </row>
    <row r="415" spans="1:42" x14ac:dyDescent="0.2">
      <c r="A415" s="24">
        <v>45492</v>
      </c>
      <c r="B415" s="16" cm="1">
        <f t="array" ref="B415">_xll.BADDPERIODS(A415, "PER=WD", "NUMBEROFPERIODS=2", "BUSDAYADJ=-2", "CDR=GQ", "CDR=P9")</f>
        <v>45496</v>
      </c>
      <c r="C415" s="15" cm="1">
        <f t="array" ref="C415">_xll.BDH("XAU Curncy","PX_LAST",A415,A415)</f>
        <v>2400.83</v>
      </c>
      <c r="D415" s="15" t="str" cm="1">
        <f t="array" ref="D415">_xll.BDP("GCQ24 Comdty",$M$32)</f>
        <v>01/08/2024</v>
      </c>
      <c r="E415" s="15">
        <f t="shared" si="194"/>
        <v>9</v>
      </c>
      <c r="F415" s="23">
        <v>5.6500000000000002E-2</v>
      </c>
      <c r="G415" s="28">
        <f t="shared" si="216"/>
        <v>3.391172375</v>
      </c>
      <c r="H415" s="12">
        <v>2.2999999999999998</v>
      </c>
      <c r="I415" s="65">
        <f t="shared" si="217"/>
        <v>-1.0911723750000002</v>
      </c>
      <c r="J415" s="26">
        <v>4</v>
      </c>
      <c r="K415" s="26">
        <v>6</v>
      </c>
      <c r="L415" s="26">
        <v>8</v>
      </c>
      <c r="N415" s="24">
        <v>45492</v>
      </c>
      <c r="O415" s="16" cm="1">
        <f t="array" ref="O415">_xll.BADDPERIODS(N415, "PER=WD", "NUMBEROFPERIODS=2", "BUSDAYADJ=-2", "CDR=GQ", "CDR=P9")</f>
        <v>45496</v>
      </c>
      <c r="P415" s="15" cm="1">
        <f t="array" ref="P415">_xll.BDH("XAG Curncy","PX_LAST",N415,N415)</f>
        <v>29.222999999999999</v>
      </c>
      <c r="Q415" s="15" t="str" cm="1">
        <f t="array" ref="Q415">_xll.BDP("SIU24 Comdty",$M$32)</f>
        <v>03/09/2024</v>
      </c>
      <c r="R415" s="15">
        <f t="shared" si="200"/>
        <v>42</v>
      </c>
      <c r="S415" s="23">
        <v>5.7000000000000002E-2</v>
      </c>
      <c r="T415" s="21">
        <f t="shared" si="206"/>
        <v>0.19433295</v>
      </c>
      <c r="U415" s="12">
        <v>0.19</v>
      </c>
      <c r="V415" s="66">
        <f t="shared" si="207"/>
        <v>-0.43329500000000021</v>
      </c>
      <c r="W415" s="15">
        <v>15</v>
      </c>
      <c r="X415" s="15">
        <v>20</v>
      </c>
      <c r="Y415" s="15">
        <v>25</v>
      </c>
      <c r="Z415" s="18">
        <f t="shared" si="208"/>
        <v>19.433295000000001</v>
      </c>
      <c r="AA415" s="18">
        <f t="shared" si="215"/>
        <v>19</v>
      </c>
      <c r="AB415" s="18">
        <f t="shared" si="209"/>
        <v>-0.43329500000000021</v>
      </c>
      <c r="AE415" s="44" cm="1">
        <f t="array" ref="AE415">_xll.BDH("COMXGOLD Comdty","PX_Last", N415)</f>
        <v>17822915.789999999</v>
      </c>
      <c r="AF415" s="15" t="s">
        <v>61</v>
      </c>
      <c r="AG415" s="44" cm="1">
        <f t="array" ref="AG415">_xll.BDH(AF415,"FUT_AGGTE_OPEN_INT",A415)</f>
        <v>584673</v>
      </c>
      <c r="AH415" s="44">
        <f>AG415*$AG$17</f>
        <v>58467300</v>
      </c>
      <c r="AI415" s="48">
        <f t="shared" si="211"/>
        <v>0.30483562247615331</v>
      </c>
      <c r="AK415" s="44" cm="1">
        <f t="array" ref="AK415">_xll.BDH("COMXSILV Comdty","PX_Last", N415)</f>
        <v>301334.21999999997</v>
      </c>
      <c r="AL415" s="15" t="s">
        <v>57</v>
      </c>
      <c r="AM415" s="47" cm="1">
        <f t="array" ref="AM415">_xll.BDH(AL415,"FUT_AGGTE_OPEN_INT",A415)</f>
        <v>159702</v>
      </c>
      <c r="AN415" s="45">
        <f t="shared" si="212"/>
        <v>377.37062779426674</v>
      </c>
      <c r="AO415" s="46">
        <f t="shared" si="213"/>
        <v>30133421999.999996</v>
      </c>
      <c r="AP415" s="46">
        <f t="shared" si="214"/>
        <v>798510</v>
      </c>
    </row>
    <row r="416" spans="1:42" x14ac:dyDescent="0.2">
      <c r="A416" s="24">
        <v>45495</v>
      </c>
      <c r="B416" s="16" cm="1">
        <f t="array" ref="B416">_xll.BADDPERIODS(A416, "PER=WD", "NUMBEROFPERIODS=2", "BUSDAYADJ=-2", "CDR=GQ", "CDR=P9")</f>
        <v>45497</v>
      </c>
      <c r="C416" s="15" cm="1">
        <f t="array" ref="C416">_xll.BDH("XAU Curncy","PX_LAST",A416,A416)</f>
        <v>2396.59</v>
      </c>
      <c r="D416" s="15" t="str" cm="1">
        <f t="array" ref="D416">_xll.BDP("GCQ24 Comdty",$M$32)</f>
        <v>01/08/2024</v>
      </c>
      <c r="E416" s="15">
        <f t="shared" si="194"/>
        <v>8</v>
      </c>
      <c r="F416" s="23">
        <v>5.5E-2</v>
      </c>
      <c r="G416" s="28">
        <f t="shared" si="216"/>
        <v>2.929165555555556</v>
      </c>
      <c r="H416" s="12">
        <v>1.6</v>
      </c>
      <c r="I416" s="67">
        <f t="shared" si="217"/>
        <v>-1.3291655555555559</v>
      </c>
      <c r="J416" s="26">
        <v>4</v>
      </c>
      <c r="K416" s="26">
        <v>6</v>
      </c>
      <c r="L416" s="26">
        <v>8</v>
      </c>
      <c r="N416" s="24">
        <v>45495</v>
      </c>
      <c r="O416" s="16" cm="1">
        <f t="array" ref="O416">_xll.BADDPERIODS(N416, "PER=WD", "NUMBEROFPERIODS=2", "BUSDAYADJ=-2", "CDR=GQ", "CDR=P9")</f>
        <v>45497</v>
      </c>
      <c r="P416" s="15" cm="1">
        <f t="array" ref="P416">_xll.BDH("XAG Curncy","PX_LAST",N416,N416)</f>
        <v>29.125</v>
      </c>
      <c r="Q416" s="15" t="str" cm="1">
        <f t="array" ref="Q416">_xll.BDP("SIU24 Comdty",$M$32)</f>
        <v>03/09/2024</v>
      </c>
      <c r="R416" s="15">
        <f t="shared" si="200"/>
        <v>41</v>
      </c>
      <c r="S416" s="23">
        <v>5.7200000000000001E-2</v>
      </c>
      <c r="T416" s="21">
        <f t="shared" si="206"/>
        <v>0.18973319444444445</v>
      </c>
      <c r="U416" s="12">
        <v>0.19</v>
      </c>
      <c r="V416" s="68">
        <f t="shared" si="207"/>
        <v>2.6680555555555485E-2</v>
      </c>
      <c r="W416" s="15">
        <v>15</v>
      </c>
      <c r="X416" s="15">
        <v>20</v>
      </c>
      <c r="Y416" s="15">
        <v>25</v>
      </c>
      <c r="Z416" s="18">
        <f t="shared" si="208"/>
        <v>18.973319444444446</v>
      </c>
      <c r="AA416" s="18">
        <f t="shared" si="215"/>
        <v>19</v>
      </c>
      <c r="AB416" s="18">
        <f t="shared" si="209"/>
        <v>2.6680555555555485E-2</v>
      </c>
      <c r="AE416" s="44" cm="1">
        <f t="array" ref="AE416">_xll.BDH("COMXGOLD Comdty","PX_Last", N416)</f>
        <v>17822433.524999999</v>
      </c>
      <c r="AF416" s="15" t="s">
        <v>61</v>
      </c>
      <c r="AG416" s="44" cm="1">
        <f t="array" ref="AG416">_xll.BDH(AF416,"FUT_AGGTE_OPEN_INT",A416)</f>
        <v>585067</v>
      </c>
      <c r="AH416" s="44">
        <f t="shared" ref="AH416:AH420" si="218">AG416*$AG$17</f>
        <v>58506700</v>
      </c>
      <c r="AI416" s="48">
        <f t="shared" ref="AI416:AI420" si="219">AE416/AH416</f>
        <v>0.30462209499083009</v>
      </c>
      <c r="AK416" s="44" cm="1">
        <f t="array" ref="AK416">_xll.BDH("COMXSILV Comdty","PX_Last", N416)</f>
        <v>302525.96999999997</v>
      </c>
      <c r="AL416" s="15" t="s">
        <v>57</v>
      </c>
      <c r="AM416" s="47" cm="1">
        <f t="array" ref="AM416">_xll.BDH(AL416,"FUT_AGGTE_OPEN_INT",A416)</f>
        <v>158141</v>
      </c>
      <c r="AN416" s="45">
        <f t="shared" ref="AN416:AN420" si="220">(AO416/AP416)/100</f>
        <v>382.60282912084784</v>
      </c>
      <c r="AO416" s="46">
        <f t="shared" ref="AO416:AO420" si="221">AK416*100000</f>
        <v>30252596999.999996</v>
      </c>
      <c r="AP416" s="46">
        <f t="shared" ref="AP416:AP420" si="222">(AM416*5000)/1000</f>
        <v>790705</v>
      </c>
    </row>
    <row r="417" spans="1:42" x14ac:dyDescent="0.2">
      <c r="A417" s="24">
        <v>45496</v>
      </c>
      <c r="B417" s="16" cm="1">
        <f t="array" ref="B417">_xll.BADDPERIODS(A417, "PER=WD", "NUMBEROFPERIODS=2", "BUSDAYADJ=-2", "CDR=GQ", "CDR=P9")</f>
        <v>45498</v>
      </c>
      <c r="C417" s="15" cm="1">
        <f t="array" ref="C417">_xll.BDH("XAU Curncy","PX_LAST",A417,A417)</f>
        <v>2409.64</v>
      </c>
      <c r="D417" s="15" t="str" cm="1">
        <f t="array" ref="D417">_xll.BDP("GCQ24 Comdty",$M$32)</f>
        <v>01/08/2024</v>
      </c>
      <c r="E417" s="15">
        <f t="shared" si="194"/>
        <v>7</v>
      </c>
      <c r="F417" s="23">
        <v>5.5199999999999999E-2</v>
      </c>
      <c r="G417" s="28">
        <f t="shared" si="216"/>
        <v>2.5863469333333331</v>
      </c>
      <c r="H417" s="12">
        <v>1.2</v>
      </c>
      <c r="I417" s="67">
        <f t="shared" si="217"/>
        <v>-1.3863469333333331</v>
      </c>
      <c r="J417" s="26">
        <v>4</v>
      </c>
      <c r="K417" s="26">
        <v>6</v>
      </c>
      <c r="L417" s="26">
        <v>8</v>
      </c>
      <c r="N417" s="24">
        <v>45496</v>
      </c>
      <c r="O417" s="16" cm="1">
        <f t="array" ref="O417">_xll.BADDPERIODS(N417, "PER=WD", "NUMBEROFPERIODS=2", "BUSDAYADJ=-2", "CDR=GQ", "CDR=P9")</f>
        <v>45498</v>
      </c>
      <c r="P417" s="15" cm="1">
        <f t="array" ref="P417">_xll.BDH("XAG Curncy","PX_LAST",N417,N417)</f>
        <v>29.244</v>
      </c>
      <c r="Q417" s="15" t="str" cm="1">
        <f t="array" ref="Q417">_xll.BDP("SIU24 Comdty",$M$32)</f>
        <v>03/09/2024</v>
      </c>
      <c r="R417" s="15">
        <f t="shared" si="200"/>
        <v>40</v>
      </c>
      <c r="S417" s="23">
        <v>5.6300000000000003E-2</v>
      </c>
      <c r="T417" s="21">
        <f t="shared" si="206"/>
        <v>0.18293746666666666</v>
      </c>
      <c r="U417" s="12">
        <v>0.1825</v>
      </c>
      <c r="V417" s="68">
        <f t="shared" si="207"/>
        <v>-4.3746666666666378E-2</v>
      </c>
      <c r="W417" s="15">
        <v>15</v>
      </c>
      <c r="X417" s="15">
        <v>20</v>
      </c>
      <c r="Y417" s="15">
        <v>25</v>
      </c>
      <c r="Z417" s="18">
        <f t="shared" si="208"/>
        <v>18.293746666666667</v>
      </c>
      <c r="AA417" s="18">
        <f t="shared" si="215"/>
        <v>18.25</v>
      </c>
      <c r="AB417" s="18">
        <f t="shared" si="209"/>
        <v>-4.3746666666666378E-2</v>
      </c>
      <c r="AE417" s="44" cm="1">
        <f t="array" ref="AE417">_xll.BDH("COMXGOLD Comdty","PX_Last", N417)</f>
        <v>17918886.524999999</v>
      </c>
      <c r="AF417" s="15" t="s">
        <v>61</v>
      </c>
      <c r="AG417" s="44" cm="1">
        <f t="array" ref="AG417">_xll.BDH(AF417,"FUT_AGGTE_OPEN_INT",A417)</f>
        <v>572306</v>
      </c>
      <c r="AH417" s="44">
        <f t="shared" si="218"/>
        <v>57230600</v>
      </c>
      <c r="AI417" s="48">
        <f t="shared" si="219"/>
        <v>0.31309974952210878</v>
      </c>
      <c r="AK417" s="44" cm="1">
        <f t="array" ref="AK417">_xll.BDH("COMXSILV Comdty","PX_Last", N417)</f>
        <v>301909.81</v>
      </c>
      <c r="AL417" s="15" t="s">
        <v>57</v>
      </c>
      <c r="AM417" s="47" cm="1">
        <f t="array" ref="AM417">_xll.BDH(AL417,"FUT_AGGTE_OPEN_INT",A417)</f>
        <v>157106</v>
      </c>
      <c r="AN417" s="45">
        <f t="shared" si="220"/>
        <v>384.33899405496925</v>
      </c>
      <c r="AO417" s="46">
        <f t="shared" si="221"/>
        <v>30190981000</v>
      </c>
      <c r="AP417" s="46">
        <f t="shared" si="222"/>
        <v>785530</v>
      </c>
    </row>
    <row r="418" spans="1:42" x14ac:dyDescent="0.2">
      <c r="A418" s="24">
        <v>45497</v>
      </c>
      <c r="B418" s="16" cm="1">
        <f t="array" ref="B418">_xll.BADDPERIODS(A418, "PER=WD", "NUMBEROFPERIODS=2", "BUSDAYADJ=-2", "CDR=GQ", "CDR=P9")</f>
        <v>45499</v>
      </c>
      <c r="C418" s="15" cm="1">
        <f t="array" ref="C418">_xll.BDH("XAU Curncy","PX_LAST",A418,A418)</f>
        <v>2397.6999999999998</v>
      </c>
      <c r="D418" s="15" t="str" cm="1">
        <f t="array" ref="D418">_xll.BDP("GCQ24 Comdty",$M$32)</f>
        <v>01/08/2024</v>
      </c>
      <c r="E418" s="15">
        <f t="shared" si="194"/>
        <v>6</v>
      </c>
      <c r="F418" s="23">
        <v>5.4800000000000001E-2</v>
      </c>
      <c r="G418" s="28">
        <f t="shared" si="216"/>
        <v>2.1898993333333334</v>
      </c>
      <c r="H418" s="12">
        <v>1</v>
      </c>
      <c r="I418" s="67">
        <f t="shared" si="217"/>
        <v>-1.1898993333333334</v>
      </c>
      <c r="J418" s="26">
        <v>4</v>
      </c>
      <c r="K418" s="26">
        <v>6</v>
      </c>
      <c r="L418" s="26">
        <v>8</v>
      </c>
      <c r="N418" s="24">
        <v>45497</v>
      </c>
      <c r="O418" s="16" cm="1">
        <f t="array" ref="O418">_xll.BADDPERIODS(N418, "PER=WD", "NUMBEROFPERIODS=2", "BUSDAYADJ=-2", "CDR=GQ", "CDR=P9")</f>
        <v>45499</v>
      </c>
      <c r="P418" s="15" cm="1">
        <f t="array" ref="P418">_xll.BDH("XAG Curncy","PX_LAST",N418,N418)</f>
        <v>28.9085</v>
      </c>
      <c r="Q418" s="15" t="str" cm="1">
        <f t="array" ref="Q418">_xll.BDP("SIU24 Comdty",$M$32)</f>
        <v>03/09/2024</v>
      </c>
      <c r="R418" s="15">
        <f t="shared" si="200"/>
        <v>39</v>
      </c>
      <c r="S418" s="23">
        <v>5.6500000000000002E-2</v>
      </c>
      <c r="T418" s="21">
        <f t="shared" si="206"/>
        <v>0.17694411041666666</v>
      </c>
      <c r="U418" s="12">
        <v>0.17499999999999999</v>
      </c>
      <c r="V418" s="68">
        <f t="shared" si="207"/>
        <v>-0.19441104166666723</v>
      </c>
      <c r="W418" s="15">
        <v>15</v>
      </c>
      <c r="X418" s="15">
        <v>20</v>
      </c>
      <c r="Y418" s="15">
        <v>25</v>
      </c>
      <c r="Z418" s="18">
        <f t="shared" si="208"/>
        <v>17.694411041666665</v>
      </c>
      <c r="AA418" s="18">
        <f t="shared" si="215"/>
        <v>17.5</v>
      </c>
      <c r="AB418" s="18">
        <f t="shared" si="209"/>
        <v>-0.19441104166666723</v>
      </c>
      <c r="AE418" s="44" cm="1">
        <f t="array" ref="AE418">_xll.BDH("COMXGOLD Comdty","PX_Last", N418)</f>
        <v>17915574.971999999</v>
      </c>
      <c r="AF418" s="15" t="s">
        <v>61</v>
      </c>
      <c r="AG418" s="44" cm="1">
        <f t="array" ref="AG418">_xll.BDH(AF418,"FUT_AGGTE_OPEN_INT",A418)</f>
        <v>570941</v>
      </c>
      <c r="AH418" s="44">
        <f t="shared" si="218"/>
        <v>57094100</v>
      </c>
      <c r="AI418" s="48">
        <f t="shared" si="219"/>
        <v>0.3137903035865352</v>
      </c>
      <c r="AK418" s="44" cm="1">
        <f t="array" ref="AK418">_xll.BDH("COMXSILV Comdty","PX_Last", N418)</f>
        <v>303107.75</v>
      </c>
      <c r="AL418" s="15" t="s">
        <v>57</v>
      </c>
      <c r="AM418" s="47" cm="1">
        <f t="array" ref="AM418">_xll.BDH(AL418,"FUT_AGGTE_OPEN_INT",A418)</f>
        <v>156489</v>
      </c>
      <c r="AN418" s="45">
        <f t="shared" si="220"/>
        <v>387.3853753298954</v>
      </c>
      <c r="AO418" s="46">
        <f t="shared" si="221"/>
        <v>30310775000</v>
      </c>
      <c r="AP418" s="46">
        <f t="shared" si="222"/>
        <v>782445</v>
      </c>
    </row>
    <row r="419" spans="1:42" x14ac:dyDescent="0.2">
      <c r="A419" s="24">
        <v>45498</v>
      </c>
      <c r="B419" s="16" cm="1">
        <f t="array" ref="B419">_xll.BADDPERIODS(A419, "PER=WD", "NUMBEROFPERIODS=2", "BUSDAYADJ=-2", "CDR=GQ", "CDR=P9")</f>
        <v>45502</v>
      </c>
      <c r="C419" s="15" cm="1">
        <f t="array" ref="C419">_xll.BDH("XAU Curncy","PX_LAST",A419,A419)</f>
        <v>2364.56</v>
      </c>
      <c r="D419" s="15" t="str" cm="1">
        <f t="array" ref="D419">_xll.BDP("GCQ24 Comdty",$M$32)</f>
        <v>01/08/2024</v>
      </c>
      <c r="E419" s="15">
        <f t="shared" si="194"/>
        <v>3</v>
      </c>
      <c r="F419" s="23">
        <v>5.4800000000000001E-2</v>
      </c>
      <c r="G419" s="28">
        <f t="shared" si="216"/>
        <v>1.0798157333333331</v>
      </c>
      <c r="H419" s="12">
        <v>-0.5</v>
      </c>
      <c r="I419" s="67">
        <f t="shared" si="217"/>
        <v>-1.5798157333333331</v>
      </c>
      <c r="J419" s="26">
        <v>4</v>
      </c>
      <c r="K419" s="26">
        <v>6</v>
      </c>
      <c r="L419" s="26">
        <v>8</v>
      </c>
      <c r="N419" s="24">
        <v>45498</v>
      </c>
      <c r="O419" s="16" cm="1">
        <f t="array" ref="O419">_xll.BADDPERIODS(N419, "PER=WD", "NUMBEROFPERIODS=2", "BUSDAYADJ=-2", "CDR=GQ", "CDR=P9")</f>
        <v>45502</v>
      </c>
      <c r="P419" s="15" cm="1">
        <f t="array" ref="P419">_xll.BDH("XAG Curncy","PX_LAST",N419,N419)</f>
        <v>27.848500000000001</v>
      </c>
      <c r="Q419" s="15" t="str" cm="1">
        <f t="array" ref="Q419">_xll.BDP("SIU24 Comdty",$M$32)</f>
        <v>03/09/2024</v>
      </c>
      <c r="R419" s="15">
        <f t="shared" si="200"/>
        <v>36</v>
      </c>
      <c r="S419" s="23">
        <v>5.6000000000000001E-2</v>
      </c>
      <c r="T419" s="21">
        <f t="shared" si="206"/>
        <v>0.15595160000000002</v>
      </c>
      <c r="U419" s="12">
        <v>0.15</v>
      </c>
      <c r="V419" s="68">
        <f t="shared" si="207"/>
        <v>-0.59516000000000291</v>
      </c>
      <c r="W419" s="15">
        <v>15</v>
      </c>
      <c r="X419" s="15">
        <v>20</v>
      </c>
      <c r="Y419" s="15">
        <v>25</v>
      </c>
      <c r="Z419" s="18">
        <f t="shared" si="208"/>
        <v>15.595160000000002</v>
      </c>
      <c r="AA419" s="18">
        <f t="shared" si="215"/>
        <v>15</v>
      </c>
      <c r="AB419" s="18">
        <f t="shared" si="209"/>
        <v>-0.59516000000000291</v>
      </c>
      <c r="AE419" s="44" cm="1">
        <f t="array" ref="AE419">_xll.BDH("COMXGOLD Comdty","PX_Last", N419)</f>
        <v>17964341.041999999</v>
      </c>
      <c r="AF419" s="15" t="s">
        <v>61</v>
      </c>
      <c r="AG419" s="44" cm="1">
        <f t="array" ref="AG419">_xll.BDH(AF419,"FUT_AGGTE_OPEN_INT",A419)</f>
        <v>537014</v>
      </c>
      <c r="AH419" s="44">
        <f t="shared" si="218"/>
        <v>53701400</v>
      </c>
      <c r="AI419" s="48">
        <f t="shared" si="219"/>
        <v>0.33452276927603375</v>
      </c>
      <c r="AK419" s="44" cm="1">
        <f t="array" ref="AK419">_xll.BDH("COMXSILV Comdty","PX_Last", N419)</f>
        <v>303163.44</v>
      </c>
      <c r="AL419" s="15" t="s">
        <v>57</v>
      </c>
      <c r="AM419" s="47" cm="1">
        <f t="array" ref="AM419">_xll.BDH(AL419,"FUT_AGGTE_OPEN_INT",A419)</f>
        <v>154075</v>
      </c>
      <c r="AN419" s="45">
        <f t="shared" si="220"/>
        <v>393.52710043809833</v>
      </c>
      <c r="AO419" s="46">
        <f t="shared" si="221"/>
        <v>30316344000</v>
      </c>
      <c r="AP419" s="46">
        <f t="shared" si="222"/>
        <v>770375</v>
      </c>
    </row>
    <row r="420" spans="1:42" x14ac:dyDescent="0.2">
      <c r="A420" s="24">
        <v>45499</v>
      </c>
      <c r="B420" s="16" cm="1">
        <f t="array" ref="B420">_xll.BADDPERIODS(A420, "PER=WD", "NUMBEROFPERIODS=2", "BUSDAYADJ=-2", "CDR=GQ", "CDR=P9")</f>
        <v>45503</v>
      </c>
      <c r="C420" s="15" cm="1">
        <f t="array" ref="C420">_xll.BDH("XAU Curncy","PX_LAST",A420,A420)</f>
        <v>2387.19</v>
      </c>
      <c r="D420" s="15" t="str" cm="1">
        <f t="array" ref="D420">_xll.BDP("GCQ24 Comdty",$M$32)</f>
        <v>01/08/2024</v>
      </c>
      <c r="E420" s="15">
        <f t="shared" si="194"/>
        <v>2</v>
      </c>
      <c r="F420" s="23">
        <v>5.5500000000000001E-2</v>
      </c>
      <c r="G420" s="28">
        <f t="shared" si="216"/>
        <v>0.73605025000000002</v>
      </c>
      <c r="H420" s="12">
        <v>-0.70899999999999996</v>
      </c>
      <c r="I420" s="67">
        <f t="shared" si="217"/>
        <v>-1.44505025</v>
      </c>
      <c r="J420" s="26">
        <v>4</v>
      </c>
      <c r="K420" s="26">
        <v>6</v>
      </c>
      <c r="L420" s="26">
        <v>8</v>
      </c>
      <c r="N420" s="24">
        <v>45499</v>
      </c>
      <c r="O420" s="16" cm="1">
        <f t="array" ref="O420">_xll.BADDPERIODS(N420, "PER=WD", "NUMBEROFPERIODS=2", "BUSDAYADJ=-2", "CDR=GQ", "CDR=P9")</f>
        <v>45503</v>
      </c>
      <c r="P420" s="15" cm="1">
        <f t="array" ref="P420">_xll.BDH("XAG Curncy","PX_LAST",N420,N420)</f>
        <v>27.925799999999999</v>
      </c>
      <c r="Q420" s="15" t="str" cm="1">
        <f t="array" ref="Q420">_xll.BDP("SIU24 Comdty",$M$32)</f>
        <v>03/09/2024</v>
      </c>
      <c r="R420" s="15">
        <f t="shared" si="200"/>
        <v>35</v>
      </c>
      <c r="S420" s="23">
        <v>5.6000000000000001E-2</v>
      </c>
      <c r="T420" s="21">
        <f t="shared" si="206"/>
        <v>0.15204046666666668</v>
      </c>
      <c r="U420" s="12">
        <v>0.155</v>
      </c>
      <c r="V420" s="68">
        <f t="shared" si="207"/>
        <v>0.29595333333333196</v>
      </c>
      <c r="W420" s="15">
        <v>15</v>
      </c>
      <c r="X420" s="15">
        <v>20</v>
      </c>
      <c r="Y420" s="15">
        <v>25</v>
      </c>
      <c r="Z420" s="18">
        <f t="shared" si="208"/>
        <v>15.204046666666668</v>
      </c>
      <c r="AA420" s="18">
        <f t="shared" si="215"/>
        <v>15.5</v>
      </c>
      <c r="AB420" s="18">
        <f t="shared" si="209"/>
        <v>0.29595333333333196</v>
      </c>
      <c r="AE420" s="44" cm="1">
        <f t="array" ref="AE420">_xll.BDH("COMXGOLD Comdty","PX_Last", N420)</f>
        <v>17964341.041999999</v>
      </c>
      <c r="AF420" s="15" t="s">
        <v>45</v>
      </c>
      <c r="AG420" s="44" cm="1">
        <f t="array" ref="AG420">_xll.BDH(AF420,"FUT_AGGTE_OPEN_INT",A420)</f>
        <v>519603</v>
      </c>
      <c r="AH420" s="44">
        <f t="shared" si="218"/>
        <v>51960300</v>
      </c>
      <c r="AI420" s="48">
        <f t="shared" si="219"/>
        <v>0.34573205008439134</v>
      </c>
      <c r="AK420" s="44" cm="1">
        <f t="array" ref="AK420">_xll.BDH("COMXSILV Comdty","PX_Last", N420)</f>
        <v>303461.71999999997</v>
      </c>
      <c r="AL420" s="15" t="s">
        <v>57</v>
      </c>
      <c r="AM420" s="47" cm="1">
        <f t="array" ref="AM420">_xll.BDH(AL420,"FUT_AGGTE_OPEN_INT",A420)</f>
        <v>152552</v>
      </c>
      <c r="AN420" s="45">
        <f t="shared" si="220"/>
        <v>397.84692432744237</v>
      </c>
      <c r="AO420" s="46">
        <f t="shared" si="221"/>
        <v>30346171999.999996</v>
      </c>
      <c r="AP420" s="46">
        <f t="shared" si="222"/>
        <v>762760</v>
      </c>
    </row>
    <row r="421" spans="1:42" x14ac:dyDescent="0.2">
      <c r="A421" s="24">
        <v>45502</v>
      </c>
      <c r="B421" s="16" cm="1">
        <f t="array" ref="B421">_xll.BADDPERIODS(A421, "PER=WD", "NUMBEROFPERIODS=2", "BUSDAYADJ=-2", "CDR=GQ", "CDR=P9")</f>
        <v>45504</v>
      </c>
      <c r="C421" s="15" cm="1">
        <f t="array" ref="C421">_xll.BDH("XAU Curncy","PX_LAST",A421,A421)</f>
        <v>2384.19</v>
      </c>
      <c r="D421" s="15" t="str" cm="1">
        <f t="array" ref="D421">_xll.BDP("GCz4 Comdty",$M$32)</f>
        <v>02/12/2024</v>
      </c>
      <c r="E421" s="15">
        <f t="shared" si="194"/>
        <v>124</v>
      </c>
      <c r="F421" s="23">
        <v>5.45E-2</v>
      </c>
      <c r="G421" s="28">
        <f t="shared" si="216"/>
        <v>44.756544499999997</v>
      </c>
      <c r="H421" s="12">
        <v>45.5</v>
      </c>
      <c r="I421" s="69">
        <f t="shared" si="217"/>
        <v>0.74345550000000316</v>
      </c>
      <c r="J421" s="26">
        <v>4</v>
      </c>
      <c r="K421" s="26">
        <v>6</v>
      </c>
      <c r="L421" s="26">
        <v>8</v>
      </c>
      <c r="N421" s="24">
        <v>45502</v>
      </c>
      <c r="O421" s="16" cm="1">
        <f t="array" ref="O421">_xll.BADDPERIODS(N421, "PER=WD", "NUMBEROFPERIODS=2", "BUSDAYADJ=-2", "CDR=GQ", "CDR=P9")</f>
        <v>45504</v>
      </c>
      <c r="P421" s="15" cm="1">
        <f t="array" ref="P421">_xll.BDH("XAG Curncy","PX_LAST",N421,N421)</f>
        <v>27.861699999999999</v>
      </c>
      <c r="Q421" s="15" t="str" cm="1">
        <f t="array" ref="Q421">_xll.BDP("SIU24 Comdty",$M$32)</f>
        <v>03/09/2024</v>
      </c>
      <c r="R421" s="15">
        <f t="shared" si="200"/>
        <v>34</v>
      </c>
      <c r="S421" s="23">
        <v>5.6399999999999999E-2</v>
      </c>
      <c r="T421" s="21">
        <f t="shared" si="206"/>
        <v>0.14840998866666666</v>
      </c>
      <c r="U421" s="12">
        <v>0.15</v>
      </c>
      <c r="V421" s="68">
        <f t="shared" si="207"/>
        <v>0.15900113333333354</v>
      </c>
      <c r="W421" s="15">
        <v>15</v>
      </c>
      <c r="X421" s="15">
        <v>20</v>
      </c>
      <c r="Y421" s="15">
        <v>25</v>
      </c>
      <c r="Z421" s="18">
        <f t="shared" ref="Z421:Z464" si="223">100*T421</f>
        <v>14.840998866666666</v>
      </c>
      <c r="AA421" s="18">
        <f t="shared" si="215"/>
        <v>15</v>
      </c>
      <c r="AB421" s="18">
        <f t="shared" ref="AB421:AB464" si="224">V421</f>
        <v>0.15900113333333354</v>
      </c>
      <c r="AC421" s="15"/>
      <c r="AD421" s="15"/>
      <c r="AE421" s="44" cm="1">
        <f t="array" ref="AE421">_xll.BDH("COMXGOLD Comdty","PX_Last", N421)</f>
        <v>17964341.041999999</v>
      </c>
      <c r="AF421" s="15" t="s">
        <v>45</v>
      </c>
      <c r="AG421" s="44" cm="1">
        <f t="array" ref="AG421">_xll.BDH(AF421,"FUT_AGGTE_OPEN_INT",A421)</f>
        <v>509220</v>
      </c>
      <c r="AH421" s="44">
        <f t="shared" ref="AH421:AH458" si="225">AG421*$AG$17</f>
        <v>50922000</v>
      </c>
      <c r="AI421" s="48">
        <f t="shared" ref="AI421:AI458" si="226">AE421/AH421</f>
        <v>0.35278152943717844</v>
      </c>
      <c r="AK421" s="44" cm="1">
        <f t="array" ref="AK421">_xll.BDH("COMXSILV Comdty","PX_Last", N421)</f>
        <v>302212.84000000003</v>
      </c>
      <c r="AL421" s="15" t="s">
        <v>57</v>
      </c>
      <c r="AM421" s="47" cm="1">
        <f t="array" ref="AM421">_xll.BDH(AL421,"FUT_AGGTE_OPEN_INT",A421)</f>
        <v>152221</v>
      </c>
      <c r="AN421" s="45">
        <f t="shared" ref="AN421:AN458" si="227">(AO421/AP421)/100</f>
        <v>397.07115312604708</v>
      </c>
      <c r="AO421" s="46">
        <f t="shared" ref="AO421:AO458" si="228">AK421*100000</f>
        <v>30221284000.000004</v>
      </c>
      <c r="AP421" s="46">
        <f t="shared" ref="AP421:AP458" si="229">(AM421*5000)/1000</f>
        <v>761105</v>
      </c>
    </row>
    <row r="422" spans="1:42" x14ac:dyDescent="0.2">
      <c r="A422" s="24">
        <v>45503</v>
      </c>
      <c r="B422" s="16" cm="1">
        <f t="array" ref="B422">_xll.BADDPERIODS(A422, "PER=WD", "NUMBEROFPERIODS=2", "BUSDAYADJ=-2", "CDR=GQ", "CDR=P9")</f>
        <v>45505</v>
      </c>
      <c r="C422" s="15" cm="1">
        <f t="array" ref="C422">_xll.BDH("XAU Curncy","PX_LAST",A422,A422)</f>
        <v>2410.7800000000002</v>
      </c>
      <c r="D422" s="15" t="str" cm="1">
        <f t="array" ref="D422">_xll.BDP("GCz4 Comdty",$M$32)</f>
        <v>02/12/2024</v>
      </c>
      <c r="E422" s="15">
        <f t="shared" si="194"/>
        <v>123</v>
      </c>
      <c r="F422" s="23">
        <v>5.45E-2</v>
      </c>
      <c r="G422" s="28">
        <f t="shared" si="216"/>
        <v>44.890732583333339</v>
      </c>
      <c r="H422" s="12">
        <v>45.2</v>
      </c>
      <c r="I422" s="69">
        <f t="shared" si="217"/>
        <v>0.30926741666666402</v>
      </c>
      <c r="J422" s="26">
        <v>4</v>
      </c>
      <c r="K422" s="26">
        <v>6</v>
      </c>
      <c r="L422" s="26">
        <v>8</v>
      </c>
      <c r="N422" s="24">
        <v>45503</v>
      </c>
      <c r="O422" s="16" cm="1">
        <f t="array" ref="O422">_xll.BADDPERIODS(N422, "PER=WD", "NUMBEROFPERIODS=2", "BUSDAYADJ=-2", "CDR=GQ", "CDR=P9")</f>
        <v>45505</v>
      </c>
      <c r="P422" s="15" cm="1">
        <f t="array" ref="P422">_xll.BDH("XAG Curncy","PX_LAST",N422,N422)</f>
        <v>28.386299999999999</v>
      </c>
      <c r="Q422" s="15" t="str" cm="1">
        <f t="array" ref="Q422">_xll.BDP("SIU24 Comdty",$M$32)</f>
        <v>03/09/2024</v>
      </c>
      <c r="R422" s="15">
        <f t="shared" si="200"/>
        <v>33</v>
      </c>
      <c r="S422" s="23">
        <v>5.6399999999999999E-2</v>
      </c>
      <c r="T422" s="21">
        <f t="shared" si="206"/>
        <v>0.14675717099999996</v>
      </c>
      <c r="U422" s="12">
        <v>0.14749999999999999</v>
      </c>
      <c r="V422" s="68">
        <f t="shared" si="207"/>
        <v>7.4282900000002816E-2</v>
      </c>
      <c r="W422" s="15">
        <v>15</v>
      </c>
      <c r="X422" s="15">
        <v>20</v>
      </c>
      <c r="Y422" s="15">
        <v>25</v>
      </c>
      <c r="Z422" s="18">
        <f t="shared" si="223"/>
        <v>14.675717099999996</v>
      </c>
      <c r="AA422" s="18">
        <f t="shared" si="215"/>
        <v>14.75</v>
      </c>
      <c r="AB422" s="18">
        <f t="shared" si="224"/>
        <v>7.4282900000002816E-2</v>
      </c>
      <c r="AC422" s="15"/>
      <c r="AD422" s="15"/>
      <c r="AE422" s="44" cm="1">
        <f t="array" ref="AE422">_xll.BDH("COMXGOLD Comdty","PX_Last", N422)</f>
        <v>17835609.704</v>
      </c>
      <c r="AF422" s="15" t="s">
        <v>45</v>
      </c>
      <c r="AG422" s="44" cm="1">
        <f t="array" ref="AG422">_xll.BDH(AF422,"FUT_AGGTE_OPEN_INT",A422)</f>
        <v>510914</v>
      </c>
      <c r="AH422" s="44">
        <f t="shared" si="225"/>
        <v>51091400</v>
      </c>
      <c r="AI422" s="48">
        <f t="shared" si="226"/>
        <v>0.34909220933464341</v>
      </c>
      <c r="AK422" s="44" cm="1">
        <f t="array" ref="AK422">_xll.BDH("COMXSILV Comdty","PX_Last", N422)</f>
        <v>302208.94</v>
      </c>
      <c r="AL422" s="15" t="s">
        <v>57</v>
      </c>
      <c r="AM422" s="47" cm="1">
        <f t="array" ref="AM422">_xll.BDH(AL422,"FUT_AGGTE_OPEN_INT",A422)</f>
        <v>151437</v>
      </c>
      <c r="AN422" s="45">
        <f t="shared" si="227"/>
        <v>399.12166775622865</v>
      </c>
      <c r="AO422" s="46">
        <f t="shared" si="228"/>
        <v>30220894000</v>
      </c>
      <c r="AP422" s="46">
        <f t="shared" si="229"/>
        <v>757185</v>
      </c>
    </row>
    <row r="423" spans="1:42" x14ac:dyDescent="0.2">
      <c r="A423" s="24">
        <v>45504</v>
      </c>
      <c r="B423" s="16" cm="1">
        <f t="array" ref="B423">_xll.BADDPERIODS(A423, "PER=WD", "NUMBEROFPERIODS=2", "BUSDAYADJ=-2", "CDR=GQ", "CDR=P9")</f>
        <v>45506</v>
      </c>
      <c r="C423" s="15" cm="1">
        <f t="array" ref="C423">_xll.BDH("XAU Curncy","PX_LAST",A423,A423)</f>
        <v>2447.6</v>
      </c>
      <c r="D423" s="15" t="str" cm="1">
        <f t="array" ref="D423">_xll.BDP("GCz4 Comdty",$M$32)</f>
        <v>02/12/2024</v>
      </c>
      <c r="E423" s="15">
        <f t="shared" si="194"/>
        <v>122</v>
      </c>
      <c r="F423" s="23">
        <v>5.45E-2</v>
      </c>
      <c r="G423" s="28">
        <f t="shared" si="216"/>
        <v>45.205812222222221</v>
      </c>
      <c r="H423" s="12">
        <v>45</v>
      </c>
      <c r="I423" s="69">
        <f t="shared" si="217"/>
        <v>-0.20581222222222095</v>
      </c>
      <c r="J423" s="26">
        <v>4</v>
      </c>
      <c r="K423" s="26">
        <v>6</v>
      </c>
      <c r="L423" s="26">
        <v>8</v>
      </c>
      <c r="N423" s="24">
        <v>45504</v>
      </c>
      <c r="O423" s="16" cm="1">
        <f t="array" ref="O423">_xll.BADDPERIODS(N423, "PER=WD", "NUMBEROFPERIODS=2", "BUSDAYADJ=-2", "CDR=GQ", "CDR=P9")</f>
        <v>45506</v>
      </c>
      <c r="P423" s="15" cm="1">
        <f t="array" ref="P423">_xll.BDH("XAG Curncy","PX_LAST",N423,N423)</f>
        <v>29.006499999999999</v>
      </c>
      <c r="Q423" s="15" t="str" cm="1">
        <f t="array" ref="Q423">_xll.BDP("SIU24 Comdty",$M$32)</f>
        <v>03/09/2024</v>
      </c>
      <c r="R423" s="15">
        <f t="shared" si="200"/>
        <v>32</v>
      </c>
      <c r="S423" s="23">
        <v>5.6500000000000002E-2</v>
      </c>
      <c r="T423" s="21">
        <f t="shared" si="206"/>
        <v>0.14567708888888889</v>
      </c>
      <c r="U423" s="12">
        <v>0.15</v>
      </c>
      <c r="V423" s="68">
        <f t="shared" si="207"/>
        <v>0.43229111111111052</v>
      </c>
      <c r="W423" s="15">
        <v>15</v>
      </c>
      <c r="X423" s="15">
        <v>20</v>
      </c>
      <c r="Y423" s="15">
        <v>25</v>
      </c>
      <c r="Z423" s="18">
        <f t="shared" si="223"/>
        <v>14.567708888888889</v>
      </c>
      <c r="AA423" s="18">
        <f t="shared" si="215"/>
        <v>15</v>
      </c>
      <c r="AB423" s="18">
        <f t="shared" si="224"/>
        <v>0.43229111111111052</v>
      </c>
      <c r="AC423" s="15"/>
      <c r="AD423" s="15"/>
      <c r="AE423" s="44" cm="1">
        <f t="array" ref="AE423">_xll.BDH("COMXGOLD Comdty","PX_Last", N423)</f>
        <v>17900385.603</v>
      </c>
      <c r="AF423" s="15" t="s">
        <v>45</v>
      </c>
      <c r="AG423" s="44" cm="1">
        <f t="array" ref="AG423">_xll.BDH(AF423,"FUT_AGGTE_OPEN_INT",A423)</f>
        <v>504204</v>
      </c>
      <c r="AH423" s="44">
        <f t="shared" si="225"/>
        <v>50420400</v>
      </c>
      <c r="AI423" s="48">
        <f t="shared" si="226"/>
        <v>0.35502268135516579</v>
      </c>
      <c r="AK423" s="44" cm="1">
        <f t="array" ref="AK423">_xll.BDH("COMXSILV Comdty","PX_Last", N423)</f>
        <v>302738.63</v>
      </c>
      <c r="AL423" s="15" t="s">
        <v>57</v>
      </c>
      <c r="AM423" s="47" cm="1">
        <f t="array" ref="AM423">_xll.BDH(AL423,"FUT_AGGTE_OPEN_INT",A423)</f>
        <v>151288</v>
      </c>
      <c r="AN423" s="45">
        <f t="shared" si="227"/>
        <v>400.21499391888318</v>
      </c>
      <c r="AO423" s="46">
        <f t="shared" si="228"/>
        <v>30273863000</v>
      </c>
      <c r="AP423" s="46">
        <f t="shared" si="229"/>
        <v>756440</v>
      </c>
    </row>
    <row r="424" spans="1:42" x14ac:dyDescent="0.2">
      <c r="A424" s="24">
        <v>45505</v>
      </c>
      <c r="B424" s="16" cm="1">
        <f t="array" ref="B424">_xll.BADDPERIODS(A424, "PER=WD", "NUMBEROFPERIODS=2", "BUSDAYADJ=-2", "CDR=GQ", "CDR=P9")</f>
        <v>45509</v>
      </c>
      <c r="C424" s="15" cm="1">
        <f t="array" ref="C424">_xll.BDH("XAU Curncy","PX_LAST",A424,A424)</f>
        <v>2446.2600000000002</v>
      </c>
      <c r="D424" s="15" t="str" cm="1">
        <f t="array" ref="D424">_xll.BDP("GCz4 Comdty",$M$32)</f>
        <v>02/12/2024</v>
      </c>
      <c r="E424" s="15">
        <f t="shared" ref="E424:E487" si="230">_xlfn.DAYS(D424,B424)</f>
        <v>119</v>
      </c>
      <c r="F424" s="23">
        <v>5.45E-2</v>
      </c>
      <c r="G424" s="28">
        <f t="shared" si="216"/>
        <v>44.070053416666674</v>
      </c>
      <c r="H424" s="12">
        <v>44.5</v>
      </c>
      <c r="I424" s="69">
        <f t="shared" si="217"/>
        <v>0.4299465833333258</v>
      </c>
      <c r="J424" s="26">
        <v>4</v>
      </c>
      <c r="K424" s="26">
        <v>6</v>
      </c>
      <c r="L424" s="26">
        <v>8</v>
      </c>
      <c r="N424" s="24">
        <v>45505</v>
      </c>
      <c r="O424" s="16" cm="1">
        <f t="array" ref="O424">_xll.BADDPERIODS(N424, "PER=WD", "NUMBEROFPERIODS=2", "BUSDAYADJ=-2", "CDR=GQ", "CDR=P9")</f>
        <v>45509</v>
      </c>
      <c r="P424" s="15" cm="1">
        <f t="array" ref="P424">_xll.BDH("XAG Curncy","PX_LAST",N424,N424)</f>
        <v>28.523499999999999</v>
      </c>
      <c r="Q424" s="15" t="str" cm="1">
        <f t="array" ref="Q424">_xll.BDP("SIU24 Comdty",$M$32)</f>
        <v>03/09/2024</v>
      </c>
      <c r="R424" s="15">
        <f t="shared" si="200"/>
        <v>29</v>
      </c>
      <c r="S424" s="23">
        <v>5.6500000000000002E-2</v>
      </c>
      <c r="T424" s="21">
        <f t="shared" si="206"/>
        <v>0.12982154097222223</v>
      </c>
      <c r="U424" s="12">
        <v>0.115</v>
      </c>
      <c r="V424" s="68">
        <f t="shared" si="207"/>
        <v>-1.4821540972222227</v>
      </c>
      <c r="W424" s="15">
        <v>15</v>
      </c>
      <c r="X424" s="15">
        <v>20</v>
      </c>
      <c r="Y424" s="15">
        <v>25</v>
      </c>
      <c r="Z424" s="18">
        <f t="shared" si="223"/>
        <v>12.982154097222223</v>
      </c>
      <c r="AA424" s="18">
        <f t="shared" si="215"/>
        <v>11.5</v>
      </c>
      <c r="AB424" s="18">
        <f t="shared" si="224"/>
        <v>-1.4821540972222227</v>
      </c>
      <c r="AC424" s="15"/>
      <c r="AD424" s="15"/>
      <c r="AE424" s="44" cm="1">
        <f t="array" ref="AE424">_xll.BDH("COMXGOLD Comdty","PX_Last", N424)</f>
        <v>17868170.300999999</v>
      </c>
      <c r="AF424" s="15" t="s">
        <v>45</v>
      </c>
      <c r="AG424" s="44" cm="1">
        <f t="array" ref="AG424">_xll.BDH(AF424,"FUT_AGGTE_OPEN_INT",A424)</f>
        <v>512329</v>
      </c>
      <c r="AH424" s="44">
        <f t="shared" si="225"/>
        <v>51232900</v>
      </c>
      <c r="AI424" s="48">
        <f t="shared" si="226"/>
        <v>0.34876359333553242</v>
      </c>
      <c r="AK424" s="44" cm="1">
        <f t="array" ref="AK424">_xll.BDH("COMXSILV Comdty","PX_Last", N424)</f>
        <v>302143.78000000003</v>
      </c>
      <c r="AL424" s="15" t="s">
        <v>57</v>
      </c>
      <c r="AM424" s="47" cm="1">
        <f t="array" ref="AM424">_xll.BDH(AL424,"FUT_AGGTE_OPEN_INT",A424)</f>
        <v>152276</v>
      </c>
      <c r="AN424" s="45">
        <f t="shared" si="227"/>
        <v>396.83703275631092</v>
      </c>
      <c r="AO424" s="46">
        <f t="shared" si="228"/>
        <v>30214378000.000004</v>
      </c>
      <c r="AP424" s="46">
        <f t="shared" si="229"/>
        <v>761380</v>
      </c>
    </row>
    <row r="425" spans="1:42" x14ac:dyDescent="0.2">
      <c r="A425" s="24">
        <v>45506</v>
      </c>
      <c r="B425" s="16" cm="1">
        <f t="array" ref="B425">_xll.BADDPERIODS(A425, "PER=WD", "NUMBEROFPERIODS=2", "BUSDAYADJ=-2", "CDR=GQ", "CDR=P9")</f>
        <v>45510</v>
      </c>
      <c r="C425" s="15" cm="1">
        <f t="array" ref="C425">_xll.BDH("XAU Curncy","PX_LAST",A425,A425)</f>
        <v>2443.2399999999998</v>
      </c>
      <c r="D425" s="15" t="str" cm="1">
        <f t="array" ref="D425">_xll.BDP("GCz4 Comdty",$M$32)</f>
        <v>02/12/2024</v>
      </c>
      <c r="E425" s="15">
        <f t="shared" si="230"/>
        <v>118</v>
      </c>
      <c r="F425" s="23">
        <v>5.3999999999999999E-2</v>
      </c>
      <c r="G425" s="28">
        <f t="shared" si="216"/>
        <v>43.245348</v>
      </c>
      <c r="H425" s="12">
        <v>44.2</v>
      </c>
      <c r="I425" s="69">
        <f t="shared" si="217"/>
        <v>0.95465200000000294</v>
      </c>
      <c r="J425" s="26">
        <v>4</v>
      </c>
      <c r="K425" s="26">
        <v>6</v>
      </c>
      <c r="L425" s="26">
        <v>8</v>
      </c>
      <c r="N425" s="24">
        <v>45506</v>
      </c>
      <c r="O425" s="16" cm="1">
        <f t="array" ref="O425">_xll.BADDPERIODS(N425, "PER=WD", "NUMBEROFPERIODS=2", "BUSDAYADJ=-2", "CDR=GQ", "CDR=P9")</f>
        <v>45510</v>
      </c>
      <c r="P425" s="15" cm="1">
        <f t="array" ref="P425">_xll.BDH("XAG Curncy","PX_LAST",N425,N425)</f>
        <v>28.559699999999999</v>
      </c>
      <c r="Q425" s="15" t="str" cm="1">
        <f t="array" ref="Q425">_xll.BDP("SIU24 Comdty",$M$32)</f>
        <v>03/09/2024</v>
      </c>
      <c r="R425" s="15">
        <f t="shared" si="200"/>
        <v>28</v>
      </c>
      <c r="S425" s="23">
        <v>5.6500000000000002E-2</v>
      </c>
      <c r="T425" s="21">
        <f t="shared" si="206"/>
        <v>0.125504015</v>
      </c>
      <c r="U425" s="12">
        <v>0.125</v>
      </c>
      <c r="V425" s="68">
        <f t="shared" si="207"/>
        <v>-5.0401499999999655E-2</v>
      </c>
      <c r="W425" s="15">
        <v>15</v>
      </c>
      <c r="X425" s="15">
        <v>20</v>
      </c>
      <c r="Y425" s="15">
        <v>25</v>
      </c>
      <c r="Z425" s="18">
        <f t="shared" si="223"/>
        <v>12.5504015</v>
      </c>
      <c r="AA425" s="18">
        <f t="shared" si="215"/>
        <v>12.5</v>
      </c>
      <c r="AB425" s="18">
        <f t="shared" si="224"/>
        <v>-5.0401499999999655E-2</v>
      </c>
      <c r="AC425" s="15"/>
      <c r="AD425" s="15"/>
      <c r="AE425" s="44" cm="1">
        <f t="array" ref="AE425">_xll.BDH("COMXGOLD Comdty","PX_Last", N425)</f>
        <v>17868105.999000002</v>
      </c>
      <c r="AF425" s="15" t="s">
        <v>45</v>
      </c>
      <c r="AG425" s="44" cm="1">
        <f t="array" ref="AG425">_xll.BDH(AF425,"FUT_AGGTE_OPEN_INT",A425)</f>
        <v>507517</v>
      </c>
      <c r="AH425" s="44">
        <f t="shared" si="225"/>
        <v>50751700</v>
      </c>
      <c r="AI425" s="48">
        <f t="shared" si="226"/>
        <v>0.35206911293611842</v>
      </c>
      <c r="AK425" s="44" cm="1">
        <f t="array" ref="AK425">_xll.BDH("COMXSILV Comdty","PX_Last", N425)</f>
        <v>302723</v>
      </c>
      <c r="AL425" s="15" t="s">
        <v>57</v>
      </c>
      <c r="AM425" s="47" cm="1">
        <f t="array" ref="AM425">_xll.BDH(AL425,"FUT_AGGTE_OPEN_INT",A425)</f>
        <v>153135</v>
      </c>
      <c r="AN425" s="45">
        <f t="shared" si="227"/>
        <v>395.36748620498258</v>
      </c>
      <c r="AO425" s="46">
        <f t="shared" si="228"/>
        <v>30272300000</v>
      </c>
      <c r="AP425" s="46">
        <f t="shared" si="229"/>
        <v>765675</v>
      </c>
    </row>
    <row r="426" spans="1:42" x14ac:dyDescent="0.2">
      <c r="A426" s="24">
        <v>45509</v>
      </c>
      <c r="B426" s="16" cm="1">
        <f t="array" ref="B426">_xll.BADDPERIODS(A426, "PER=WD", "NUMBEROFPERIODS=2", "BUSDAYADJ=-2", "CDR=GQ", "CDR=P9")</f>
        <v>45511</v>
      </c>
      <c r="C426" s="15" cm="1">
        <f t="array" ref="C426">_xll.BDH("XAU Curncy","PX_LAST",A426,A426)</f>
        <v>2410.79</v>
      </c>
      <c r="D426" s="15" t="str" cm="1">
        <f t="array" ref="D426">_xll.BDP("GCz4 Comdty",$M$32)</f>
        <v>02/12/2024</v>
      </c>
      <c r="E426" s="15">
        <f t="shared" si="230"/>
        <v>117</v>
      </c>
      <c r="F426" s="23">
        <v>5.1900000000000002E-2</v>
      </c>
      <c r="G426" s="28">
        <f t="shared" si="216"/>
        <v>40.664000325000003</v>
      </c>
      <c r="H426" s="12">
        <v>41.2</v>
      </c>
      <c r="I426" s="69">
        <f t="shared" si="217"/>
        <v>0.53599967499999934</v>
      </c>
      <c r="J426" s="26">
        <v>4</v>
      </c>
      <c r="K426" s="26">
        <v>6</v>
      </c>
      <c r="L426" s="26">
        <v>8</v>
      </c>
      <c r="N426" s="24">
        <v>45509</v>
      </c>
      <c r="O426" s="16" cm="1">
        <f t="array" ref="O426">_xll.BADDPERIODS(N426, "PER=WD", "NUMBEROFPERIODS=2", "BUSDAYADJ=-2", "CDR=GQ", "CDR=P9")</f>
        <v>45511</v>
      </c>
      <c r="P426" s="15" cm="1">
        <f t="array" ref="P426">_xll.BDH("XAG Curncy","PX_LAST",N426,N426)</f>
        <v>27.263999999999999</v>
      </c>
      <c r="Q426" s="15" t="str" cm="1">
        <f t="array" ref="Q426">_xll.BDP("SIU24 Comdty",$M$32)</f>
        <v>03/09/2024</v>
      </c>
      <c r="R426" s="15">
        <f t="shared" si="200"/>
        <v>27</v>
      </c>
      <c r="S426" s="23">
        <v>5.62E-2</v>
      </c>
      <c r="T426" s="21">
        <f t="shared" si="206"/>
        <v>0.11491775999999999</v>
      </c>
      <c r="U426" s="12">
        <v>0.11</v>
      </c>
      <c r="V426" s="68">
        <f t="shared" si="207"/>
        <v>-0.49177599999999932</v>
      </c>
      <c r="W426" s="15">
        <v>15</v>
      </c>
      <c r="X426" s="15">
        <v>20</v>
      </c>
      <c r="Y426" s="15">
        <v>25</v>
      </c>
      <c r="Z426" s="18">
        <f t="shared" si="223"/>
        <v>11.491776</v>
      </c>
      <c r="AA426" s="18">
        <f t="shared" si="215"/>
        <v>11</v>
      </c>
      <c r="AB426" s="18">
        <f t="shared" si="224"/>
        <v>-0.49177599999999932</v>
      </c>
      <c r="AC426" s="15"/>
      <c r="AD426" s="15"/>
      <c r="AE426" s="44" cm="1">
        <f t="array" ref="AE426">_xll.BDH("COMXGOLD Comdty","PX_Last", N426)</f>
        <v>17868105.999000002</v>
      </c>
      <c r="AF426" s="15" t="s">
        <v>45</v>
      </c>
      <c r="AG426" s="44" cm="1">
        <f t="array" ref="AG426">_xll.BDH(AF426,"FUT_AGGTE_OPEN_INT",A426)</f>
        <v>487849</v>
      </c>
      <c r="AH426" s="44">
        <f t="shared" si="225"/>
        <v>48784900</v>
      </c>
      <c r="AI426" s="48">
        <f t="shared" si="226"/>
        <v>0.36626304448712615</v>
      </c>
      <c r="AK426" s="44" cm="1">
        <f t="array" ref="AK426">_xll.BDH("COMXSILV Comdty","PX_Last", N426)</f>
        <v>303804.63</v>
      </c>
      <c r="AL426" s="15" t="s">
        <v>57</v>
      </c>
      <c r="AM426" s="47" cm="1">
        <f t="array" ref="AM426">_xll.BDH(AL426,"FUT_AGGTE_OPEN_INT",A426)</f>
        <v>149836</v>
      </c>
      <c r="AN426" s="45">
        <f t="shared" si="227"/>
        <v>405.51620438345924</v>
      </c>
      <c r="AO426" s="46">
        <f t="shared" si="228"/>
        <v>30380463000</v>
      </c>
      <c r="AP426" s="46">
        <f t="shared" si="229"/>
        <v>749180</v>
      </c>
    </row>
    <row r="427" spans="1:42" x14ac:dyDescent="0.2">
      <c r="A427" s="24">
        <v>45510</v>
      </c>
      <c r="B427" s="16" cm="1">
        <f t="array" ref="B427">_xll.BADDPERIODS(A427, "PER=WD", "NUMBEROFPERIODS=2", "BUSDAYADJ=-2", "CDR=GQ", "CDR=P9")</f>
        <v>45512</v>
      </c>
      <c r="C427" s="15" cm="1">
        <f t="array" ref="C427">_xll.BDH("XAU Curncy","PX_LAST",A427,A427)</f>
        <v>2390.8200000000002</v>
      </c>
      <c r="D427" s="15" t="str" cm="1">
        <f t="array" ref="D427">_xll.BDP("GCz4 Comdty",$M$32)</f>
        <v>02/12/2024</v>
      </c>
      <c r="E427" s="15">
        <f t="shared" si="230"/>
        <v>116</v>
      </c>
      <c r="F427" s="23">
        <v>5.1999999999999998E-2</v>
      </c>
      <c r="G427" s="28">
        <f t="shared" si="216"/>
        <v>40.059517333333332</v>
      </c>
      <c r="H427" s="12">
        <v>40.700000000000003</v>
      </c>
      <c r="I427" s="69">
        <f t="shared" si="217"/>
        <v>0.64048266666667075</v>
      </c>
      <c r="J427" s="26">
        <v>4</v>
      </c>
      <c r="K427" s="26">
        <v>6</v>
      </c>
      <c r="L427" s="26">
        <v>8</v>
      </c>
      <c r="N427" s="24">
        <v>45510</v>
      </c>
      <c r="O427" s="16" cm="1">
        <f t="array" ref="O427">_xll.BADDPERIODS(N427, "PER=WD", "NUMBEROFPERIODS=2", "BUSDAYADJ=-2", "CDR=GQ", "CDR=P9")</f>
        <v>45512</v>
      </c>
      <c r="P427" s="15" cm="1">
        <f t="array" ref="P427">_xll.BDH("XAG Curncy","PX_LAST",N427,N427)</f>
        <v>26.984200000000001</v>
      </c>
      <c r="Q427" s="15" t="str" cm="1">
        <f t="array" ref="Q427">_xll.BDP("SIU24 Comdty",$M$32)</f>
        <v>03/09/2024</v>
      </c>
      <c r="R427" s="15">
        <f t="shared" si="200"/>
        <v>26</v>
      </c>
      <c r="S427" s="23">
        <v>5.6000000000000001E-2</v>
      </c>
      <c r="T427" s="21">
        <f t="shared" si="206"/>
        <v>0.10913609777777777</v>
      </c>
      <c r="U427" s="12">
        <v>0.105</v>
      </c>
      <c r="V427" s="68">
        <f t="shared" si="207"/>
        <v>-0.4136097777777778</v>
      </c>
      <c r="W427" s="15">
        <v>15</v>
      </c>
      <c r="X427" s="15">
        <v>20</v>
      </c>
      <c r="Y427" s="15">
        <v>25</v>
      </c>
      <c r="Z427" s="18">
        <f t="shared" si="223"/>
        <v>10.913609777777777</v>
      </c>
      <c r="AA427" s="18">
        <f t="shared" si="215"/>
        <v>10.5</v>
      </c>
      <c r="AB427" s="18">
        <f t="shared" si="224"/>
        <v>-0.4136097777777778</v>
      </c>
      <c r="AC427" s="15"/>
      <c r="AD427" s="15"/>
      <c r="AE427" s="44" cm="1">
        <f t="array" ref="AE427">_xll.BDH("COMXGOLD Comdty","PX_Last", N427)</f>
        <v>17834210.890000001</v>
      </c>
      <c r="AF427" s="15" t="s">
        <v>45</v>
      </c>
      <c r="AG427" s="44" cm="1">
        <f t="array" ref="AG427">_xll.BDH(AF427,"FUT_AGGTE_OPEN_INT",A427)</f>
        <v>480645</v>
      </c>
      <c r="AH427" s="44">
        <f t="shared" si="225"/>
        <v>48064500</v>
      </c>
      <c r="AI427" s="48">
        <f t="shared" si="226"/>
        <v>0.37104746517700177</v>
      </c>
      <c r="AK427" s="44" cm="1">
        <f t="array" ref="AK427">_xll.BDH("COMXSILV Comdty","PX_Last", N427)</f>
        <v>303109.38</v>
      </c>
      <c r="AL427" s="15" t="s">
        <v>57</v>
      </c>
      <c r="AM427" s="47" cm="1">
        <f t="array" ref="AM427">_xll.BDH(AL427,"FUT_AGGTE_OPEN_INT",A427)</f>
        <v>147537</v>
      </c>
      <c r="AN427" s="45">
        <f t="shared" si="227"/>
        <v>410.89269810284878</v>
      </c>
      <c r="AO427" s="46">
        <f t="shared" si="228"/>
        <v>30310938000</v>
      </c>
      <c r="AP427" s="46">
        <f t="shared" si="229"/>
        <v>737685</v>
      </c>
    </row>
    <row r="428" spans="1:42" x14ac:dyDescent="0.2">
      <c r="A428" s="24">
        <v>45511</v>
      </c>
      <c r="B428" s="16" cm="1">
        <f t="array" ref="B428">_xll.BADDPERIODS(A428, "PER=WD", "NUMBEROFPERIODS=2", "BUSDAYADJ=-2", "CDR=GQ", "CDR=P9")</f>
        <v>45513</v>
      </c>
      <c r="C428" s="15" cm="1">
        <f t="array" ref="C428">_xll.BDH("XAU Curncy","PX_LAST",A428,A428)</f>
        <v>2382.92</v>
      </c>
      <c r="D428" s="15" t="str" cm="1">
        <f t="array" ref="D428">_xll.BDP("GCz4 Comdty",$M$32)</f>
        <v>02/12/2024</v>
      </c>
      <c r="E428" s="15">
        <f t="shared" si="230"/>
        <v>115</v>
      </c>
      <c r="F428" s="23">
        <v>5.1999999999999998E-2</v>
      </c>
      <c r="G428" s="28">
        <f t="shared" si="216"/>
        <v>39.582948888888886</v>
      </c>
      <c r="H428" s="12">
        <v>40.299999999999997</v>
      </c>
      <c r="I428" s="69">
        <f t="shared" si="217"/>
        <v>0.71705111111111108</v>
      </c>
      <c r="J428" s="26">
        <v>4</v>
      </c>
      <c r="K428" s="26">
        <v>6</v>
      </c>
      <c r="L428" s="26">
        <v>8</v>
      </c>
      <c r="N428" s="24">
        <v>45511</v>
      </c>
      <c r="O428" s="16" cm="1">
        <f t="array" ref="O428">_xll.BADDPERIODS(N428, "PER=WD", "NUMBEROFPERIODS=2", "BUSDAYADJ=-2", "CDR=GQ", "CDR=P9")</f>
        <v>45513</v>
      </c>
      <c r="P428" s="15" cm="1">
        <f t="array" ref="P428">_xll.BDH("XAG Curncy","PX_LAST",N428,N428)</f>
        <v>26.609500000000001</v>
      </c>
      <c r="Q428" s="15" t="str" cm="1">
        <f t="array" ref="Q428">_xll.BDP("SIU24 Comdty",$M$32)</f>
        <v>03/09/2024</v>
      </c>
      <c r="R428" s="15">
        <f t="shared" si="200"/>
        <v>25</v>
      </c>
      <c r="S428" s="23">
        <v>5.5800000000000002E-2</v>
      </c>
      <c r="T428" s="21">
        <f t="shared" si="206"/>
        <v>0.10311181250000001</v>
      </c>
      <c r="U428" s="12">
        <v>9.5000000000000001E-2</v>
      </c>
      <c r="V428" s="68">
        <f t="shared" si="207"/>
        <v>-0.81118125000000096</v>
      </c>
      <c r="W428" s="15">
        <v>15</v>
      </c>
      <c r="X428" s="15">
        <v>20</v>
      </c>
      <c r="Y428" s="15">
        <v>25</v>
      </c>
      <c r="Z428" s="18">
        <f t="shared" si="223"/>
        <v>10.311181250000001</v>
      </c>
      <c r="AA428" s="18">
        <f t="shared" si="215"/>
        <v>9.5</v>
      </c>
      <c r="AB428" s="18">
        <f t="shared" si="224"/>
        <v>-0.81118125000000096</v>
      </c>
      <c r="AC428" s="15"/>
      <c r="AD428" s="15"/>
      <c r="AE428" s="44" cm="1">
        <f t="array" ref="AE428">_xll.BDH("COMXGOLD Comdty","PX_Last", N428)</f>
        <v>17729527.234000001</v>
      </c>
      <c r="AF428" s="15" t="s">
        <v>45</v>
      </c>
      <c r="AG428" s="44" cm="1">
        <f t="array" ref="AG428">_xll.BDH(AF428,"FUT_AGGTE_OPEN_INT",A428)</f>
        <v>478618</v>
      </c>
      <c r="AH428" s="44">
        <f t="shared" si="225"/>
        <v>47861800</v>
      </c>
      <c r="AI428" s="48">
        <f t="shared" si="226"/>
        <v>0.37043168526883657</v>
      </c>
      <c r="AK428" s="44" cm="1">
        <f t="array" ref="AK428">_xll.BDH("COMXSILV Comdty","PX_Last", N428)</f>
        <v>303106.5</v>
      </c>
      <c r="AL428" s="15" t="s">
        <v>57</v>
      </c>
      <c r="AM428" s="47" cm="1">
        <f t="array" ref="AM428">_xll.BDH(AL428,"FUT_AGGTE_OPEN_INT",A428)</f>
        <v>147249</v>
      </c>
      <c r="AN428" s="45">
        <f t="shared" si="227"/>
        <v>411.69243933744883</v>
      </c>
      <c r="AO428" s="46">
        <f t="shared" si="228"/>
        <v>30310650000</v>
      </c>
      <c r="AP428" s="46">
        <f t="shared" si="229"/>
        <v>736245</v>
      </c>
    </row>
    <row r="429" spans="1:42" x14ac:dyDescent="0.2">
      <c r="A429" s="24">
        <v>45512</v>
      </c>
      <c r="B429" s="16" cm="1">
        <f t="array" ref="B429">_xll.BADDPERIODS(A429, "PER=WD", "NUMBEROFPERIODS=2", "BUSDAYADJ=-2", "CDR=GQ", "CDR=P9")</f>
        <v>45516</v>
      </c>
      <c r="C429" s="15" cm="1">
        <f t="array" ref="C429">_xll.BDH("XAU Curncy","PX_LAST",A429,A429)</f>
        <v>2427.5300000000002</v>
      </c>
      <c r="D429" s="15" t="str" cm="1">
        <f t="array" ref="D429">_xll.BDP("GCz4 Comdty",$M$32)</f>
        <v>02/12/2024</v>
      </c>
      <c r="E429" s="15">
        <f t="shared" si="230"/>
        <v>112</v>
      </c>
      <c r="F429" s="23">
        <v>5.1999999999999998E-2</v>
      </c>
      <c r="G429" s="28">
        <f t="shared" si="216"/>
        <v>39.272040888888888</v>
      </c>
      <c r="H429" s="12">
        <v>39.700000000000003</v>
      </c>
      <c r="I429" s="69">
        <f t="shared" si="217"/>
        <v>0.42795911111111451</v>
      </c>
      <c r="J429" s="26">
        <v>4</v>
      </c>
      <c r="K429" s="26">
        <v>6</v>
      </c>
      <c r="L429" s="26">
        <v>8</v>
      </c>
      <c r="N429" s="24">
        <v>45512</v>
      </c>
      <c r="O429" s="16" cm="1">
        <f t="array" ref="O429">_xll.BADDPERIODS(N429, "PER=WD", "NUMBEROFPERIODS=2", "BUSDAYADJ=-2", "CDR=GQ", "CDR=P9")</f>
        <v>45516</v>
      </c>
      <c r="P429" s="15" cm="1">
        <f t="array" ref="P429">_xll.BDH("XAG Curncy","PX_LAST",N429,N429)</f>
        <v>27.544</v>
      </c>
      <c r="Q429" s="15" t="str" cm="1">
        <f t="array" ref="Q429">_xll.BDP("SIU24 Comdty",$M$32)</f>
        <v>03/09/2024</v>
      </c>
      <c r="R429" s="15">
        <f t="shared" si="200"/>
        <v>22</v>
      </c>
      <c r="S429" s="23">
        <v>5.57E-2</v>
      </c>
      <c r="T429" s="21">
        <f t="shared" si="206"/>
        <v>9.375671555555555E-2</v>
      </c>
      <c r="U429" s="12">
        <v>9.5000000000000001E-2</v>
      </c>
      <c r="V429" s="68">
        <f t="shared" si="207"/>
        <v>0.12432844444444507</v>
      </c>
      <c r="W429" s="15">
        <v>15</v>
      </c>
      <c r="X429" s="15">
        <v>20</v>
      </c>
      <c r="Y429" s="15">
        <v>25</v>
      </c>
      <c r="Z429" s="18">
        <f t="shared" si="223"/>
        <v>9.3756715555555559</v>
      </c>
      <c r="AA429" s="18">
        <f t="shared" si="215"/>
        <v>9.5</v>
      </c>
      <c r="AB429" s="18">
        <f t="shared" si="224"/>
        <v>0.12432844444444507</v>
      </c>
      <c r="AC429" s="15"/>
      <c r="AD429" s="15"/>
      <c r="AE429" s="44" cm="1">
        <f t="array" ref="AE429">_xll.BDH("COMXGOLD Comdty","PX_Last", N429)</f>
        <v>17729527.234000001</v>
      </c>
      <c r="AF429" s="15" t="s">
        <v>45</v>
      </c>
      <c r="AG429" s="44" cm="1">
        <f t="array" ref="AG429">_xll.BDH(AF429,"FUT_AGGTE_OPEN_INT",A429)</f>
        <v>480120</v>
      </c>
      <c r="AH429" s="44">
        <f t="shared" si="225"/>
        <v>48012000</v>
      </c>
      <c r="AI429" s="48">
        <f t="shared" si="226"/>
        <v>0.36927283250020831</v>
      </c>
      <c r="AK429" s="44" cm="1">
        <f t="array" ref="AK429">_xll.BDH("COMXSILV Comdty","PX_Last", N429)</f>
        <v>303018.19</v>
      </c>
      <c r="AL429" s="15" t="s">
        <v>57</v>
      </c>
      <c r="AM429" s="47" cm="1">
        <f t="array" ref="AM429">_xll.BDH(AL429,"FUT_AGGTE_OPEN_INT",A429)</f>
        <v>146006</v>
      </c>
      <c r="AN429" s="45">
        <f t="shared" si="227"/>
        <v>415.07635302658798</v>
      </c>
      <c r="AO429" s="46">
        <f t="shared" si="228"/>
        <v>30301819000</v>
      </c>
      <c r="AP429" s="46">
        <f t="shared" si="229"/>
        <v>730030</v>
      </c>
    </row>
    <row r="430" spans="1:42" x14ac:dyDescent="0.2">
      <c r="A430" s="24">
        <v>45513</v>
      </c>
      <c r="B430" s="16" cm="1">
        <f t="array" ref="B430">_xll.BADDPERIODS(A430, "PER=WD", "NUMBEROFPERIODS=2", "BUSDAYADJ=-2", "CDR=GQ", "CDR=P9")</f>
        <v>45517</v>
      </c>
      <c r="C430" s="15" cm="1">
        <f t="array" ref="C430">_xll.BDH("XAU Curncy","PX_LAST",A430,A430)</f>
        <v>2431.3200000000002</v>
      </c>
      <c r="D430" s="15" t="str" cm="1">
        <f t="array" ref="D430">_xll.BDP("GCz4 Comdty",$M$32)</f>
        <v>02/12/2024</v>
      </c>
      <c r="E430" s="15">
        <f t="shared" si="230"/>
        <v>111</v>
      </c>
      <c r="F430" s="23">
        <v>5.1999999999999998E-2</v>
      </c>
      <c r="G430" s="28">
        <f t="shared" si="216"/>
        <v>38.982163999999997</v>
      </c>
      <c r="H430" s="12">
        <v>39.6</v>
      </c>
      <c r="I430" s="69">
        <f t="shared" si="217"/>
        <v>0.61783600000000405</v>
      </c>
      <c r="J430" s="26">
        <v>4</v>
      </c>
      <c r="K430" s="26">
        <v>6</v>
      </c>
      <c r="L430" s="26">
        <v>8</v>
      </c>
      <c r="N430" s="24">
        <v>45513</v>
      </c>
      <c r="O430" s="16" cm="1">
        <f t="array" ref="O430">_xll.BADDPERIODS(N430, "PER=WD", "NUMBEROFPERIODS=2", "BUSDAYADJ=-2", "CDR=GQ", "CDR=P9")</f>
        <v>45517</v>
      </c>
      <c r="P430" s="15" cm="1">
        <f t="array" ref="P430">_xll.BDH("XAG Curncy","PX_LAST",N430,N430)</f>
        <v>27.459199999999999</v>
      </c>
      <c r="Q430" s="15" t="str" cm="1">
        <f t="array" ref="Q430">_xll.BDP("SIU24 Comdty",$M$32)</f>
        <v>03/09/2024</v>
      </c>
      <c r="R430" s="15">
        <f t="shared" si="200"/>
        <v>21</v>
      </c>
      <c r="S430" s="23">
        <v>5.57E-2</v>
      </c>
      <c r="T430" s="21">
        <f t="shared" si="206"/>
        <v>8.9219517333333331E-2</v>
      </c>
      <c r="U430" s="12">
        <v>7.4999999999999997E-2</v>
      </c>
      <c r="V430" s="68">
        <f t="shared" si="207"/>
        <v>-1.4219517333333334</v>
      </c>
      <c r="W430" s="15">
        <v>15</v>
      </c>
      <c r="X430" s="15">
        <v>20</v>
      </c>
      <c r="Y430" s="15">
        <v>25</v>
      </c>
      <c r="Z430" s="18">
        <f t="shared" si="223"/>
        <v>8.9219517333333336</v>
      </c>
      <c r="AA430" s="18">
        <f t="shared" si="215"/>
        <v>7.5</v>
      </c>
      <c r="AB430" s="18">
        <f t="shared" si="224"/>
        <v>-1.4219517333333334</v>
      </c>
      <c r="AC430" s="15"/>
      <c r="AD430" s="15"/>
      <c r="AE430" s="44" cm="1">
        <f t="array" ref="AE430">_xll.BDH("COMXGOLD Comdty","PX_Last", N430)</f>
        <v>17724415.225000001</v>
      </c>
      <c r="AF430" s="15" t="s">
        <v>45</v>
      </c>
      <c r="AG430" s="44" cm="1">
        <f t="array" ref="AG430">_xll.BDH(AF430,"FUT_AGGTE_OPEN_INT",A430)</f>
        <v>482596</v>
      </c>
      <c r="AH430" s="44">
        <f t="shared" si="225"/>
        <v>48259600</v>
      </c>
      <c r="AI430" s="48">
        <f t="shared" si="226"/>
        <v>0.36727231939344712</v>
      </c>
      <c r="AK430" s="44" cm="1">
        <f t="array" ref="AK430">_xll.BDH("COMXSILV Comdty","PX_Last", N430)</f>
        <v>302408.28000000003</v>
      </c>
      <c r="AL430" s="15" t="s">
        <v>57</v>
      </c>
      <c r="AM430" s="47" cm="1">
        <f t="array" ref="AM430">_xll.BDH(AL430,"FUT_AGGTE_OPEN_INT",A430)</f>
        <v>146077</v>
      </c>
      <c r="AN430" s="45">
        <f t="shared" si="227"/>
        <v>414.03955448154062</v>
      </c>
      <c r="AO430" s="46">
        <f t="shared" si="228"/>
        <v>30240828000.000004</v>
      </c>
      <c r="AP430" s="46">
        <f t="shared" si="229"/>
        <v>730385</v>
      </c>
    </row>
    <row r="431" spans="1:42" x14ac:dyDescent="0.2">
      <c r="A431" s="24">
        <v>45516</v>
      </c>
      <c r="B431" s="16" cm="1">
        <f t="array" ref="B431">_xll.BADDPERIODS(A431, "PER=WD", "NUMBEROFPERIODS=2", "BUSDAYADJ=-2", "CDR=GQ", "CDR=P9")</f>
        <v>45518</v>
      </c>
      <c r="C431" s="15" cm="1">
        <f t="array" ref="C431">_xll.BDH("XAU Curncy","PX_LAST",A431,A431)</f>
        <v>2472.9</v>
      </c>
      <c r="D431" s="15" t="str" cm="1">
        <f t="array" ref="D431">_xll.BDP("GCz4 Comdty",$M$32)</f>
        <v>02/12/2024</v>
      </c>
      <c r="E431" s="15">
        <f t="shared" si="230"/>
        <v>110</v>
      </c>
      <c r="F431" s="23">
        <v>5.1999999999999998E-2</v>
      </c>
      <c r="G431" s="28">
        <f t="shared" si="216"/>
        <v>39.291633333333337</v>
      </c>
      <c r="H431" s="12">
        <v>39.5</v>
      </c>
      <c r="I431" s="69">
        <f t="shared" si="217"/>
        <v>0.20836666666666304</v>
      </c>
      <c r="J431" s="26">
        <v>4</v>
      </c>
      <c r="K431" s="26">
        <v>6</v>
      </c>
      <c r="L431" s="26">
        <v>8</v>
      </c>
      <c r="N431" s="24">
        <v>45516</v>
      </c>
      <c r="O431" s="16" cm="1">
        <f t="array" ref="O431">_xll.BADDPERIODS(N431, "PER=WD", "NUMBEROFPERIODS=2", "BUSDAYADJ=-2", "CDR=GQ", "CDR=P9")</f>
        <v>45518</v>
      </c>
      <c r="P431" s="15" cm="1">
        <f t="array" ref="P431">_xll.BDH("XAG Curncy","PX_LAST",N431,N431)</f>
        <v>27.978000000000002</v>
      </c>
      <c r="Q431" s="15" t="str" cm="1">
        <f t="array" ref="Q431">_xll.BDP("SIU24 Comdty",$M$32)</f>
        <v>03/09/2024</v>
      </c>
      <c r="R431" s="15">
        <f t="shared" si="200"/>
        <v>20</v>
      </c>
      <c r="S431" s="23">
        <v>5.57E-2</v>
      </c>
      <c r="T431" s="21">
        <f t="shared" si="206"/>
        <v>8.6576366666666668E-2</v>
      </c>
      <c r="U431" s="12">
        <v>0.08</v>
      </c>
      <c r="V431" s="68">
        <f t="shared" si="207"/>
        <v>-0.65763666666666665</v>
      </c>
      <c r="W431" s="15">
        <v>15</v>
      </c>
      <c r="X431" s="15">
        <v>20</v>
      </c>
      <c r="Y431" s="15">
        <v>25</v>
      </c>
      <c r="Z431" s="18">
        <f t="shared" si="223"/>
        <v>8.6576366666666669</v>
      </c>
      <c r="AA431" s="18">
        <f t="shared" si="215"/>
        <v>8</v>
      </c>
      <c r="AB431" s="18">
        <f t="shared" si="224"/>
        <v>-0.65763666666666665</v>
      </c>
      <c r="AC431" s="15"/>
      <c r="AD431" s="15"/>
      <c r="AE431" s="44" cm="1">
        <f t="array" ref="AE431">_xll.BDH("COMXGOLD Comdty","PX_Last", N431)</f>
        <v>17702698.243999999</v>
      </c>
      <c r="AF431" s="15" t="s">
        <v>45</v>
      </c>
      <c r="AG431" s="44" cm="1">
        <f t="array" ref="AG431">_xll.BDH(AF431,"FUT_AGGTE_OPEN_INT",A431)</f>
        <v>495708</v>
      </c>
      <c r="AH431" s="44">
        <f t="shared" si="225"/>
        <v>49570800</v>
      </c>
      <c r="AI431" s="48">
        <f t="shared" si="226"/>
        <v>0.35711947848330061</v>
      </c>
      <c r="AK431" s="44" cm="1">
        <f t="array" ref="AK431">_xll.BDH("COMXSILV Comdty","PX_Last", N431)</f>
        <v>303339.90999999997</v>
      </c>
      <c r="AL431" s="15" t="s">
        <v>57</v>
      </c>
      <c r="AM431" s="47" cm="1">
        <f t="array" ref="AM431">_xll.BDH(AL431,"FUT_AGGTE_OPEN_INT",A431)</f>
        <v>147133</v>
      </c>
      <c r="AN431" s="45">
        <f t="shared" si="227"/>
        <v>412.33429618100627</v>
      </c>
      <c r="AO431" s="46">
        <f t="shared" si="228"/>
        <v>30333990999.999996</v>
      </c>
      <c r="AP431" s="46">
        <f t="shared" si="229"/>
        <v>735665</v>
      </c>
    </row>
    <row r="432" spans="1:42" x14ac:dyDescent="0.2">
      <c r="A432" s="24">
        <v>45517</v>
      </c>
      <c r="B432" s="16" cm="1">
        <f t="array" ref="B432">_xll.BADDPERIODS(A432, "PER=WD", "NUMBEROFPERIODS=2", "BUSDAYADJ=-2", "CDR=GQ", "CDR=P9")</f>
        <v>45519</v>
      </c>
      <c r="C432" s="15" cm="1">
        <f t="array" ref="C432">_xll.BDH("XAU Curncy","PX_LAST",A432,A432)</f>
        <v>2465.16</v>
      </c>
      <c r="D432" s="15" t="str" cm="1">
        <f t="array" ref="D432">_xll.BDP("GCz4 Comdty",$M$32)</f>
        <v>02/12/2024</v>
      </c>
      <c r="E432" s="15">
        <f t="shared" si="230"/>
        <v>109</v>
      </c>
      <c r="F432" s="23">
        <v>5.1999999999999998E-2</v>
      </c>
      <c r="G432" s="28">
        <f t="shared" si="216"/>
        <v>38.812574666666656</v>
      </c>
      <c r="H432" s="12">
        <v>39.75</v>
      </c>
      <c r="I432" s="69">
        <f t="shared" si="217"/>
        <v>0.93742533333334421</v>
      </c>
      <c r="J432" s="26">
        <v>4</v>
      </c>
      <c r="K432" s="26">
        <v>6</v>
      </c>
      <c r="L432" s="26">
        <v>8</v>
      </c>
      <c r="N432" s="24">
        <v>45517</v>
      </c>
      <c r="O432" s="16" cm="1">
        <f t="array" ref="O432">_xll.BADDPERIODS(N432, "PER=WD", "NUMBEROFPERIODS=2", "BUSDAYADJ=-2", "CDR=GQ", "CDR=P9")</f>
        <v>45519</v>
      </c>
      <c r="P432" s="15" cm="1">
        <f t="array" ref="P432">_xll.BDH("XAG Curncy","PX_LAST",N432,N432)</f>
        <v>27.852799999999998</v>
      </c>
      <c r="Q432" s="15" t="str" cm="1">
        <f t="array" ref="Q432">_xll.BDP("SIU24 Comdty",$M$32)</f>
        <v>03/09/2024</v>
      </c>
      <c r="R432" s="15">
        <f t="shared" si="200"/>
        <v>19</v>
      </c>
      <c r="S432" s="23">
        <v>5.5500000000000001E-2</v>
      </c>
      <c r="T432" s="21">
        <f t="shared" si="206"/>
        <v>8.1585493333333328E-2</v>
      </c>
      <c r="U432" s="12">
        <v>7.0000000000000007E-2</v>
      </c>
      <c r="V432" s="68">
        <f t="shared" si="207"/>
        <v>-1.1585493333333321</v>
      </c>
      <c r="W432" s="15">
        <v>15</v>
      </c>
      <c r="X432" s="15">
        <v>20</v>
      </c>
      <c r="Y432" s="15">
        <v>25</v>
      </c>
      <c r="Z432" s="18">
        <f t="shared" si="223"/>
        <v>8.1585493333333332</v>
      </c>
      <c r="AA432" s="18">
        <f t="shared" si="215"/>
        <v>7.0000000000000009</v>
      </c>
      <c r="AB432" s="18">
        <f t="shared" si="224"/>
        <v>-1.1585493333333321</v>
      </c>
      <c r="AC432" s="15"/>
      <c r="AD432" s="15"/>
      <c r="AE432" s="44" cm="1">
        <f t="array" ref="AE432">_xll.BDH("COMXGOLD Comdty","PX_Last", N432)</f>
        <v>17602869.388999999</v>
      </c>
      <c r="AF432" s="15" t="s">
        <v>45</v>
      </c>
      <c r="AG432" s="44" cm="1">
        <f t="array" ref="AG432">_xll.BDH(AF432,"FUT_AGGTE_OPEN_INT",A432)</f>
        <v>505872</v>
      </c>
      <c r="AH432" s="44">
        <f t="shared" si="225"/>
        <v>50587200</v>
      </c>
      <c r="AI432" s="48">
        <f t="shared" si="226"/>
        <v>0.34797081848768063</v>
      </c>
      <c r="AK432" s="44" cm="1">
        <f t="array" ref="AK432">_xll.BDH("COMXSILV Comdty","PX_Last", N432)</f>
        <v>303374.13</v>
      </c>
      <c r="AL432" s="15" t="s">
        <v>57</v>
      </c>
      <c r="AM432" s="47" cm="1">
        <f t="array" ref="AM432">_xll.BDH(AL432,"FUT_AGGTE_OPEN_INT",A432)</f>
        <v>147859</v>
      </c>
      <c r="AN432" s="45">
        <f t="shared" si="227"/>
        <v>410.35598779918706</v>
      </c>
      <c r="AO432" s="46">
        <f t="shared" si="228"/>
        <v>30337413000</v>
      </c>
      <c r="AP432" s="46">
        <f t="shared" si="229"/>
        <v>739295</v>
      </c>
    </row>
    <row r="433" spans="1:42" x14ac:dyDescent="0.2">
      <c r="A433" s="24">
        <v>45518</v>
      </c>
      <c r="B433" s="16" cm="1">
        <f t="array" ref="B433">_xll.BADDPERIODS(A433, "PER=WD", "NUMBEROFPERIODS=2", "BUSDAYADJ=-2", "CDR=GQ", "CDR=P9")</f>
        <v>45520</v>
      </c>
      <c r="C433" s="15" cm="1">
        <f t="array" ref="C433">_xll.BDH("XAU Curncy","PX_LAST",A433,A433)</f>
        <v>2447.85</v>
      </c>
      <c r="D433" s="15" t="str" cm="1">
        <f t="array" ref="D433">_xll.BDP("GCz4 Comdty",$M$32)</f>
        <v>02/12/2024</v>
      </c>
      <c r="E433" s="15">
        <f t="shared" si="230"/>
        <v>108</v>
      </c>
      <c r="F433" s="23">
        <v>5.2299999999999999E-2</v>
      </c>
      <c r="G433" s="28">
        <f t="shared" si="216"/>
        <v>38.406766499999996</v>
      </c>
      <c r="H433" s="12">
        <v>38.9</v>
      </c>
      <c r="I433" s="69">
        <f t="shared" si="217"/>
        <v>0.49323350000000232</v>
      </c>
      <c r="J433" s="26">
        <v>4</v>
      </c>
      <c r="K433" s="26">
        <v>6</v>
      </c>
      <c r="L433" s="26">
        <v>8</v>
      </c>
      <c r="N433" s="24">
        <v>45518</v>
      </c>
      <c r="O433" s="16" cm="1">
        <f t="array" ref="O433">_xll.BADDPERIODS(N433, "PER=WD", "NUMBEROFPERIODS=2", "BUSDAYADJ=-2", "CDR=GQ", "CDR=P9")</f>
        <v>45520</v>
      </c>
      <c r="P433" s="15" cm="1">
        <f t="array" ref="P433">_xll.BDH("XAG Curncy","PX_LAST",N433,N433)</f>
        <v>27.568899999999999</v>
      </c>
      <c r="Q433" s="15" t="str" cm="1">
        <f t="array" ref="Q433">_xll.BDP("SIU24 Comdty",$M$32)</f>
        <v>03/09/2024</v>
      </c>
      <c r="R433" s="15">
        <f t="shared" si="200"/>
        <v>18</v>
      </c>
      <c r="S433" s="23">
        <v>5.5500000000000001E-2</v>
      </c>
      <c r="T433" s="21">
        <f t="shared" si="206"/>
        <v>7.6503697500000009E-2</v>
      </c>
      <c r="U433" s="12">
        <v>6.5000000000000002E-2</v>
      </c>
      <c r="V433" s="68">
        <f t="shared" si="207"/>
        <v>-1.1503697500000007</v>
      </c>
      <c r="W433" s="15">
        <v>15</v>
      </c>
      <c r="X433" s="15">
        <v>20</v>
      </c>
      <c r="Y433" s="15">
        <v>25</v>
      </c>
      <c r="Z433" s="18">
        <f t="shared" si="223"/>
        <v>7.6503697500000012</v>
      </c>
      <c r="AA433" s="18">
        <f t="shared" si="215"/>
        <v>6.5</v>
      </c>
      <c r="AB433" s="18">
        <f t="shared" si="224"/>
        <v>-1.1503697500000007</v>
      </c>
      <c r="AC433" s="15"/>
      <c r="AD433" s="15"/>
      <c r="AE433" s="44" cm="1">
        <f t="array" ref="AE433">_xll.BDH("COMXGOLD Comdty","PX_Last", N433)</f>
        <v>17602869.388999999</v>
      </c>
      <c r="AF433" s="15" t="s">
        <v>45</v>
      </c>
      <c r="AG433" s="44" cm="1">
        <f t="array" ref="AG433">_xll.BDH(AF433,"FUT_AGGTE_OPEN_INT",A433)</f>
        <v>501667</v>
      </c>
      <c r="AH433" s="44">
        <f t="shared" si="225"/>
        <v>50166700</v>
      </c>
      <c r="AI433" s="48">
        <f t="shared" si="226"/>
        <v>0.35088752875911705</v>
      </c>
      <c r="AK433" s="44" cm="1">
        <f t="array" ref="AK433">_xll.BDH("COMXSILV Comdty","PX_Last", N433)</f>
        <v>304307.13</v>
      </c>
      <c r="AL433" s="15" t="s">
        <v>57</v>
      </c>
      <c r="AM433" s="47" cm="1">
        <f t="array" ref="AM433">_xll.BDH(AL433,"FUT_AGGTE_OPEN_INT",A433)</f>
        <v>147184</v>
      </c>
      <c r="AN433" s="45">
        <f t="shared" si="227"/>
        <v>413.50572073051421</v>
      </c>
      <c r="AO433" s="46">
        <f t="shared" si="228"/>
        <v>30430713000</v>
      </c>
      <c r="AP433" s="46">
        <f t="shared" si="229"/>
        <v>735920</v>
      </c>
    </row>
    <row r="434" spans="1:42" x14ac:dyDescent="0.2">
      <c r="A434" s="24">
        <v>45519</v>
      </c>
      <c r="B434" s="16" cm="1">
        <f t="array" ref="B434">_xll.BADDPERIODS(A434, "PER=WD", "NUMBEROFPERIODS=2", "BUSDAYADJ=-2", "CDR=GQ", "CDR=P9")</f>
        <v>45523</v>
      </c>
      <c r="C434" s="15" cm="1">
        <f t="array" ref="C434">_xll.BDH("XAU Curncy","PX_LAST",A434,A434)</f>
        <v>2456.79</v>
      </c>
      <c r="D434" s="15" t="str" cm="1">
        <f t="array" ref="D434">_xll.BDP("GCz4 Comdty",$M$32)</f>
        <v>02/12/2024</v>
      </c>
      <c r="E434" s="15">
        <f t="shared" si="230"/>
        <v>105</v>
      </c>
      <c r="F434" s="23">
        <v>5.2499999999999998E-2</v>
      </c>
      <c r="G434" s="28">
        <f t="shared" si="216"/>
        <v>37.619596874999999</v>
      </c>
      <c r="H434" s="12">
        <v>37.700000000000003</v>
      </c>
      <c r="I434" s="69">
        <f t="shared" si="217"/>
        <v>8.0403125000003683E-2</v>
      </c>
      <c r="J434" s="26">
        <v>4</v>
      </c>
      <c r="K434" s="26">
        <v>6</v>
      </c>
      <c r="L434" s="26">
        <v>8</v>
      </c>
      <c r="N434" s="24">
        <v>45519</v>
      </c>
      <c r="O434" s="16" cm="1">
        <f t="array" ref="O434">_xll.BADDPERIODS(N434, "PER=WD", "NUMBEROFPERIODS=2", "BUSDAYADJ=-2", "CDR=GQ", "CDR=P9")</f>
        <v>45523</v>
      </c>
      <c r="P434" s="15" cm="1">
        <f t="array" ref="P434">_xll.BDH("XAG Curncy","PX_LAST",N434,N434)</f>
        <v>28.354600000000001</v>
      </c>
      <c r="Q434" s="15" t="str" cm="1">
        <f t="array" ref="Q434">_xll.BDP("SIU24 Comdty",$M$32)</f>
        <v>03/09/2024</v>
      </c>
      <c r="R434" s="15">
        <f t="shared" si="200"/>
        <v>15</v>
      </c>
      <c r="S434" s="23">
        <v>5.5500000000000001E-2</v>
      </c>
      <c r="T434" s="21">
        <f t="shared" si="206"/>
        <v>6.5570012500000011E-2</v>
      </c>
      <c r="U434" s="12">
        <v>6.5000000000000002E-2</v>
      </c>
      <c r="V434" s="68">
        <f t="shared" si="207"/>
        <v>-5.7001250000000836E-2</v>
      </c>
      <c r="W434" s="15">
        <v>15</v>
      </c>
      <c r="X434" s="15">
        <v>20</v>
      </c>
      <c r="Y434" s="15">
        <v>25</v>
      </c>
      <c r="Z434" s="18">
        <f t="shared" si="223"/>
        <v>6.5570012500000008</v>
      </c>
      <c r="AA434" s="18">
        <f t="shared" si="215"/>
        <v>6.5</v>
      </c>
      <c r="AB434" s="18">
        <f t="shared" si="224"/>
        <v>-5.7001250000000836E-2</v>
      </c>
      <c r="AC434" s="15"/>
      <c r="AD434" s="15"/>
      <c r="AE434" s="44" cm="1">
        <f t="array" ref="AE434">_xll.BDH("COMXGOLD Comdty","PX_Last", N434)</f>
        <v>17525546.254000001</v>
      </c>
      <c r="AF434" s="15" t="s">
        <v>45</v>
      </c>
      <c r="AG434" s="44" cm="1">
        <f t="array" ref="AG434">_xll.BDH(AF434,"FUT_AGGTE_OPEN_INT",A434)</f>
        <v>501846</v>
      </c>
      <c r="AH434" s="44">
        <f t="shared" si="225"/>
        <v>50184600</v>
      </c>
      <c r="AI434" s="48">
        <f t="shared" si="226"/>
        <v>0.34922159893672561</v>
      </c>
      <c r="AK434" s="44" cm="1">
        <f t="array" ref="AK434">_xll.BDH("COMXSILV Comdty","PX_Last", N434)</f>
        <v>305147.5</v>
      </c>
      <c r="AL434" s="15" t="s">
        <v>57</v>
      </c>
      <c r="AM434" s="47" cm="1">
        <f t="array" ref="AM434">_xll.BDH(AL434,"FUT_AGGTE_OPEN_INT",A434)</f>
        <v>147839</v>
      </c>
      <c r="AN434" s="45">
        <f t="shared" si="227"/>
        <v>412.81055743071852</v>
      </c>
      <c r="AO434" s="46">
        <f t="shared" si="228"/>
        <v>30514750000</v>
      </c>
      <c r="AP434" s="46">
        <f t="shared" si="229"/>
        <v>739195</v>
      </c>
    </row>
    <row r="435" spans="1:42" x14ac:dyDescent="0.2">
      <c r="A435" s="24">
        <v>45520</v>
      </c>
      <c r="B435" s="16" cm="1">
        <f t="array" ref="B435">_xll.BADDPERIODS(A435, "PER=WD", "NUMBEROFPERIODS=2", "BUSDAYADJ=-2", "CDR=GQ", "CDR=P9")</f>
        <v>45524</v>
      </c>
      <c r="C435" s="15" cm="1">
        <f t="array" ref="C435">_xll.BDH("XAU Curncy","PX_LAST",A435,A435)</f>
        <v>2508.0100000000002</v>
      </c>
      <c r="D435" s="15" t="str" cm="1">
        <f t="array" ref="D435">_xll.BDP("GCz4 Comdty",$M$32)</f>
        <v>02/12/2024</v>
      </c>
      <c r="E435" s="15">
        <f t="shared" si="230"/>
        <v>104</v>
      </c>
      <c r="F435" s="23">
        <v>5.2499999999999998E-2</v>
      </c>
      <c r="G435" s="28">
        <f t="shared" si="216"/>
        <v>38.038151666666664</v>
      </c>
      <c r="H435" s="12">
        <v>39</v>
      </c>
      <c r="I435" s="69">
        <f t="shared" si="217"/>
        <v>0.96184833333333586</v>
      </c>
      <c r="J435" s="26">
        <v>4</v>
      </c>
      <c r="K435" s="26">
        <v>6</v>
      </c>
      <c r="L435" s="26">
        <v>8</v>
      </c>
      <c r="N435" s="24">
        <v>45520</v>
      </c>
      <c r="O435" s="16" cm="1">
        <f t="array" ref="O435">_xll.BADDPERIODS(N435, "PER=WD", "NUMBEROFPERIODS=2", "BUSDAYADJ=-2", "CDR=GQ", "CDR=P9")</f>
        <v>45524</v>
      </c>
      <c r="P435" s="15" cm="1">
        <f t="array" ref="P435">_xll.BDH("XAG Curncy","PX_LAST",N435,N435)</f>
        <v>28.979299999999999</v>
      </c>
      <c r="Q435" s="15" t="str" cm="1">
        <f t="array" ref="Q435">_xll.BDP("SIU24 Comdty",$M$32)</f>
        <v>03/09/2024</v>
      </c>
      <c r="R435" s="15">
        <f t="shared" si="200"/>
        <v>14</v>
      </c>
      <c r="S435" s="23">
        <v>5.6000000000000001E-2</v>
      </c>
      <c r="T435" s="21">
        <f t="shared" si="206"/>
        <v>6.3110475555555559E-2</v>
      </c>
      <c r="U435" s="12">
        <v>5.5E-2</v>
      </c>
      <c r="V435" s="68">
        <f t="shared" si="207"/>
        <v>-0.81104755555555585</v>
      </c>
      <c r="W435" s="15">
        <v>15</v>
      </c>
      <c r="X435" s="15">
        <v>20</v>
      </c>
      <c r="Y435" s="15">
        <v>25</v>
      </c>
      <c r="Z435" s="18">
        <f t="shared" si="223"/>
        <v>6.3110475555555556</v>
      </c>
      <c r="AA435" s="18">
        <f t="shared" si="215"/>
        <v>5.5</v>
      </c>
      <c r="AB435" s="18">
        <f t="shared" si="224"/>
        <v>-0.81104755555555585</v>
      </c>
      <c r="AC435" s="15"/>
      <c r="AD435" s="15"/>
      <c r="AE435" s="44" cm="1">
        <f t="array" ref="AE435">_xll.BDH("COMXGOLD Comdty","PX_Last", N435)</f>
        <v>17493781.059</v>
      </c>
      <c r="AF435" s="15" t="s">
        <v>45</v>
      </c>
      <c r="AG435" s="44" cm="1">
        <f t="array" ref="AG435">_xll.BDH(AF435,"FUT_AGGTE_OPEN_INT",A435)</f>
        <v>525957</v>
      </c>
      <c r="AH435" s="44">
        <f t="shared" si="225"/>
        <v>52595700</v>
      </c>
      <c r="AI435" s="48">
        <f t="shared" si="226"/>
        <v>0.33260857938956989</v>
      </c>
      <c r="AK435" s="44" cm="1">
        <f t="array" ref="AK435">_xll.BDH("COMXSILV Comdty","PX_Last", N435)</f>
        <v>307919.71999999997</v>
      </c>
      <c r="AL435" s="15" t="s">
        <v>57</v>
      </c>
      <c r="AM435" s="47" cm="1">
        <f t="array" ref="AM435">_xll.BDH(AL435,"FUT_AGGTE_OPEN_INT",A435)</f>
        <v>148236</v>
      </c>
      <c r="AN435" s="45">
        <f t="shared" si="227"/>
        <v>415.44526295906525</v>
      </c>
      <c r="AO435" s="46">
        <f t="shared" si="228"/>
        <v>30791971999.999996</v>
      </c>
      <c r="AP435" s="46">
        <f t="shared" si="229"/>
        <v>741180</v>
      </c>
    </row>
    <row r="436" spans="1:42" x14ac:dyDescent="0.2">
      <c r="A436" s="24">
        <v>45523</v>
      </c>
      <c r="B436" s="16" cm="1">
        <f t="array" ref="B436">_xll.BADDPERIODS(A436, "PER=WD", "NUMBEROFPERIODS=2", "BUSDAYADJ=-2", "CDR=GQ", "CDR=P9")</f>
        <v>45525</v>
      </c>
      <c r="C436" s="15" cm="1">
        <f t="array" ref="C436">_xll.BDH("XAU Curncy","PX_LAST",A436,A436)</f>
        <v>2504.2800000000002</v>
      </c>
      <c r="D436" s="15" t="str" cm="1">
        <f t="array" ref="D436">_xll.BDP("GCz4 Comdty",$M$32)</f>
        <v>02/12/2024</v>
      </c>
      <c r="E436" s="15">
        <f t="shared" si="230"/>
        <v>103</v>
      </c>
      <c r="F436" s="23">
        <v>5.2999999999999999E-2</v>
      </c>
      <c r="G436" s="28">
        <f t="shared" si="216"/>
        <v>37.974623666666666</v>
      </c>
      <c r="H436" s="12">
        <v>38.6</v>
      </c>
      <c r="I436" s="69">
        <f t="shared" si="217"/>
        <v>0.62537633333333531</v>
      </c>
      <c r="J436" s="26">
        <v>4</v>
      </c>
      <c r="K436" s="26">
        <v>6</v>
      </c>
      <c r="L436" s="26">
        <v>8</v>
      </c>
      <c r="N436" s="24">
        <v>45523</v>
      </c>
      <c r="O436" s="16" cm="1">
        <f t="array" ref="O436">_xll.BADDPERIODS(N436, "PER=WD", "NUMBEROFPERIODS=2", "BUSDAYADJ=-2", "CDR=GQ", "CDR=P9")</f>
        <v>45525</v>
      </c>
      <c r="P436" s="15" cm="1">
        <f t="array" ref="P436">_xll.BDH("XAG Curncy","PX_LAST",N436,N436)</f>
        <v>29.449400000000001</v>
      </c>
      <c r="Q436" s="15" t="str" cm="1">
        <f t="array" ref="Q436">_xll.BDP("SIU24 Comdty",$M$32)</f>
        <v>03/09/2024</v>
      </c>
      <c r="R436" s="15">
        <f t="shared" si="200"/>
        <v>13</v>
      </c>
      <c r="S436" s="23">
        <v>5.6000000000000001E-2</v>
      </c>
      <c r="T436" s="21">
        <f t="shared" si="206"/>
        <v>5.9553231111111112E-2</v>
      </c>
      <c r="U436" s="12">
        <v>6.5000000000000002E-2</v>
      </c>
      <c r="V436" s="68">
        <f t="shared" si="207"/>
        <v>0.5446768888888891</v>
      </c>
      <c r="W436" s="15">
        <v>15</v>
      </c>
      <c r="X436" s="15">
        <v>20</v>
      </c>
      <c r="Y436" s="15">
        <v>25</v>
      </c>
      <c r="Z436" s="18">
        <f t="shared" si="223"/>
        <v>5.9553231111111113</v>
      </c>
      <c r="AA436" s="18">
        <f t="shared" si="215"/>
        <v>6.5</v>
      </c>
      <c r="AB436" s="18">
        <f t="shared" si="224"/>
        <v>0.5446768888888891</v>
      </c>
      <c r="AC436" s="15"/>
      <c r="AD436" s="15"/>
      <c r="AE436" s="44" cm="1">
        <f t="array" ref="AE436">_xll.BDH("COMXGOLD Comdty","PX_Last", N436)</f>
        <v>17493781.059</v>
      </c>
      <c r="AF436" s="15" t="s">
        <v>45</v>
      </c>
      <c r="AG436" s="44" cm="1">
        <f t="array" ref="AG436">_xll.BDH(AF436,"FUT_AGGTE_OPEN_INT",A436)</f>
        <v>526963</v>
      </c>
      <c r="AH436" s="44">
        <f t="shared" si="225"/>
        <v>52696300</v>
      </c>
      <c r="AI436" s="48">
        <f t="shared" si="226"/>
        <v>0.3319736121701144</v>
      </c>
      <c r="AK436" s="44" cm="1">
        <f t="array" ref="AK436">_xll.BDH("COMXSILV Comdty","PX_Last", N436)</f>
        <v>307813.34000000003</v>
      </c>
      <c r="AL436" s="15" t="s">
        <v>57</v>
      </c>
      <c r="AM436" s="47" cm="1">
        <f t="array" ref="AM436">_xll.BDH(AL436,"FUT_AGGTE_OPEN_INT",A436)</f>
        <v>148658</v>
      </c>
      <c r="AN436" s="45">
        <f t="shared" si="227"/>
        <v>414.12280536533524</v>
      </c>
      <c r="AO436" s="46">
        <f t="shared" si="228"/>
        <v>30781334000.000004</v>
      </c>
      <c r="AP436" s="46">
        <f t="shared" si="229"/>
        <v>743290</v>
      </c>
    </row>
    <row r="437" spans="1:42" x14ac:dyDescent="0.2">
      <c r="A437" s="24">
        <v>45524</v>
      </c>
      <c r="B437" s="16" cm="1">
        <f t="array" ref="B437">_xll.BADDPERIODS(A437, "PER=WD", "NUMBEROFPERIODS=2", "BUSDAYADJ=-2", "CDR=GQ", "CDR=P9")</f>
        <v>45526</v>
      </c>
      <c r="C437" s="15" cm="1">
        <f t="array" ref="C437">_xll.BDH("XAU Curncy","PX_LAST",A437,A437)</f>
        <v>2513.9899999999998</v>
      </c>
      <c r="D437" s="15" t="str" cm="1">
        <f t="array" ref="D437">_xll.BDP("GCz4 Comdty",$M$32)</f>
        <v>02/12/2024</v>
      </c>
      <c r="E437" s="15">
        <f t="shared" si="230"/>
        <v>102</v>
      </c>
      <c r="F437" s="23">
        <v>5.3499999999999999E-2</v>
      </c>
      <c r="G437" s="28">
        <f t="shared" si="216"/>
        <v>38.107898416666664</v>
      </c>
      <c r="H437" s="12">
        <v>38.5</v>
      </c>
      <c r="I437" s="69">
        <f t="shared" si="217"/>
        <v>0.39210158333333567</v>
      </c>
      <c r="J437" s="26">
        <v>4</v>
      </c>
      <c r="K437" s="26">
        <v>6</v>
      </c>
      <c r="L437" s="26">
        <v>8</v>
      </c>
      <c r="N437" s="24">
        <v>45524</v>
      </c>
      <c r="O437" s="16" cm="1">
        <f t="array" ref="O437">_xll.BADDPERIODS(N437, "PER=WD", "NUMBEROFPERIODS=2", "BUSDAYADJ=-2", "CDR=GQ", "CDR=P9")</f>
        <v>45526</v>
      </c>
      <c r="P437" s="15" cm="1">
        <f t="array" ref="P437">_xll.BDH("XAG Curncy","PX_LAST",N437,N437)</f>
        <v>29.437999999999999</v>
      </c>
      <c r="Q437" s="15" t="str" cm="1">
        <f t="array" ref="Q437">_xll.BDP("SIU24 Comdty",$M$32)</f>
        <v>03/09/2024</v>
      </c>
      <c r="R437" s="15">
        <f t="shared" si="200"/>
        <v>12</v>
      </c>
      <c r="S437" s="23">
        <v>5.6000000000000001E-2</v>
      </c>
      <c r="T437" s="21">
        <f t="shared" si="206"/>
        <v>5.4950933333333334E-2</v>
      </c>
      <c r="U437" s="12">
        <v>0.05</v>
      </c>
      <c r="V437" s="68">
        <f t="shared" si="207"/>
        <v>-0.49509333333333305</v>
      </c>
      <c r="W437" s="15">
        <v>15</v>
      </c>
      <c r="X437" s="15">
        <v>20</v>
      </c>
      <c r="Y437" s="15">
        <v>25</v>
      </c>
      <c r="Z437" s="18">
        <f t="shared" si="223"/>
        <v>5.4950933333333332</v>
      </c>
      <c r="AA437" s="18">
        <f t="shared" si="215"/>
        <v>5</v>
      </c>
      <c r="AB437" s="18">
        <f t="shared" si="224"/>
        <v>-0.49509333333333305</v>
      </c>
      <c r="AC437" s="15"/>
      <c r="AD437" s="15"/>
      <c r="AE437" s="44" cm="1">
        <f t="array" ref="AE437">_xll.BDH("COMXGOLD Comdty","PX_Last", N437)</f>
        <v>17378728.293000001</v>
      </c>
      <c r="AF437" s="15" t="s">
        <v>45</v>
      </c>
      <c r="AG437" s="44" cm="1">
        <f t="array" ref="AG437">_xll.BDH(AF437,"FUT_AGGTE_OPEN_INT",A437)</f>
        <v>532867</v>
      </c>
      <c r="AH437" s="44">
        <f t="shared" si="225"/>
        <v>53286700</v>
      </c>
      <c r="AI437" s="48">
        <f t="shared" si="226"/>
        <v>0.32613632093937139</v>
      </c>
      <c r="AK437" s="44" cm="1">
        <f t="array" ref="AK437">_xll.BDH("COMXSILV Comdty","PX_Last", N437)</f>
        <v>306738.69</v>
      </c>
      <c r="AL437" s="15" t="s">
        <v>57</v>
      </c>
      <c r="AM437" s="47" cm="1">
        <f t="array" ref="AM437">_xll.BDH(AL437,"FUT_AGGTE_OPEN_INT",A437)</f>
        <v>146986</v>
      </c>
      <c r="AN437" s="45">
        <f t="shared" si="227"/>
        <v>417.37130066809084</v>
      </c>
      <c r="AO437" s="46">
        <f t="shared" si="228"/>
        <v>30673869000</v>
      </c>
      <c r="AP437" s="46">
        <f t="shared" si="229"/>
        <v>734930</v>
      </c>
    </row>
    <row r="438" spans="1:42" x14ac:dyDescent="0.2">
      <c r="A438" s="24">
        <v>45525</v>
      </c>
      <c r="B438" s="16" cm="1">
        <f t="array" ref="B438">_xll.BADDPERIODS(A438, "PER=WD", "NUMBEROFPERIODS=2", "BUSDAYADJ=-2", "CDR=GQ", "CDR=P9")</f>
        <v>45527</v>
      </c>
      <c r="C438" s="15" cm="1">
        <f t="array" ref="C438">_xll.BDH("XAU Curncy","PX_LAST",A438,A438)</f>
        <v>2512.56</v>
      </c>
      <c r="D438" s="15" t="str" cm="1">
        <f t="array" ref="D438">_xll.BDP("GCz4 Comdty",$M$32)</f>
        <v>02/12/2024</v>
      </c>
      <c r="E438" s="15">
        <f t="shared" si="230"/>
        <v>101</v>
      </c>
      <c r="F438" s="23">
        <v>5.3499999999999999E-2</v>
      </c>
      <c r="G438" s="28">
        <f t="shared" si="216"/>
        <v>37.712827666666662</v>
      </c>
      <c r="H438" s="12">
        <v>38.1</v>
      </c>
      <c r="I438" s="69">
        <f t="shared" si="217"/>
        <v>0.38717233333333922</v>
      </c>
      <c r="J438" s="26">
        <v>4</v>
      </c>
      <c r="K438" s="26">
        <v>6</v>
      </c>
      <c r="L438" s="26">
        <v>8</v>
      </c>
      <c r="N438" s="24">
        <v>45525</v>
      </c>
      <c r="O438" s="16" cm="1">
        <f t="array" ref="O438">_xll.BADDPERIODS(N438, "PER=WD", "NUMBEROFPERIODS=2", "BUSDAYADJ=-2", "CDR=GQ", "CDR=P9")</f>
        <v>45527</v>
      </c>
      <c r="P438" s="15" cm="1">
        <f t="array" ref="P438">_xll.BDH("XAG Curncy","PX_LAST",N438,N438)</f>
        <v>29.6</v>
      </c>
      <c r="Q438" s="15" t="str" cm="1">
        <f t="array" ref="Q438">_xll.BDP("SIU24 Comdty",$M$32)</f>
        <v>03/09/2024</v>
      </c>
      <c r="R438" s="15">
        <f t="shared" si="200"/>
        <v>11</v>
      </c>
      <c r="S438" s="23">
        <v>5.6000000000000001E-2</v>
      </c>
      <c r="T438" s="21">
        <f t="shared" si="206"/>
        <v>5.0648888888888896E-2</v>
      </c>
      <c r="U438" s="12">
        <v>4.4999999999999998E-2</v>
      </c>
      <c r="V438" s="68">
        <f t="shared" si="207"/>
        <v>-0.56488888888888977</v>
      </c>
      <c r="W438" s="15">
        <v>15</v>
      </c>
      <c r="X438" s="15">
        <v>20</v>
      </c>
      <c r="Y438" s="15">
        <v>25</v>
      </c>
      <c r="Z438" s="18">
        <f t="shared" si="223"/>
        <v>5.0648888888888894</v>
      </c>
      <c r="AA438" s="18">
        <f t="shared" si="215"/>
        <v>4.5</v>
      </c>
      <c r="AB438" s="18">
        <f t="shared" si="224"/>
        <v>-0.56488888888888977</v>
      </c>
      <c r="AC438" s="15"/>
      <c r="AD438" s="15"/>
      <c r="AE438" s="44" cm="1">
        <f t="array" ref="AE438">_xll.BDH("COMXGOLD Comdty","PX_Last", N438)</f>
        <v>17308890.791000001</v>
      </c>
      <c r="AF438" s="15" t="s">
        <v>45</v>
      </c>
      <c r="AG438" s="44" cm="1">
        <f t="array" ref="AG438">_xll.BDH(AF438,"FUT_AGGTE_OPEN_INT",A438)</f>
        <v>531699</v>
      </c>
      <c r="AH438" s="44">
        <f t="shared" si="225"/>
        <v>53169900</v>
      </c>
      <c r="AI438" s="48">
        <f t="shared" si="226"/>
        <v>0.32553927675244831</v>
      </c>
      <c r="AK438" s="44" cm="1">
        <f t="array" ref="AK438">_xll.BDH("COMXSILV Comdty","PX_Last", N438)</f>
        <v>306508.53000000003</v>
      </c>
      <c r="AL438" s="15" t="s">
        <v>57</v>
      </c>
      <c r="AM438" s="47" cm="1">
        <f t="array" ref="AM438">_xll.BDH(AL438,"FUT_AGGTE_OPEN_INT",A438)</f>
        <v>146642</v>
      </c>
      <c r="AN438" s="45">
        <f t="shared" si="227"/>
        <v>418.0364834085733</v>
      </c>
      <c r="AO438" s="46">
        <f t="shared" si="228"/>
        <v>30650853000.000004</v>
      </c>
      <c r="AP438" s="46">
        <f t="shared" si="229"/>
        <v>733210</v>
      </c>
    </row>
    <row r="439" spans="1:42" x14ac:dyDescent="0.2">
      <c r="A439" s="24">
        <v>45526</v>
      </c>
      <c r="B439" s="16" cm="1">
        <f t="array" ref="B439">_xll.BADDPERIODS(A439, "PER=WD", "NUMBEROFPERIODS=2", "BUSDAYADJ=-2", "CDR=GQ", "CDR=P9")</f>
        <v>45531</v>
      </c>
      <c r="C439" s="15" cm="1">
        <f t="array" ref="C439">_xll.BDH("XAU Curncy","PX_LAST",A439,A439)</f>
        <v>2484.75</v>
      </c>
      <c r="D439" s="15" t="str" cm="1">
        <f t="array" ref="D439">_xll.BDP("GCz4 Comdty",$M$32)</f>
        <v>02/12/2024</v>
      </c>
      <c r="E439" s="15">
        <f t="shared" si="230"/>
        <v>97</v>
      </c>
      <c r="F439" s="23">
        <v>5.3499999999999999E-2</v>
      </c>
      <c r="G439" s="28">
        <f t="shared" si="216"/>
        <v>35.818361458333328</v>
      </c>
      <c r="H439" s="12">
        <v>35.9</v>
      </c>
      <c r="I439" s="69">
        <f t="shared" si="217"/>
        <v>8.1638541666670505E-2</v>
      </c>
      <c r="J439" s="26">
        <v>4</v>
      </c>
      <c r="K439" s="26">
        <v>6</v>
      </c>
      <c r="L439" s="26">
        <v>8</v>
      </c>
      <c r="N439" s="24">
        <v>45526</v>
      </c>
      <c r="O439" s="16" cm="1">
        <f t="array" ref="O439">_xll.BADDPERIODS(N439, "PER=WD", "NUMBEROFPERIODS=2", "BUSDAYADJ=-2", "CDR=GQ", "CDR=P9")</f>
        <v>45531</v>
      </c>
      <c r="P439" s="15" cm="1">
        <f t="array" ref="P439">_xll.BDH("XAG Curncy","PX_LAST",N439,N439)</f>
        <v>28.985499999999998</v>
      </c>
      <c r="Q439" s="15" t="str" cm="1">
        <f t="array" ref="Q439">_xll.BDP("SIU24 Comdty",$M$32)</f>
        <v>03/09/2024</v>
      </c>
      <c r="R439" s="15">
        <f t="shared" si="200"/>
        <v>7</v>
      </c>
      <c r="S439" s="23">
        <v>5.6000000000000001E-2</v>
      </c>
      <c r="T439" s="21">
        <f t="shared" si="206"/>
        <v>3.1561988888888885E-2</v>
      </c>
      <c r="U439" s="12">
        <v>0.03</v>
      </c>
      <c r="V439" s="68">
        <f t="shared" si="207"/>
        <v>-0.15619888888888864</v>
      </c>
      <c r="W439" s="15">
        <v>15</v>
      </c>
      <c r="X439" s="15">
        <v>20</v>
      </c>
      <c r="Y439" s="15">
        <v>25</v>
      </c>
      <c r="Z439" s="18">
        <f t="shared" si="223"/>
        <v>3.1561988888888886</v>
      </c>
      <c r="AA439" s="18">
        <f t="shared" si="215"/>
        <v>3</v>
      </c>
      <c r="AB439" s="18">
        <f t="shared" si="224"/>
        <v>-0.15619888888888864</v>
      </c>
      <c r="AC439" s="15"/>
      <c r="AD439" s="15"/>
      <c r="AE439" s="44" cm="1">
        <f t="array" ref="AE439">_xll.BDH("COMXGOLD Comdty","PX_Last", N439)</f>
        <v>17259313.949000001</v>
      </c>
      <c r="AF439" s="15" t="s">
        <v>45</v>
      </c>
      <c r="AG439" s="44" cm="1">
        <f t="array" ref="AG439">_xll.BDH(AF439,"FUT_AGGTE_OPEN_INT",A439)</f>
        <v>522269</v>
      </c>
      <c r="AH439" s="44">
        <f t="shared" si="225"/>
        <v>52226900</v>
      </c>
      <c r="AI439" s="48">
        <f t="shared" si="226"/>
        <v>0.33046789966473217</v>
      </c>
      <c r="AK439" s="44" cm="1">
        <f t="array" ref="AK439">_xll.BDH("COMXSILV Comdty","PX_Last", N439)</f>
        <v>306332.46999999997</v>
      </c>
      <c r="AL439" s="15" t="s">
        <v>57</v>
      </c>
      <c r="AM439" s="47" cm="1">
        <f t="array" ref="AM439">_xll.BDH(AL439,"FUT_AGGTE_OPEN_INT",A439)</f>
        <v>144866</v>
      </c>
      <c r="AN439" s="45">
        <f t="shared" si="227"/>
        <v>422.91837974403927</v>
      </c>
      <c r="AO439" s="46">
        <f t="shared" si="228"/>
        <v>30633246999.999996</v>
      </c>
      <c r="AP439" s="46">
        <f t="shared" si="229"/>
        <v>724330</v>
      </c>
    </row>
    <row r="440" spans="1:42" x14ac:dyDescent="0.2">
      <c r="A440" s="24">
        <v>45527</v>
      </c>
      <c r="B440" s="16" cm="1">
        <f t="array" ref="B440">_xll.BADDPERIODS(A440, "PER=WD", "NUMBEROFPERIODS=2", "BUSDAYADJ=-2", "CDR=GQ", "CDR=P9")</f>
        <v>45532</v>
      </c>
      <c r="C440" s="15" cm="1">
        <f t="array" ref="C440">_xll.BDH("XAU Curncy","PX_LAST",A440,A440)</f>
        <v>2512.59</v>
      </c>
      <c r="D440" s="15" t="str" cm="1">
        <f t="array" ref="D440">_xll.BDP("GCz4 Comdty",$M$32)</f>
        <v>02/12/2024</v>
      </c>
      <c r="E440" s="15">
        <f t="shared" si="230"/>
        <v>96</v>
      </c>
      <c r="F440" s="23">
        <v>5.3499999999999999E-2</v>
      </c>
      <c r="G440" s="28">
        <f t="shared" si="216"/>
        <v>35.846283999999997</v>
      </c>
      <c r="H440" s="12">
        <v>36</v>
      </c>
      <c r="I440" s="69">
        <f t="shared" si="217"/>
        <v>0.15371600000000285</v>
      </c>
      <c r="J440" s="26">
        <v>4</v>
      </c>
      <c r="K440" s="26">
        <v>6</v>
      </c>
      <c r="L440" s="26">
        <v>8</v>
      </c>
      <c r="N440" s="24">
        <v>45527</v>
      </c>
      <c r="O440" s="16" cm="1">
        <f t="array" ref="O440">_xll.BADDPERIODS(N440, "PER=WD", "NUMBEROFPERIODS=2", "BUSDAYADJ=-2", "CDR=GQ", "CDR=P9")</f>
        <v>45532</v>
      </c>
      <c r="P440" s="15" cm="1">
        <f t="array" ref="P440">_xll.BDH("XAG Curncy","PX_LAST",N440,N440)</f>
        <v>29.8157</v>
      </c>
      <c r="Q440" s="15" t="str" cm="1">
        <f t="array" ref="Q440">_xll.BDP("SIU24 Comdty",$M$32)</f>
        <v>03/09/2024</v>
      </c>
      <c r="R440" s="15">
        <f t="shared" si="200"/>
        <v>6</v>
      </c>
      <c r="S440" s="23">
        <v>5.6000000000000001E-2</v>
      </c>
      <c r="T440" s="21">
        <f t="shared" si="206"/>
        <v>2.7827986666666665E-2</v>
      </c>
      <c r="U440" s="12">
        <v>2.5000000000000001E-2</v>
      </c>
      <c r="V440" s="68">
        <f t="shared" si="207"/>
        <v>-0.28279866666666642</v>
      </c>
      <c r="W440" s="15">
        <v>15</v>
      </c>
      <c r="X440" s="15">
        <v>20</v>
      </c>
      <c r="Y440" s="15">
        <v>25</v>
      </c>
      <c r="Z440" s="18">
        <f t="shared" si="223"/>
        <v>2.7827986666666664</v>
      </c>
      <c r="AA440" s="18">
        <f t="shared" si="215"/>
        <v>2.5</v>
      </c>
      <c r="AB440" s="18">
        <f t="shared" si="224"/>
        <v>-0.28279866666666642</v>
      </c>
      <c r="AC440" s="15"/>
      <c r="AD440" s="15"/>
      <c r="AE440" s="44" cm="1">
        <f t="array" ref="AE440">_xll.BDH("COMXGOLD Comdty","PX_Last", N440)</f>
        <v>17256420.359000001</v>
      </c>
      <c r="AF440" s="15" t="s">
        <v>45</v>
      </c>
      <c r="AG440" s="44" cm="1">
        <f t="array" ref="AG440">_xll.BDH(AF440,"FUT_AGGTE_OPEN_INT",A440)</f>
        <v>524290</v>
      </c>
      <c r="AH440" s="44">
        <f t="shared" si="225"/>
        <v>52429000</v>
      </c>
      <c r="AI440" s="48">
        <f t="shared" si="226"/>
        <v>0.32913884222472301</v>
      </c>
      <c r="AK440" s="44" cm="1">
        <f t="array" ref="AK440">_xll.BDH("COMXSILV Comdty","PX_Last", N440)</f>
        <v>307328.53000000003</v>
      </c>
      <c r="AL440" s="15" t="s">
        <v>57</v>
      </c>
      <c r="AM440" s="47" cm="1">
        <f t="array" ref="AM440">_xll.BDH(AL440,"FUT_AGGTE_OPEN_INT",A440)</f>
        <v>146284</v>
      </c>
      <c r="AN440" s="45">
        <f t="shared" si="227"/>
        <v>420.18064860135087</v>
      </c>
      <c r="AO440" s="46">
        <f t="shared" si="228"/>
        <v>30732853000.000004</v>
      </c>
      <c r="AP440" s="46">
        <f t="shared" si="229"/>
        <v>731420</v>
      </c>
    </row>
    <row r="441" spans="1:42" x14ac:dyDescent="0.2">
      <c r="A441" s="24">
        <v>45530</v>
      </c>
      <c r="B441" s="16" cm="1">
        <f t="array" ref="B441">_xll.BADDPERIODS(A441, "PER=WD", "NUMBEROFPERIODS=2", "BUSDAYADJ=-2", "CDR=GQ", "CDR=P9")</f>
        <v>45532</v>
      </c>
      <c r="C441" s="15" cm="1">
        <f t="array" ref="C441">_xll.BDH("XAU Curncy","PX_LAST",A441,A441)</f>
        <v>2518.0300000000002</v>
      </c>
      <c r="D441" s="15" t="str" cm="1">
        <f t="array" ref="D441">_xll.BDP("GCz4 Comdty",$M$32)</f>
        <v>02/12/2024</v>
      </c>
      <c r="E441" s="15">
        <f t="shared" si="230"/>
        <v>96</v>
      </c>
      <c r="F441" s="23">
        <v>5.3199999999999997E-2</v>
      </c>
      <c r="G441" s="28">
        <f t="shared" si="216"/>
        <v>35.722452266666672</v>
      </c>
      <c r="H441" s="12">
        <v>35.9</v>
      </c>
      <c r="I441" s="69">
        <f t="shared" si="217"/>
        <v>0.17754773333332707</v>
      </c>
      <c r="J441" s="26">
        <v>4</v>
      </c>
      <c r="K441" s="26">
        <v>6</v>
      </c>
      <c r="L441" s="26">
        <v>8</v>
      </c>
      <c r="N441" s="24">
        <v>45530</v>
      </c>
      <c r="O441" s="16" cm="1">
        <f t="array" ref="O441">_xll.BADDPERIODS(N441, "PER=WD", "NUMBEROFPERIODS=2", "BUSDAYADJ=-2", "CDR=GQ", "CDR=P9")</f>
        <v>45532</v>
      </c>
      <c r="P441" s="15" cm="1">
        <f t="array" ref="P441">_xll.BDH("XAG Curncy","PX_LAST",N441,N441)</f>
        <v>29.903400000000001</v>
      </c>
      <c r="Q441" s="15" t="str" cm="1">
        <f t="array" ref="Q441">_xll.BDP("SIU24 Comdty",$M$32)</f>
        <v>03/09/2024</v>
      </c>
      <c r="R441" s="15">
        <f t="shared" si="200"/>
        <v>6</v>
      </c>
      <c r="S441" s="23">
        <v>5.6000000000000001E-2</v>
      </c>
      <c r="T441" s="21">
        <f t="shared" si="206"/>
        <v>2.7909840000000002E-2</v>
      </c>
      <c r="U441" s="12">
        <v>1.2500000000000001E-2</v>
      </c>
      <c r="V441" s="68">
        <f t="shared" si="207"/>
        <v>-1.5409840000000001</v>
      </c>
      <c r="W441" s="15">
        <v>15</v>
      </c>
      <c r="X441" s="15">
        <v>20</v>
      </c>
      <c r="Y441" s="15">
        <v>25</v>
      </c>
      <c r="Z441" s="18">
        <f t="shared" si="223"/>
        <v>2.7909840000000004</v>
      </c>
      <c r="AA441" s="18">
        <f t="shared" si="215"/>
        <v>1.25</v>
      </c>
      <c r="AB441" s="18">
        <f t="shared" si="224"/>
        <v>-1.5409840000000001</v>
      </c>
      <c r="AC441" s="15"/>
      <c r="AD441" s="15"/>
      <c r="AE441" s="44" cm="1">
        <f t="array" ref="AE441">_xll.BDH("COMXGOLD Comdty","PX_Last", N441)</f>
        <v>17219251.969000001</v>
      </c>
      <c r="AF441" s="15" t="s">
        <v>45</v>
      </c>
      <c r="AG441" s="44" cm="1">
        <f t="array" ref="AG441">_xll.BDH(AF441,"FUT_AGGTE_OPEN_INT",A441)</f>
        <v>525873</v>
      </c>
      <c r="AH441" s="44">
        <f t="shared" si="225"/>
        <v>52587300</v>
      </c>
      <c r="AI441" s="48">
        <f t="shared" si="226"/>
        <v>0.3274412637461897</v>
      </c>
      <c r="AK441" s="44" cm="1">
        <f t="array" ref="AK441">_xll.BDH("COMXSILV Comdty","PX_Last", N441)</f>
        <v>307311.71999999997</v>
      </c>
      <c r="AL441" s="15" t="s">
        <v>57</v>
      </c>
      <c r="AM441" s="47" cm="1">
        <f t="array" ref="AM441">_xll.BDH(AL441,"FUT_AGGTE_OPEN_INT",A441)</f>
        <v>145569</v>
      </c>
      <c r="AN441" s="45">
        <f t="shared" si="227"/>
        <v>422.22137955196501</v>
      </c>
      <c r="AO441" s="46">
        <f t="shared" si="228"/>
        <v>30731171999.999996</v>
      </c>
      <c r="AP441" s="46">
        <f t="shared" si="229"/>
        <v>727845</v>
      </c>
    </row>
    <row r="442" spans="1:42" x14ac:dyDescent="0.2">
      <c r="A442" s="24">
        <v>45531</v>
      </c>
      <c r="B442" s="16" cm="1">
        <f t="array" ref="B442">_xll.BADDPERIODS(A442, "PER=WD", "NUMBEROFPERIODS=2", "BUSDAYADJ=-2", "CDR=GQ", "CDR=P9")</f>
        <v>45533</v>
      </c>
      <c r="C442" s="15" cm="1">
        <f t="array" ref="C442">_xll.BDH("XAU Curncy","PX_LAST",A442,A442)</f>
        <v>2524.64</v>
      </c>
      <c r="D442" s="15" t="str" cm="1">
        <f t="array" ref="D442">_xll.BDP("GCz4 Comdty",$M$32)</f>
        <v>02/12/2024</v>
      </c>
      <c r="E442" s="15">
        <f t="shared" si="230"/>
        <v>95</v>
      </c>
      <c r="F442" s="23">
        <v>5.2999999999999999E-2</v>
      </c>
      <c r="G442" s="28">
        <f t="shared" si="216"/>
        <v>35.309895555555556</v>
      </c>
      <c r="H442" s="12">
        <v>35.4</v>
      </c>
      <c r="I442" s="69">
        <f t="shared" si="217"/>
        <v>9.0104444444442322E-2</v>
      </c>
      <c r="J442" s="26">
        <v>4</v>
      </c>
      <c r="K442" s="26">
        <v>6</v>
      </c>
      <c r="L442" s="26">
        <v>8</v>
      </c>
      <c r="N442" s="24">
        <v>45531</v>
      </c>
      <c r="O442" s="16" cm="1">
        <f t="array" ref="O442">_xll.BADDPERIODS(N442, "PER=WD", "NUMBEROFPERIODS=2", "BUSDAYADJ=-2", "CDR=GQ", "CDR=P9")</f>
        <v>45533</v>
      </c>
      <c r="P442" s="15" cm="1">
        <f t="array" ref="P442">_xll.BDH("XAG Curncy","PX_LAST",N442,N442)</f>
        <v>29.9757</v>
      </c>
      <c r="Q442" s="15" t="str" cm="1">
        <f t="array" ref="Q442">_xll.BDP("SIU24 Comdty",$M$32)</f>
        <v>03/09/2024</v>
      </c>
      <c r="R442" s="15">
        <f t="shared" si="200"/>
        <v>5</v>
      </c>
      <c r="S442" s="23">
        <v>5.6500000000000002E-2</v>
      </c>
      <c r="T442" s="21">
        <f t="shared" si="206"/>
        <v>2.3522597916666665E-2</v>
      </c>
      <c r="U442" s="12">
        <v>0.01</v>
      </c>
      <c r="V442" s="68">
        <f t="shared" si="207"/>
        <v>-1.3522597916666665</v>
      </c>
      <c r="W442" s="15">
        <v>15</v>
      </c>
      <c r="X442" s="15">
        <v>20</v>
      </c>
      <c r="Y442" s="15">
        <v>25</v>
      </c>
      <c r="Z442" s="18">
        <f t="shared" si="223"/>
        <v>2.3522597916666665</v>
      </c>
      <c r="AA442" s="18">
        <f t="shared" si="215"/>
        <v>1</v>
      </c>
      <c r="AB442" s="18">
        <f t="shared" si="224"/>
        <v>-1.3522597916666665</v>
      </c>
      <c r="AC442" s="15"/>
      <c r="AD442" s="15"/>
      <c r="AE442" s="44" cm="1">
        <f t="array" ref="AE442">_xll.BDH("COMXGOLD Comdty","PX_Last", N442)</f>
        <v>17182611.908</v>
      </c>
      <c r="AF442" s="15" t="s">
        <v>45</v>
      </c>
      <c r="AG442" s="44" cm="1">
        <f t="array" ref="AG442">_xll.BDH(AF442,"FUT_AGGTE_OPEN_INT",A442)</f>
        <v>521759</v>
      </c>
      <c r="AH442" s="44">
        <f t="shared" si="225"/>
        <v>52175900</v>
      </c>
      <c r="AI442" s="48">
        <f t="shared" si="226"/>
        <v>0.32932085326750471</v>
      </c>
      <c r="AK442" s="44" cm="1">
        <f t="array" ref="AK442">_xll.BDH("COMXSILV Comdty","PX_Last", N442)</f>
        <v>307092.5</v>
      </c>
      <c r="AL442" s="15" t="s">
        <v>57</v>
      </c>
      <c r="AM442" s="47" cm="1">
        <f t="array" ref="AM442">_xll.BDH(AL442,"FUT_AGGTE_OPEN_INT",A442)</f>
        <v>141613</v>
      </c>
      <c r="AN442" s="45">
        <f t="shared" si="227"/>
        <v>433.7066512255231</v>
      </c>
      <c r="AO442" s="46">
        <f t="shared" si="228"/>
        <v>30709250000</v>
      </c>
      <c r="AP442" s="46">
        <f t="shared" si="229"/>
        <v>708065</v>
      </c>
    </row>
    <row r="443" spans="1:42" x14ac:dyDescent="0.2">
      <c r="A443" s="24">
        <v>45532</v>
      </c>
      <c r="B443" s="16" cm="1">
        <f t="array" ref="B443">_xll.BADDPERIODS(A443, "PER=WD", "NUMBEROFPERIODS=2", "BUSDAYADJ=-2", "CDR=GQ", "CDR=P9")</f>
        <v>45534</v>
      </c>
      <c r="C443" s="15" cm="1">
        <f t="array" ref="C443">_xll.BDH("XAU Curncy","PX_LAST",A443,A443)</f>
        <v>2504.61</v>
      </c>
      <c r="D443" s="15" t="str" cm="1">
        <f t="array" ref="D443">_xll.BDP("GCz4 Comdty",$M$32)</f>
        <v>02/12/2024</v>
      </c>
      <c r="E443" s="15">
        <f t="shared" si="230"/>
        <v>94</v>
      </c>
      <c r="F443" s="23">
        <v>5.2999999999999999E-2</v>
      </c>
      <c r="G443" s="28">
        <f t="shared" si="216"/>
        <v>34.661019500000002</v>
      </c>
      <c r="H443" s="12">
        <v>34.799999999999997</v>
      </c>
      <c r="I443" s="69">
        <f t="shared" si="217"/>
        <v>0.13898049999999529</v>
      </c>
      <c r="J443" s="26">
        <v>4</v>
      </c>
      <c r="K443" s="26">
        <v>6</v>
      </c>
      <c r="L443" s="26">
        <v>8</v>
      </c>
      <c r="N443" s="24">
        <v>45532</v>
      </c>
      <c r="O443" s="16" cm="1">
        <f t="array" ref="O443">_xll.BADDPERIODS(N443, "PER=WD", "NUMBEROFPERIODS=2", "BUSDAYADJ=-2", "CDR=GQ", "CDR=P9")</f>
        <v>45534</v>
      </c>
      <c r="P443" s="15" cm="1">
        <f t="array" ref="P443">_xll.BDH("XAG Curncy","PX_LAST",N443,N443)</f>
        <v>29.1267</v>
      </c>
      <c r="Q443" s="15" t="str" cm="1">
        <f t="array" ref="Q443">_xll.BDP("SIU24 Comdty",$M$32)</f>
        <v>03/09/2024</v>
      </c>
      <c r="R443" s="15">
        <f t="shared" si="200"/>
        <v>4</v>
      </c>
      <c r="S443" s="23">
        <v>5.6500000000000002E-2</v>
      </c>
      <c r="T443" s="21">
        <f t="shared" si="206"/>
        <v>1.8285095000000001E-2</v>
      </c>
      <c r="U443" s="12">
        <v>0.01</v>
      </c>
      <c r="V443" s="68">
        <f t="shared" si="207"/>
        <v>-0.82850950000000012</v>
      </c>
      <c r="W443" s="15">
        <v>15</v>
      </c>
      <c r="X443" s="15">
        <v>20</v>
      </c>
      <c r="Y443" s="15">
        <v>25</v>
      </c>
      <c r="Z443" s="18">
        <f t="shared" si="223"/>
        <v>1.8285095</v>
      </c>
      <c r="AA443" s="18">
        <f t="shared" si="215"/>
        <v>1</v>
      </c>
      <c r="AB443" s="18">
        <f t="shared" si="224"/>
        <v>-0.82850950000000012</v>
      </c>
      <c r="AC443" s="15"/>
      <c r="AD443" s="15"/>
      <c r="AE443" s="44" cm="1">
        <f t="array" ref="AE443">_xll.BDH("COMXGOLD Comdty","PX_Last", N443)</f>
        <v>17183912.037999999</v>
      </c>
      <c r="AF443" s="15" t="s">
        <v>45</v>
      </c>
      <c r="AG443" s="44" cm="1">
        <f t="array" ref="AG443">_xll.BDH(AF443,"FUT_AGGTE_OPEN_INT",A443)</f>
        <v>521788</v>
      </c>
      <c r="AH443" s="44">
        <f t="shared" si="225"/>
        <v>52178800</v>
      </c>
      <c r="AI443" s="48">
        <f t="shared" si="226"/>
        <v>0.32932746705558574</v>
      </c>
      <c r="AK443" s="44" cm="1">
        <f t="array" ref="AK443">_xll.BDH("COMXSILV Comdty","PX_Last", N443)</f>
        <v>306512.03000000003</v>
      </c>
      <c r="AL443" s="15" t="s">
        <v>57</v>
      </c>
      <c r="AM443" s="47" cm="1">
        <f t="array" ref="AM443">_xll.BDH(AL443,"FUT_AGGTE_OPEN_INT",A443)</f>
        <v>137615</v>
      </c>
      <c r="AN443" s="45">
        <f>(AO443/AP443)/100</f>
        <v>445.46311085274135</v>
      </c>
      <c r="AO443" s="46">
        <f t="shared" si="228"/>
        <v>30651203000.000004</v>
      </c>
      <c r="AP443" s="46">
        <f t="shared" si="229"/>
        <v>688075</v>
      </c>
    </row>
    <row r="444" spans="1:42" x14ac:dyDescent="0.2">
      <c r="A444" s="24">
        <v>45533</v>
      </c>
      <c r="B444" s="16" cm="1">
        <f t="array" ref="B444">_xll.BADDPERIODS(A444, "PER=WD", "NUMBEROFPERIODS=2", "BUSDAYADJ=-2", "CDR=GQ", "CDR=P9")</f>
        <v>45538</v>
      </c>
      <c r="C444" s="15" cm="1">
        <f t="array" ref="C444">_xll.BDH("XAU Curncy","PX_LAST",A444,A444)</f>
        <v>2521.4</v>
      </c>
      <c r="D444" s="15" t="str" cm="1">
        <f t="array" ref="D444">_xll.BDP("GCz4 Comdty",$M$32)</f>
        <v>02/12/2024</v>
      </c>
      <c r="E444" s="15">
        <f t="shared" si="230"/>
        <v>90</v>
      </c>
      <c r="F444" s="23">
        <v>5.2999999999999999E-2</v>
      </c>
      <c r="G444" s="28">
        <f t="shared" si="216"/>
        <v>33.408549999999998</v>
      </c>
      <c r="H444" s="12">
        <v>33.299999999999997</v>
      </c>
      <c r="I444" s="69">
        <f t="shared" si="217"/>
        <v>-0.10855000000000103</v>
      </c>
      <c r="J444" s="26">
        <v>4</v>
      </c>
      <c r="K444" s="26">
        <v>6</v>
      </c>
      <c r="L444" s="26">
        <v>8</v>
      </c>
      <c r="N444" s="24">
        <v>45533</v>
      </c>
      <c r="O444" s="16" cm="1">
        <f t="array" ref="O444">_xll.BADDPERIODS(N444, "PER=WD", "NUMBEROFPERIODS=2", "BUSDAYADJ=-2", "CDR=GQ", "CDR=P9")</f>
        <v>45538</v>
      </c>
      <c r="P444" s="15" cm="1">
        <f t="array" ref="P444">_xll.BDH("XAG Curncy","PX_LAST",N444,N444)</f>
        <v>29.419799999999999</v>
      </c>
      <c r="Q444" s="15" t="str" cm="1">
        <f t="array" ref="Q444">_xll.BDP("SIz4 Comdty",$M$32)</f>
        <v>02/12/2024</v>
      </c>
      <c r="R444" s="15">
        <f t="shared" si="200"/>
        <v>90</v>
      </c>
      <c r="S444" s="23">
        <v>5.45E-2</v>
      </c>
      <c r="T444" s="21">
        <f t="shared" si="206"/>
        <v>0.40084477499999999</v>
      </c>
      <c r="U444" s="12">
        <v>0.41499999999999998</v>
      </c>
      <c r="V444" s="68">
        <f t="shared" si="207"/>
        <v>1.4155224999999994</v>
      </c>
      <c r="W444" s="15">
        <v>15</v>
      </c>
      <c r="X444" s="15">
        <v>20</v>
      </c>
      <c r="Y444" s="15">
        <v>25</v>
      </c>
      <c r="Z444" s="18">
        <f t="shared" si="223"/>
        <v>40.084477499999998</v>
      </c>
      <c r="AA444" s="18">
        <f t="shared" si="215"/>
        <v>41.5</v>
      </c>
      <c r="AB444" s="18">
        <f t="shared" si="224"/>
        <v>1.4155224999999994</v>
      </c>
      <c r="AC444" s="15"/>
      <c r="AD444" s="15"/>
      <c r="AE444" s="44" cm="1">
        <f t="array" ref="AE444">_xll.BDH("COMXGOLD Comdty","PX_Last", N444)</f>
        <v>17183912.037999999</v>
      </c>
      <c r="AF444" s="15" t="s">
        <v>45</v>
      </c>
      <c r="AG444" s="44" cm="1">
        <f t="array" ref="AG444">_xll.BDH(AF444,"FUT_AGGTE_OPEN_INT",A444)</f>
        <v>525188</v>
      </c>
      <c r="AH444" s="44">
        <f t="shared" si="225"/>
        <v>52518800</v>
      </c>
      <c r="AI444" s="48">
        <f t="shared" si="226"/>
        <v>0.3271954431175122</v>
      </c>
      <c r="AK444" s="44" cm="1">
        <f t="array" ref="AK444">_xll.BDH("COMXSILV Comdty","PX_Last", N444)</f>
        <v>307154.84000000003</v>
      </c>
      <c r="AL444" s="15" t="s">
        <v>46</v>
      </c>
      <c r="AM444" s="47" cm="1">
        <f t="array" ref="AM444">_xll.BDH(AL444,"FUT_AGGTE_OPEN_INT",A444)</f>
        <v>134412</v>
      </c>
      <c r="AN444" s="45">
        <f t="shared" si="227"/>
        <v>457.03484807904061</v>
      </c>
      <c r="AO444" s="46">
        <f t="shared" si="228"/>
        <v>30715484000.000004</v>
      </c>
      <c r="AP444" s="46">
        <f t="shared" si="229"/>
        <v>672060</v>
      </c>
    </row>
    <row r="445" spans="1:42" x14ac:dyDescent="0.2">
      <c r="A445" s="24">
        <v>45534</v>
      </c>
      <c r="B445" s="16" cm="1">
        <f t="array" ref="B445">_xll.BADDPERIODS(A445, "PER=WD", "NUMBEROFPERIODS=2", "BUSDAYADJ=-2", "CDR=GQ", "CDR=P9")</f>
        <v>45539</v>
      </c>
      <c r="C445" s="15" cm="1">
        <f t="array" ref="C445">_xll.BDH("XAU Curncy","PX_LAST",A445,A445)</f>
        <v>2503.39</v>
      </c>
      <c r="D445" s="15" t="str" cm="1">
        <f t="array" ref="D445">_xll.BDP("GCz4 Comdty",$M$32)</f>
        <v>02/12/2024</v>
      </c>
      <c r="E445" s="15">
        <f t="shared" si="230"/>
        <v>89</v>
      </c>
      <c r="F445" s="23">
        <v>5.2299999999999999E-2</v>
      </c>
      <c r="G445" s="28">
        <f t="shared" si="216"/>
        <v>32.368137313888887</v>
      </c>
      <c r="H445" s="12">
        <v>33.299999999999997</v>
      </c>
      <c r="I445" s="69">
        <f t="shared" si="217"/>
        <v>0.93186268611110989</v>
      </c>
      <c r="J445" s="26">
        <v>4</v>
      </c>
      <c r="K445" s="26">
        <v>6</v>
      </c>
      <c r="L445" s="26">
        <v>8</v>
      </c>
      <c r="N445" s="24">
        <v>45534</v>
      </c>
      <c r="O445" s="16" cm="1">
        <f t="array" ref="O445">_xll.BADDPERIODS(N445, "PER=WD", "NUMBEROFPERIODS=2", "BUSDAYADJ=-2", "CDR=GQ", "CDR=P9")</f>
        <v>45539</v>
      </c>
      <c r="P445" s="15" cm="1">
        <f t="array" ref="P445">_xll.BDH("XAG Curncy","PX_LAST",N445,N445)</f>
        <v>28.864699999999999</v>
      </c>
      <c r="Q445" s="15" t="str" cm="1">
        <f t="array" ref="Q445">_xll.BDP("SIz4 Comdty",$M$32)</f>
        <v>02/12/2024</v>
      </c>
      <c r="R445" s="15">
        <f t="shared" ref="R445:R455" si="231">_xlfn.DAYS(Q445,O445)</f>
        <v>89</v>
      </c>
      <c r="S445" s="23">
        <v>5.3999999999999999E-2</v>
      </c>
      <c r="T445" s="21">
        <f t="shared" si="206"/>
        <v>0.38534374500000002</v>
      </c>
      <c r="U445" s="12">
        <v>0.41499999999999998</v>
      </c>
      <c r="V445" s="68">
        <f t="shared" si="207"/>
        <v>2.9656254999999963</v>
      </c>
      <c r="W445" s="15">
        <v>15</v>
      </c>
      <c r="X445" s="15">
        <v>20</v>
      </c>
      <c r="Y445" s="15">
        <v>25</v>
      </c>
      <c r="Z445" s="18">
        <f t="shared" si="223"/>
        <v>38.534374499999998</v>
      </c>
      <c r="AA445" s="18">
        <f t="shared" si="215"/>
        <v>41.5</v>
      </c>
      <c r="AB445" s="18">
        <f t="shared" si="224"/>
        <v>2.9656254999999963</v>
      </c>
      <c r="AC445" s="15"/>
      <c r="AD445" s="15"/>
      <c r="AE445" s="44" cm="1">
        <f t="array" ref="AE445">_xll.BDH("COMXGOLD Comdty","PX_Last", N445)</f>
        <v>17086712.767999999</v>
      </c>
      <c r="AF445" s="15" t="s">
        <v>45</v>
      </c>
      <c r="AG445" s="44" cm="1">
        <f t="array" ref="AG445">_xll.BDH(AF445,"FUT_AGGTE_OPEN_INT",A445)</f>
        <v>519950</v>
      </c>
      <c r="AH445" s="44">
        <f t="shared" si="225"/>
        <v>51995000</v>
      </c>
      <c r="AI445" s="48">
        <f t="shared" si="226"/>
        <v>0.3286222284450428</v>
      </c>
      <c r="AK445" s="44" cm="1">
        <f t="array" ref="AK445">_xll.BDH("COMXSILV Comdty","PX_Last", N445)</f>
        <v>306367.44</v>
      </c>
      <c r="AL445" s="15" t="s">
        <v>46</v>
      </c>
      <c r="AM445" s="47" cm="1">
        <f t="array" ref="AM445">_xll.BDH(AL445,"FUT_AGGTE_OPEN_INT",A445)</f>
        <v>131838</v>
      </c>
      <c r="AN445" s="45">
        <f t="shared" si="227"/>
        <v>464.7634824557411</v>
      </c>
      <c r="AO445" s="46">
        <f t="shared" si="228"/>
        <v>30636744000</v>
      </c>
      <c r="AP445" s="46">
        <f t="shared" si="229"/>
        <v>659190</v>
      </c>
    </row>
    <row r="446" spans="1:42" x14ac:dyDescent="0.2">
      <c r="A446" s="24">
        <v>45537</v>
      </c>
      <c r="B446" s="16" cm="1">
        <f t="array" ref="B446">_xll.BADDPERIODS(A446, "PER=WD", "NUMBEROFPERIODS=2", "BUSDAYADJ=-2", "CDR=GQ", "CDR=P9")</f>
        <v>45539</v>
      </c>
      <c r="C446" s="15" cm="1">
        <f t="array" ref="C446">_xll.BDH("XAU Curncy","PX_LAST",A446,A446)</f>
        <v>2499.5100000000002</v>
      </c>
      <c r="D446" s="15" t="str" cm="1">
        <f t="array" ref="D446">_xll.BDP("GCz4 Comdty",$M$32)</f>
        <v>02/12/2024</v>
      </c>
      <c r="E446" s="15">
        <f t="shared" si="230"/>
        <v>89</v>
      </c>
      <c r="F446" s="23">
        <v>5.2299999999999999E-2</v>
      </c>
      <c r="G446" s="28">
        <f t="shared" si="216"/>
        <v>32.317969991666672</v>
      </c>
      <c r="H446" s="12">
        <v>33.1</v>
      </c>
      <c r="I446" s="69">
        <f t="shared" si="217"/>
        <v>0.78203000833332936</v>
      </c>
      <c r="J446" s="26">
        <v>4</v>
      </c>
      <c r="K446" s="26">
        <v>6</v>
      </c>
      <c r="L446" s="26">
        <v>8</v>
      </c>
      <c r="N446" s="24">
        <v>45537</v>
      </c>
      <c r="O446" s="16" cm="1">
        <f t="array" ref="O446">_xll.BADDPERIODS(N446, "PER=WD", "NUMBEROFPERIODS=2", "BUSDAYADJ=-2", "CDR=GQ", "CDR=P9")</f>
        <v>45539</v>
      </c>
      <c r="P446" s="15" cm="1">
        <f t="array" ref="P446">_xll.BDH("XAG Curncy","PX_LAST",N446,N446)</f>
        <v>28.545000000000002</v>
      </c>
      <c r="Q446" s="15" t="str" cm="1">
        <f t="array" ref="Q446">_xll.BDP("SIz4 Comdty",$M$32)</f>
        <v>02/12/2024</v>
      </c>
      <c r="R446" s="15">
        <f t="shared" si="231"/>
        <v>89</v>
      </c>
      <c r="S446" s="23">
        <v>5.3999999999999999E-2</v>
      </c>
      <c r="T446" s="21">
        <f t="shared" si="206"/>
        <v>0.38107575000000005</v>
      </c>
      <c r="U446" s="12">
        <v>0.41</v>
      </c>
      <c r="V446" s="68">
        <f t="shared" si="207"/>
        <v>2.8924249999999931</v>
      </c>
      <c r="W446" s="15">
        <v>15</v>
      </c>
      <c r="X446" s="15">
        <v>20</v>
      </c>
      <c r="Y446" s="15">
        <v>25</v>
      </c>
      <c r="Z446" s="18">
        <f t="shared" si="223"/>
        <v>38.107575000000004</v>
      </c>
      <c r="AA446" s="18">
        <f t="shared" si="215"/>
        <v>41</v>
      </c>
      <c r="AB446" s="18">
        <f t="shared" si="224"/>
        <v>2.8924249999999931</v>
      </c>
      <c r="AC446" s="15"/>
      <c r="AD446" s="15"/>
      <c r="AE446" s="44">
        <v>17086712.767999999</v>
      </c>
      <c r="AF446" s="15" t="s">
        <v>45</v>
      </c>
      <c r="AG446" s="44">
        <v>519950</v>
      </c>
      <c r="AH446" s="44">
        <v>51995000</v>
      </c>
      <c r="AI446" s="48">
        <v>0.3286222284450428</v>
      </c>
      <c r="AK446" s="44">
        <v>306367.44</v>
      </c>
      <c r="AL446" s="15" t="s">
        <v>46</v>
      </c>
      <c r="AM446" s="47">
        <v>131838</v>
      </c>
      <c r="AN446" s="45">
        <v>347.68453127393849</v>
      </c>
      <c r="AO446" s="46">
        <v>30636744000</v>
      </c>
      <c r="AP446" s="46">
        <f t="shared" si="229"/>
        <v>659190</v>
      </c>
    </row>
    <row r="447" spans="1:42" x14ac:dyDescent="0.2">
      <c r="A447" s="24">
        <v>45538</v>
      </c>
      <c r="B447" s="16" cm="1">
        <f t="array" ref="B447">_xll.BADDPERIODS(A447, "PER=WD", "NUMBEROFPERIODS=2", "BUSDAYADJ=-2", "CDR=GQ", "CDR=P9")</f>
        <v>45540</v>
      </c>
      <c r="C447" s="15" cm="1">
        <f t="array" ref="C447">_xll.BDH("XAU Curncy","PX_LAST",A447,A447)</f>
        <v>2492.91</v>
      </c>
      <c r="D447" s="15" t="str" cm="1">
        <f t="array" ref="D447">_xll.BDP("GCz4 Comdty",$M$32)</f>
        <v>02/12/2024</v>
      </c>
      <c r="E447" s="15">
        <f t="shared" si="230"/>
        <v>88</v>
      </c>
      <c r="F447" s="23">
        <v>5.21E-2</v>
      </c>
      <c r="G447" s="28">
        <f t="shared" si="216"/>
        <v>31.748593799999998</v>
      </c>
      <c r="H447" s="12">
        <v>32</v>
      </c>
      <c r="I447" s="69">
        <f t="shared" si="217"/>
        <v>0.25140620000000169</v>
      </c>
      <c r="J447" s="26">
        <v>4</v>
      </c>
      <c r="K447" s="26">
        <v>6</v>
      </c>
      <c r="L447" s="26">
        <v>8</v>
      </c>
      <c r="N447" s="24">
        <v>45538</v>
      </c>
      <c r="O447" s="16" cm="1">
        <f t="array" ref="O447">_xll.BADDPERIODS(N447, "PER=WD", "NUMBEROFPERIODS=2", "BUSDAYADJ=-2", "CDR=GQ", "CDR=P9")</f>
        <v>45540</v>
      </c>
      <c r="P447" s="15" cm="1">
        <f t="array" ref="P447">_xll.BDH("XAG Curncy","PX_LAST",N447,N447)</f>
        <v>28.047999999999998</v>
      </c>
      <c r="Q447" s="15" t="str" cm="1">
        <f t="array" ref="Q447">_xll.BDP("SIz4 Comdty",$M$32)</f>
        <v>02/12/2024</v>
      </c>
      <c r="R447" s="15">
        <f t="shared" si="231"/>
        <v>88</v>
      </c>
      <c r="S447" s="23">
        <v>5.3999999999999999E-2</v>
      </c>
      <c r="T447" s="21">
        <f t="shared" si="206"/>
        <v>0.37023359999999994</v>
      </c>
      <c r="U447" s="12">
        <v>0.35499999999999998</v>
      </c>
      <c r="V447" s="68">
        <f t="shared" si="207"/>
        <v>-1.5233599999999958</v>
      </c>
      <c r="W447" s="15">
        <v>15</v>
      </c>
      <c r="X447" s="15">
        <v>20</v>
      </c>
      <c r="Y447" s="15">
        <v>25</v>
      </c>
      <c r="Z447" s="18">
        <f t="shared" si="223"/>
        <v>37.023359999999997</v>
      </c>
      <c r="AA447" s="18">
        <f t="shared" si="215"/>
        <v>35.5</v>
      </c>
      <c r="AB447" s="18">
        <f t="shared" si="224"/>
        <v>-1.5233599999999958</v>
      </c>
      <c r="AC447" s="15"/>
      <c r="AD447" s="15"/>
      <c r="AE447" s="44" cm="1">
        <f t="array" ref="AE447">_xll.BDH("COMXGOLD Comdty","PX_Last", N447)</f>
        <v>17012769.824000001</v>
      </c>
      <c r="AF447" s="15" t="s">
        <v>45</v>
      </c>
      <c r="AG447" s="44" cm="1">
        <f t="array" ref="AG447">_xll.BDH(AF447,"FUT_AGGTE_OPEN_INT",A447)</f>
        <v>511136</v>
      </c>
      <c r="AH447" s="44">
        <f t="shared" si="225"/>
        <v>51113600</v>
      </c>
      <c r="AI447" s="48">
        <f t="shared" si="226"/>
        <v>0.33284233206035185</v>
      </c>
      <c r="AK447" s="44" cm="1">
        <f t="array" ref="AK447">_xll.BDH("COMXSILV Comdty","PX_Last", N447)</f>
        <v>306331.31</v>
      </c>
      <c r="AL447" s="15" t="s">
        <v>46</v>
      </c>
      <c r="AM447" s="47" cm="1">
        <f t="array" ref="AM447">_xll.BDH(AL447,"FUT_AGGTE_OPEN_INT",A447)</f>
        <v>130928</v>
      </c>
      <c r="AN447" s="45">
        <f t="shared" si="227"/>
        <v>467.93857692777709</v>
      </c>
      <c r="AO447" s="46">
        <f t="shared" si="228"/>
        <v>30633131000</v>
      </c>
      <c r="AP447" s="46">
        <f t="shared" si="229"/>
        <v>654640</v>
      </c>
    </row>
    <row r="448" spans="1:42" x14ac:dyDescent="0.2">
      <c r="A448" s="24">
        <v>45539</v>
      </c>
      <c r="B448" s="16" cm="1">
        <f t="array" ref="B448">_xll.BADDPERIODS(A448, "PER=WD", "NUMBEROFPERIODS=2", "BUSDAYADJ=-2", "CDR=GQ", "CDR=P9")</f>
        <v>45541</v>
      </c>
      <c r="C448" s="15" cm="1">
        <f t="array" ref="C448">_xll.BDH("XAU Curncy","PX_LAST",A448,A448)</f>
        <v>2495.7199999999998</v>
      </c>
      <c r="D448" s="15" t="str" cm="1">
        <f t="array" ref="D448">_xll.BDP("GCz4 Comdty",$M$32)</f>
        <v>02/12/2024</v>
      </c>
      <c r="E448" s="15">
        <f t="shared" si="230"/>
        <v>87</v>
      </c>
      <c r="F448" s="23">
        <v>5.1499999999999997E-2</v>
      </c>
      <c r="G448" s="28">
        <f t="shared" si="216"/>
        <v>31.06131516666666</v>
      </c>
      <c r="H448" s="12">
        <v>31.4</v>
      </c>
      <c r="I448" s="69">
        <f t="shared" si="217"/>
        <v>0.33868483333333899</v>
      </c>
      <c r="J448" s="26">
        <v>4</v>
      </c>
      <c r="K448" s="26">
        <v>6</v>
      </c>
      <c r="L448" s="26">
        <v>8</v>
      </c>
      <c r="N448" s="24">
        <v>45539</v>
      </c>
      <c r="O448" s="16" cm="1">
        <f t="array" ref="O448">_xll.BADDPERIODS(N448, "PER=WD", "NUMBEROFPERIODS=2", "BUSDAYADJ=-2", "CDR=GQ", "CDR=P9")</f>
        <v>45541</v>
      </c>
      <c r="P448" s="15" cm="1">
        <f t="array" ref="P448">_xll.BDH("XAG Curncy","PX_LAST",N448,N448)</f>
        <v>28.2743</v>
      </c>
      <c r="Q448" s="15" t="str" cm="1">
        <f t="array" ref="Q448">_xll.BDP("SIz4 Comdty",$M$32)</f>
        <v>02/12/2024</v>
      </c>
      <c r="R448" s="15">
        <f t="shared" si="231"/>
        <v>87</v>
      </c>
      <c r="S448" s="23">
        <v>5.3600000000000002E-2</v>
      </c>
      <c r="T448" s="21">
        <f t="shared" si="206"/>
        <v>0.36624643266666668</v>
      </c>
      <c r="U448" s="12">
        <v>0.36</v>
      </c>
      <c r="V448" s="68">
        <f t="shared" si="207"/>
        <v>-0.62464326666666903</v>
      </c>
      <c r="W448" s="15">
        <v>15</v>
      </c>
      <c r="X448" s="15">
        <v>20</v>
      </c>
      <c r="Y448" s="15">
        <v>25</v>
      </c>
      <c r="Z448" s="18">
        <f t="shared" si="223"/>
        <v>36.624643266666666</v>
      </c>
      <c r="AA448" s="18">
        <f t="shared" si="215"/>
        <v>36</v>
      </c>
      <c r="AB448" s="18">
        <f t="shared" si="224"/>
        <v>-0.62464326666666903</v>
      </c>
      <c r="AC448" s="15"/>
      <c r="AD448" s="15"/>
      <c r="AE448" s="44" cm="1">
        <f t="array" ref="AE448">_xll.BDH("COMXGOLD Comdty","PX_Last", N448)</f>
        <v>17031041.805</v>
      </c>
      <c r="AF448" s="15" t="s">
        <v>45</v>
      </c>
      <c r="AG448" s="44" cm="1">
        <f t="array" ref="AG448">_xll.BDH(AF448,"FUT_AGGTE_OPEN_INT",A448)</f>
        <v>510721</v>
      </c>
      <c r="AH448" s="44">
        <f t="shared" si="225"/>
        <v>51072100</v>
      </c>
      <c r="AI448" s="48">
        <f t="shared" si="226"/>
        <v>0.33347056034508077</v>
      </c>
      <c r="AK448" s="44" cm="1">
        <f t="array" ref="AK448">_xll.BDH("COMXSILV Comdty","PX_Last", N448)</f>
        <v>306222.53000000003</v>
      </c>
      <c r="AL448" s="15" t="s">
        <v>46</v>
      </c>
      <c r="AM448" s="47" cm="1">
        <f t="array" ref="AM448">_xll.BDH(AL448,"FUT_AGGTE_OPEN_INT",A448)</f>
        <v>130453</v>
      </c>
      <c r="AN448" s="45">
        <f t="shared" si="227"/>
        <v>469.475642568588</v>
      </c>
      <c r="AO448" s="46">
        <f t="shared" si="228"/>
        <v>30622253000.000004</v>
      </c>
      <c r="AP448" s="46">
        <f t="shared" si="229"/>
        <v>652265</v>
      </c>
    </row>
    <row r="449" spans="1:42" x14ac:dyDescent="0.2">
      <c r="A449" s="24">
        <v>45540</v>
      </c>
      <c r="B449" s="16" cm="1">
        <f t="array" ref="B449">_xll.BADDPERIODS(A449, "PER=WD", "NUMBEROFPERIODS=2", "BUSDAYADJ=-2", "CDR=GQ", "CDR=P9")</f>
        <v>45544</v>
      </c>
      <c r="C449" s="15" cm="1">
        <f t="array" ref="C449">_xll.BDH("XAU Curncy","PX_LAST",A449,A449)</f>
        <v>2516.7600000000002</v>
      </c>
      <c r="D449" s="15" t="str" cm="1">
        <f t="array" ref="D449">_xll.BDP("GCz4 Comdty",$M$32)</f>
        <v>02/12/2024</v>
      </c>
      <c r="E449" s="15">
        <f t="shared" si="230"/>
        <v>84</v>
      </c>
      <c r="F449" s="23">
        <v>5.1200000000000002E-2</v>
      </c>
      <c r="G449" s="28">
        <f t="shared" si="216"/>
        <v>30.066892800000002</v>
      </c>
      <c r="H449" s="12">
        <v>30.2</v>
      </c>
      <c r="I449" s="69">
        <f t="shared" si="217"/>
        <v>0.13310719999999776</v>
      </c>
      <c r="J449" s="26">
        <v>4</v>
      </c>
      <c r="K449" s="26">
        <v>6</v>
      </c>
      <c r="L449" s="26">
        <v>8</v>
      </c>
      <c r="N449" s="24">
        <v>45540</v>
      </c>
      <c r="O449" s="16" cm="1">
        <f t="array" ref="O449">_xll.BADDPERIODS(N449, "PER=WD", "NUMBEROFPERIODS=2", "BUSDAYADJ=-2", "CDR=GQ", "CDR=P9")</f>
        <v>45544</v>
      </c>
      <c r="P449" s="15" cm="1">
        <f t="array" ref="P449">_xll.BDH("XAG Curncy","PX_LAST",N449,N449)</f>
        <v>28.822900000000001</v>
      </c>
      <c r="Q449" s="15" t="str" cm="1">
        <f t="array" ref="Q449">_xll.BDP("SIz4 Comdty",$M$32)</f>
        <v>02/12/2024</v>
      </c>
      <c r="R449" s="15">
        <f t="shared" si="231"/>
        <v>84</v>
      </c>
      <c r="S449" s="23">
        <v>5.3499999999999999E-2</v>
      </c>
      <c r="T449" s="21">
        <f t="shared" si="206"/>
        <v>0.35980586833333333</v>
      </c>
      <c r="U449" s="12">
        <v>0.35499999999999998</v>
      </c>
      <c r="V449" s="68">
        <f t="shared" si="207"/>
        <v>-0.48058683333333518</v>
      </c>
      <c r="W449" s="15">
        <v>15</v>
      </c>
      <c r="X449" s="15">
        <v>20</v>
      </c>
      <c r="Y449" s="15">
        <v>25</v>
      </c>
      <c r="Z449" s="18">
        <f t="shared" si="223"/>
        <v>35.980586833333334</v>
      </c>
      <c r="AA449" s="18">
        <f t="shared" si="215"/>
        <v>35.5</v>
      </c>
      <c r="AB449" s="18">
        <f t="shared" si="224"/>
        <v>-0.48058683333333518</v>
      </c>
      <c r="AC449" s="15"/>
      <c r="AD449" s="15"/>
      <c r="AE449" s="44" cm="1">
        <f t="array" ref="AE449">_xll.BDH("COMXGOLD Comdty","PX_Last", N449)</f>
        <v>17011410.52</v>
      </c>
      <c r="AF449" s="15" t="s">
        <v>45</v>
      </c>
      <c r="AG449" s="44" cm="1">
        <f t="array" ref="AG449">_xll.BDH(AF449,"FUT_AGGTE_OPEN_INT",A449)</f>
        <v>511282</v>
      </c>
      <c r="AH449" s="44">
        <f t="shared" si="225"/>
        <v>51128200</v>
      </c>
      <c r="AI449" s="48">
        <f t="shared" si="226"/>
        <v>0.33272070051361086</v>
      </c>
      <c r="AK449" s="44" cm="1">
        <f t="array" ref="AK449">_xll.BDH("COMXSILV Comdty","PX_Last", N449)</f>
        <v>306017.56</v>
      </c>
      <c r="AL449" s="15" t="s">
        <v>46</v>
      </c>
      <c r="AM449" s="47" cm="1">
        <f t="array" ref="AM449">_xll.BDH(AL449,"FUT_AGGTE_OPEN_INT",A449)</f>
        <v>128604</v>
      </c>
      <c r="AN449" s="45">
        <f t="shared" si="227"/>
        <v>475.90675251158592</v>
      </c>
      <c r="AO449" s="46">
        <f t="shared" si="228"/>
        <v>30601756000</v>
      </c>
      <c r="AP449" s="46">
        <f t="shared" si="229"/>
        <v>643020</v>
      </c>
    </row>
    <row r="450" spans="1:42" x14ac:dyDescent="0.2">
      <c r="A450" s="24">
        <v>45541</v>
      </c>
      <c r="B450" s="16" cm="1">
        <f t="array" ref="B450">_xll.BADDPERIODS(A450, "PER=WD", "NUMBEROFPERIODS=2", "BUSDAYADJ=-2", "CDR=GQ", "CDR=P9")</f>
        <v>45545</v>
      </c>
      <c r="C450" s="15" cm="1">
        <f t="array" ref="C450">_xll.BDH("XAU Curncy","PX_LAST",A450,A450)</f>
        <v>2497.41</v>
      </c>
      <c r="D450" s="15" t="str" cm="1">
        <f t="array" ref="D450">_xll.BDP("GCz4 Comdty",$M$32)</f>
        <v>02/12/2024</v>
      </c>
      <c r="E450" s="15">
        <f t="shared" si="230"/>
        <v>83</v>
      </c>
      <c r="F450" s="23">
        <v>5.1200000000000002E-2</v>
      </c>
      <c r="G450" s="28">
        <f t="shared" si="216"/>
        <v>29.480537600000002</v>
      </c>
      <c r="H450" s="12">
        <v>29.5</v>
      </c>
      <c r="I450" s="69">
        <f t="shared" si="217"/>
        <v>1.9462399999998325E-2</v>
      </c>
      <c r="J450" s="26">
        <v>4</v>
      </c>
      <c r="K450" s="26">
        <v>6</v>
      </c>
      <c r="L450" s="26">
        <v>8</v>
      </c>
      <c r="N450" s="24">
        <v>45541</v>
      </c>
      <c r="O450" s="16" cm="1">
        <f t="array" ref="O450">_xll.BADDPERIODS(N450, "PER=WD", "NUMBEROFPERIODS=2", "BUSDAYADJ=-2", "CDR=GQ", "CDR=P9")</f>
        <v>45545</v>
      </c>
      <c r="P450" s="15" cm="1">
        <f t="array" ref="P450">_xll.BDH("XAG Curncy","PX_LAST",N450,N450)</f>
        <v>27.934999999999999</v>
      </c>
      <c r="Q450" s="15" t="str" cm="1">
        <f t="array" ref="Q450">_xll.BDP("SIz4 Comdty",$M$32)</f>
        <v>02/12/2024</v>
      </c>
      <c r="R450" s="15">
        <f t="shared" si="231"/>
        <v>83</v>
      </c>
      <c r="S450" s="23">
        <v>5.2499999999999998E-2</v>
      </c>
      <c r="T450" s="21">
        <f t="shared" si="206"/>
        <v>0.33812989583333336</v>
      </c>
      <c r="U450" s="12">
        <v>0.33550000000000002</v>
      </c>
      <c r="V450" s="68">
        <f t="shared" si="207"/>
        <v>-0.262989583333334</v>
      </c>
      <c r="W450" s="15">
        <v>15</v>
      </c>
      <c r="X450" s="15">
        <v>20</v>
      </c>
      <c r="Y450" s="15">
        <v>25</v>
      </c>
      <c r="Z450" s="18">
        <f t="shared" si="223"/>
        <v>33.812989583333334</v>
      </c>
      <c r="AA450" s="18">
        <f t="shared" si="215"/>
        <v>33.550000000000004</v>
      </c>
      <c r="AB450" s="18">
        <f t="shared" si="224"/>
        <v>-0.262989583333334</v>
      </c>
      <c r="AC450" s="15"/>
      <c r="AD450" s="15"/>
      <c r="AE450" s="44" cm="1">
        <f t="array" ref="AE450">_xll.BDH("COMXGOLD Comdty","PX_Last", N450)</f>
        <v>17037234.269000001</v>
      </c>
      <c r="AF450" s="15" t="s">
        <v>45</v>
      </c>
      <c r="AG450" s="44" cm="1">
        <f t="array" ref="AG450">_xll.BDH(AF450,"FUT_AGGTE_OPEN_INT",A450)</f>
        <v>507787</v>
      </c>
      <c r="AH450" s="44">
        <f t="shared" si="225"/>
        <v>50778700</v>
      </c>
      <c r="AI450" s="48">
        <f t="shared" si="226"/>
        <v>0.3355193076821581</v>
      </c>
      <c r="AK450" s="44" cm="1">
        <f t="array" ref="AK450">_xll.BDH("COMXSILV Comdty","PX_Last", N450)</f>
        <v>306016.53000000003</v>
      </c>
      <c r="AL450" s="15" t="s">
        <v>46</v>
      </c>
      <c r="AM450" s="47" cm="1">
        <f t="array" ref="AM450">_xll.BDH(AL450,"FUT_AGGTE_OPEN_INT",A450)</f>
        <v>129446</v>
      </c>
      <c r="AN450" s="45">
        <f t="shared" si="227"/>
        <v>472.80955765338445</v>
      </c>
      <c r="AO450" s="46">
        <f t="shared" si="228"/>
        <v>30601653000.000004</v>
      </c>
      <c r="AP450" s="46">
        <f t="shared" si="229"/>
        <v>647230</v>
      </c>
    </row>
    <row r="451" spans="1:42" x14ac:dyDescent="0.2">
      <c r="A451" s="24">
        <v>45544</v>
      </c>
      <c r="B451" s="16" cm="1">
        <f t="array" ref="B451">_xll.BADDPERIODS(A451, "PER=WD", "NUMBEROFPERIODS=2", "BUSDAYADJ=-2", "CDR=GQ", "CDR=P9")</f>
        <v>45546</v>
      </c>
      <c r="C451" s="15" cm="1">
        <f t="array" ref="C451">_xll.BDH("XAU Curncy","PX_LAST",A451,A451)</f>
        <v>2506.38</v>
      </c>
      <c r="D451" s="15" t="str" cm="1">
        <f t="array" ref="D451">_xll.BDP("GCz4 Comdty",$M$32)</f>
        <v>02/12/2024</v>
      </c>
      <c r="E451" s="15">
        <f t="shared" si="230"/>
        <v>82</v>
      </c>
      <c r="F451" s="23">
        <v>5.1200000000000002E-2</v>
      </c>
      <c r="G451" s="28">
        <f t="shared" si="216"/>
        <v>29.229960533333337</v>
      </c>
      <c r="H451" s="12">
        <v>29.3</v>
      </c>
      <c r="I451" s="69">
        <f t="shared" si="217"/>
        <v>7.0039466666663941E-2</v>
      </c>
      <c r="J451" s="26">
        <v>4</v>
      </c>
      <c r="K451" s="26">
        <v>6</v>
      </c>
      <c r="L451" s="26">
        <v>8</v>
      </c>
      <c r="N451" s="24">
        <v>45544</v>
      </c>
      <c r="O451" s="16" cm="1">
        <f t="array" ref="O451">_xll.BADDPERIODS(N451, "PER=WD", "NUMBEROFPERIODS=2", "BUSDAYADJ=-2", "CDR=GQ", "CDR=P9")</f>
        <v>45546</v>
      </c>
      <c r="P451" s="15" cm="1">
        <f t="array" ref="P451">_xll.BDH("XAG Curncy","PX_LAST",N451,N451)</f>
        <v>28.3459</v>
      </c>
      <c r="Q451" s="15" t="str" cm="1">
        <f t="array" ref="Q451">_xll.BDP("SIz4 Comdty",$M$32)</f>
        <v>02/12/2024</v>
      </c>
      <c r="R451" s="15">
        <f t="shared" si="231"/>
        <v>82</v>
      </c>
      <c r="S451" s="23">
        <v>5.33E-2</v>
      </c>
      <c r="T451" s="21">
        <f t="shared" si="206"/>
        <v>0.34413497372222224</v>
      </c>
      <c r="U451" s="12">
        <v>0.35499999999999998</v>
      </c>
      <c r="V451" s="68">
        <f t="shared" si="207"/>
        <v>1.0865026277777745</v>
      </c>
      <c r="W451" s="15">
        <v>15</v>
      </c>
      <c r="X451" s="15">
        <v>20</v>
      </c>
      <c r="Y451" s="15">
        <v>25</v>
      </c>
      <c r="Z451" s="18">
        <f t="shared" si="223"/>
        <v>34.413497372222224</v>
      </c>
      <c r="AA451" s="18">
        <f t="shared" si="215"/>
        <v>35.5</v>
      </c>
      <c r="AB451" s="18">
        <f t="shared" si="224"/>
        <v>1.0865026277777745</v>
      </c>
      <c r="AC451" s="15"/>
      <c r="AD451" s="15"/>
      <c r="AE451" s="44" cm="1">
        <f t="array" ref="AE451">_xll.BDH("COMXGOLD Comdty","PX_Last", N451)</f>
        <v>17037234.269000001</v>
      </c>
      <c r="AF451" s="15" t="s">
        <v>45</v>
      </c>
      <c r="AG451" s="44" cm="1">
        <f t="array" ref="AG451">_xll.BDH(AF451,"FUT_AGGTE_OPEN_INT",A451)</f>
        <v>506476</v>
      </c>
      <c r="AH451" s="44">
        <f t="shared" si="225"/>
        <v>50647600</v>
      </c>
      <c r="AI451" s="48">
        <f t="shared" si="226"/>
        <v>0.33638779071466368</v>
      </c>
      <c r="AK451" s="44" cm="1">
        <f t="array" ref="AK451">_xll.BDH("COMXSILV Comdty","PX_Last", N451)</f>
        <v>306575.19</v>
      </c>
      <c r="AL451" s="15" t="s">
        <v>46</v>
      </c>
      <c r="AM451" s="47" cm="1">
        <f t="array" ref="AM451">_xll.BDH(AL451,"FUT_AGGTE_OPEN_INT",A451)</f>
        <v>128605</v>
      </c>
      <c r="AN451" s="45">
        <f t="shared" si="227"/>
        <v>476.77024999028026</v>
      </c>
      <c r="AO451" s="46">
        <f t="shared" si="228"/>
        <v>30657519000</v>
      </c>
      <c r="AP451" s="46">
        <f t="shared" si="229"/>
        <v>643025</v>
      </c>
    </row>
    <row r="452" spans="1:42" x14ac:dyDescent="0.2">
      <c r="A452" s="24">
        <v>45545</v>
      </c>
      <c r="B452" s="16" cm="1">
        <f t="array" ref="B452">_xll.BADDPERIODS(A452, "PER=WD", "NUMBEROFPERIODS=2", "BUSDAYADJ=-2", "CDR=GQ", "CDR=P9")</f>
        <v>45547</v>
      </c>
      <c r="C452" s="15" cm="1">
        <f t="array" ref="C452">_xll.BDH("XAU Curncy","PX_LAST",A452,A452)</f>
        <v>2516.73</v>
      </c>
      <c r="D452" s="15" t="str" cm="1">
        <f t="array" ref="D452">_xll.BDP("GCz4 Comdty",$M$32)</f>
        <v>02/12/2024</v>
      </c>
      <c r="E452" s="15">
        <f t="shared" si="230"/>
        <v>81</v>
      </c>
      <c r="F452" s="23">
        <v>5.1200000000000002E-2</v>
      </c>
      <c r="G452" s="28">
        <f t="shared" si="216"/>
        <v>28.992729600000004</v>
      </c>
      <c r="H452" s="12">
        <v>29.2</v>
      </c>
      <c r="I452" s="69">
        <f t="shared" si="217"/>
        <v>0.20727039999999519</v>
      </c>
      <c r="J452" s="26">
        <v>4</v>
      </c>
      <c r="K452" s="26">
        <v>6</v>
      </c>
      <c r="L452" s="26">
        <v>8</v>
      </c>
      <c r="N452" s="24">
        <v>45545</v>
      </c>
      <c r="O452" s="16" cm="1">
        <f t="array" ref="O452">_xll.BADDPERIODS(N452, "PER=WD", "NUMBEROFPERIODS=2", "BUSDAYADJ=-2", "CDR=GQ", "CDR=P9")</f>
        <v>45547</v>
      </c>
      <c r="P452" s="15" cm="1">
        <f t="array" ref="P452">_xll.BDH("XAG Curncy","PX_LAST",N452,N452)</f>
        <v>28.401900000000001</v>
      </c>
      <c r="Q452" s="15" t="str" cm="1">
        <f t="array" ref="Q452">_xll.BDP("SIz4 Comdty",$M$32)</f>
        <v>02/12/2024</v>
      </c>
      <c r="R452" s="15">
        <f t="shared" si="231"/>
        <v>81</v>
      </c>
      <c r="S452" s="23">
        <v>5.2999999999999999E-2</v>
      </c>
      <c r="T452" s="21">
        <f t="shared" si="206"/>
        <v>0.33869265749999999</v>
      </c>
      <c r="U452" s="12">
        <v>0.34</v>
      </c>
      <c r="V452" s="68">
        <f t="shared" si="207"/>
        <v>0.13073425000000305</v>
      </c>
      <c r="W452" s="15">
        <v>15</v>
      </c>
      <c r="X452" s="15">
        <v>20</v>
      </c>
      <c r="Y452" s="15">
        <v>25</v>
      </c>
      <c r="Z452" s="18">
        <f t="shared" si="223"/>
        <v>33.869265749999997</v>
      </c>
      <c r="AA452" s="18">
        <f t="shared" si="215"/>
        <v>34</v>
      </c>
      <c r="AB452" s="18">
        <f t="shared" si="224"/>
        <v>0.13073425000000305</v>
      </c>
      <c r="AC452" s="15"/>
      <c r="AD452" s="15"/>
      <c r="AE452" s="44" cm="1">
        <f t="array" ref="AE452">_xll.BDH("COMXGOLD Comdty","PX_Last", N452)</f>
        <v>17067336.861000001</v>
      </c>
      <c r="AF452" s="15" t="s">
        <v>45</v>
      </c>
      <c r="AG452" s="44" cm="1">
        <f t="array" ref="AG452">_xll.BDH(AF452,"FUT_AGGTE_OPEN_INT",A452)</f>
        <v>511501</v>
      </c>
      <c r="AH452" s="44">
        <f t="shared" si="225"/>
        <v>51150100</v>
      </c>
      <c r="AI452" s="48">
        <f t="shared" si="226"/>
        <v>0.33367162255792271</v>
      </c>
      <c r="AK452" s="44" cm="1">
        <f t="array" ref="AK452">_xll.BDH("COMXSILV Comdty","PX_Last", N452)</f>
        <v>306892.06</v>
      </c>
      <c r="AL452" s="15" t="s">
        <v>46</v>
      </c>
      <c r="AM452" s="47" cm="1">
        <f t="array" ref="AM452">_xll.BDH(AL452,"FUT_AGGTE_OPEN_INT",A452)</f>
        <v>128959</v>
      </c>
      <c r="AN452" s="45">
        <f t="shared" si="227"/>
        <v>475.95291526764316</v>
      </c>
      <c r="AO452" s="46">
        <f t="shared" si="228"/>
        <v>30689206000</v>
      </c>
      <c r="AP452" s="46">
        <f t="shared" si="229"/>
        <v>644795</v>
      </c>
    </row>
    <row r="453" spans="1:42" x14ac:dyDescent="0.2">
      <c r="A453" s="24">
        <v>45546</v>
      </c>
      <c r="B453" s="16" cm="1">
        <f t="array" ref="B453">_xll.BADDPERIODS(A453, "PER=WD", "NUMBEROFPERIODS=2", "BUSDAYADJ=-2", "CDR=GQ", "CDR=P9")</f>
        <v>45548</v>
      </c>
      <c r="C453" s="15" cm="1">
        <f t="array" ref="C453">_xll.BDH("XAU Curncy","PX_LAST",A453,A453)</f>
        <v>2511.7600000000002</v>
      </c>
      <c r="D453" s="15" t="str" cm="1">
        <f t="array" ref="D453">_xll.BDP("GCz4 Comdty",$M$32)</f>
        <v>02/12/2024</v>
      </c>
      <c r="E453" s="15">
        <f t="shared" si="230"/>
        <v>80</v>
      </c>
      <c r="F453" s="23">
        <v>5.1200000000000002E-2</v>
      </c>
      <c r="G453" s="28">
        <f t="shared" si="216"/>
        <v>28.578247111111111</v>
      </c>
      <c r="H453" s="12">
        <v>29</v>
      </c>
      <c r="I453" s="69">
        <f t="shared" si="217"/>
        <v>0.42175288888888929</v>
      </c>
      <c r="J453" s="26">
        <v>4</v>
      </c>
      <c r="K453" s="26">
        <v>6</v>
      </c>
      <c r="L453" s="26">
        <v>8</v>
      </c>
      <c r="N453" s="24">
        <v>45546</v>
      </c>
      <c r="O453" s="16" cm="1">
        <f t="array" ref="O453">_xll.BADDPERIODS(N453, "PER=WD", "NUMBEROFPERIODS=2", "BUSDAYADJ=-2", "CDR=GQ", "CDR=P9")</f>
        <v>45548</v>
      </c>
      <c r="P453" s="15" cm="1">
        <f t="array" ref="P453">_xll.BDH("XAG Curncy","PX_LAST",N453,N453)</f>
        <v>28.677</v>
      </c>
      <c r="Q453" s="15" t="str" cm="1">
        <f t="array" ref="Q453">_xll.BDP("SIz4 Comdty",$M$32)</f>
        <v>02/12/2024</v>
      </c>
      <c r="R453" s="15">
        <f t="shared" si="231"/>
        <v>80</v>
      </c>
      <c r="S453" s="23">
        <v>5.3199999999999997E-2</v>
      </c>
      <c r="T453" s="21">
        <f t="shared" si="206"/>
        <v>0.33902586666666662</v>
      </c>
      <c r="U453" s="12">
        <v>0.33500000000000002</v>
      </c>
      <c r="V453" s="68">
        <f t="shared" si="207"/>
        <v>-0.40258666666665999</v>
      </c>
      <c r="W453" s="15">
        <v>15</v>
      </c>
      <c r="X453" s="15">
        <v>20</v>
      </c>
      <c r="Y453" s="15">
        <v>25</v>
      </c>
      <c r="Z453" s="18">
        <f t="shared" si="223"/>
        <v>33.902586666666664</v>
      </c>
      <c r="AA453" s="18">
        <f t="shared" si="215"/>
        <v>33.5</v>
      </c>
      <c r="AB453" s="18">
        <f t="shared" si="224"/>
        <v>-0.40258666666665999</v>
      </c>
      <c r="AC453" s="15"/>
      <c r="AD453" s="15"/>
      <c r="AE453" s="44" cm="1">
        <f t="array" ref="AE453">_xll.BDH("COMXGOLD Comdty","PX_Last", N453)</f>
        <v>17067336.861000001</v>
      </c>
      <c r="AF453" s="15" t="s">
        <v>45</v>
      </c>
      <c r="AG453" s="44" cm="1">
        <f t="array" ref="AG453">_xll.BDH(AF453,"FUT_AGGTE_OPEN_INT",A453)</f>
        <v>513469</v>
      </c>
      <c r="AH453" s="44">
        <f t="shared" si="225"/>
        <v>51346900</v>
      </c>
      <c r="AI453" s="48">
        <f t="shared" si="226"/>
        <v>0.33239274154817527</v>
      </c>
      <c r="AK453" s="44" cm="1">
        <f t="array" ref="AK453">_xll.BDH("COMXSILV Comdty","PX_Last", N453)</f>
        <v>305952.28000000003</v>
      </c>
      <c r="AL453" s="15" t="s">
        <v>46</v>
      </c>
      <c r="AM453" s="47" cm="1">
        <f t="array" ref="AM453">_xll.BDH(AL453,"FUT_AGGTE_OPEN_INT",A453)</f>
        <v>130075</v>
      </c>
      <c r="AN453" s="45">
        <f t="shared" si="227"/>
        <v>470.42441668268316</v>
      </c>
      <c r="AO453" s="46">
        <f t="shared" si="228"/>
        <v>30595228000.000004</v>
      </c>
      <c r="AP453" s="46">
        <f t="shared" si="229"/>
        <v>650375</v>
      </c>
    </row>
    <row r="454" spans="1:42" x14ac:dyDescent="0.2">
      <c r="A454" s="24">
        <v>45547</v>
      </c>
      <c r="B454" s="16" cm="1">
        <f t="array" ref="B454">_xll.BADDPERIODS(A454, "PER=WD", "NUMBEROFPERIODS=2", "BUSDAYADJ=-2", "CDR=GQ", "CDR=P9")</f>
        <v>45551</v>
      </c>
      <c r="C454" s="15" cm="1">
        <f t="array" ref="C454">_xll.BDH("XAU Curncy","PX_LAST",A454,A454)</f>
        <v>2557.9</v>
      </c>
      <c r="D454" s="15" t="str" cm="1">
        <f t="array" ref="D454">_xll.BDP("GCz4 Comdty",$M$32)</f>
        <v>02/12/2024</v>
      </c>
      <c r="E454" s="15">
        <f t="shared" si="230"/>
        <v>77</v>
      </c>
      <c r="F454" s="23">
        <v>5.1499999999999997E-2</v>
      </c>
      <c r="G454" s="28">
        <f t="shared" si="216"/>
        <v>28.175979027777775</v>
      </c>
      <c r="H454" s="12">
        <v>28.4</v>
      </c>
      <c r="I454" s="69">
        <f t="shared" si="217"/>
        <v>0.22402097222222395</v>
      </c>
      <c r="J454" s="26">
        <v>4</v>
      </c>
      <c r="K454" s="26">
        <v>6</v>
      </c>
      <c r="L454" s="26">
        <v>8</v>
      </c>
      <c r="N454" s="24">
        <v>45547</v>
      </c>
      <c r="O454" s="16" cm="1">
        <f t="array" ref="O454">_xll.BADDPERIODS(N454, "PER=WD", "NUMBEROFPERIODS=2", "BUSDAYADJ=-2", "CDR=GQ", "CDR=P9")</f>
        <v>45551</v>
      </c>
      <c r="P454" s="15" cm="1">
        <f t="array" ref="P454">_xll.BDH("XAG Curncy","PX_LAST",N454,N454)</f>
        <v>29.879200000000001</v>
      </c>
      <c r="Q454" s="15" t="str" cm="1">
        <f t="array" ref="Q454">_xll.BDP("SIz4 Comdty",$M$32)</f>
        <v>02/12/2024</v>
      </c>
      <c r="R454" s="15">
        <f t="shared" si="231"/>
        <v>77</v>
      </c>
      <c r="S454" s="23">
        <v>5.3199999999999997E-2</v>
      </c>
      <c r="T454" s="21">
        <f t="shared" si="206"/>
        <v>0.33999209688888887</v>
      </c>
      <c r="U454" s="12">
        <v>0.33</v>
      </c>
      <c r="V454" s="68">
        <f t="shared" si="207"/>
        <v>-0.99920968888888573</v>
      </c>
      <c r="W454" s="15">
        <v>15</v>
      </c>
      <c r="X454" s="15">
        <v>20</v>
      </c>
      <c r="Y454" s="15">
        <v>25</v>
      </c>
      <c r="Z454" s="18">
        <f t="shared" si="223"/>
        <v>33.99920968888889</v>
      </c>
      <c r="AA454" s="18">
        <f t="shared" si="215"/>
        <v>33</v>
      </c>
      <c r="AB454" s="18">
        <f t="shared" si="224"/>
        <v>-0.99920968888888573</v>
      </c>
      <c r="AC454" s="15"/>
      <c r="AD454" s="15"/>
      <c r="AE454" s="44" cm="1">
        <f t="array" ref="AE454">_xll.BDH("COMXGOLD Comdty","PX_Last", N454)</f>
        <v>17038434.827</v>
      </c>
      <c r="AF454" s="15" t="s">
        <v>45</v>
      </c>
      <c r="AG454" s="44" cm="1">
        <f t="array" ref="AG454">_xll.BDH(AF454,"FUT_AGGTE_OPEN_INT",A454)</f>
        <v>536025</v>
      </c>
      <c r="AH454" s="44">
        <f t="shared" si="225"/>
        <v>53602500</v>
      </c>
      <c r="AI454" s="48">
        <f t="shared" si="226"/>
        <v>0.31786642091320366</v>
      </c>
      <c r="AK454" s="44" cm="1">
        <f t="array" ref="AK454">_xll.BDH("COMXSILV Comdty","PX_Last", N454)</f>
        <v>306156.59000000003</v>
      </c>
      <c r="AL454" s="15" t="s">
        <v>46</v>
      </c>
      <c r="AM454" s="47" cm="1">
        <f t="array" ref="AM454">_xll.BDH(AL454,"FUT_AGGTE_OPEN_INT",A454)</f>
        <v>132356</v>
      </c>
      <c r="AN454" s="45">
        <f t="shared" si="227"/>
        <v>462.62593308954644</v>
      </c>
      <c r="AO454" s="46">
        <f t="shared" si="228"/>
        <v>30615659000.000004</v>
      </c>
      <c r="AP454" s="46">
        <f t="shared" si="229"/>
        <v>661780</v>
      </c>
    </row>
    <row r="455" spans="1:42" x14ac:dyDescent="0.2">
      <c r="A455" s="24">
        <v>45548</v>
      </c>
      <c r="B455" s="16" cm="1">
        <f t="array" ref="B455">_xll.BADDPERIODS(A455, "PER=WD", "NUMBEROFPERIODS=2", "BUSDAYADJ=-2", "CDR=GQ", "CDR=P9")</f>
        <v>45552</v>
      </c>
      <c r="C455" s="15" cm="1">
        <f t="array" ref="C455">_xll.BDH("XAU Curncy","PX_LAST",A455,A455)</f>
        <v>2577.6999999999998</v>
      </c>
      <c r="D455" s="15" t="str" cm="1">
        <f t="array" ref="D455">_xll.BDP("GCz4 Comdty",$M$32)</f>
        <v>02/12/2024</v>
      </c>
      <c r="E455" s="15">
        <f t="shared" si="230"/>
        <v>76</v>
      </c>
      <c r="F455" s="23">
        <v>5.1499999999999997E-2</v>
      </c>
      <c r="G455" s="28">
        <f t="shared" si="216"/>
        <v>28.025327222222217</v>
      </c>
      <c r="H455" s="12">
        <v>28.1</v>
      </c>
      <c r="I455" s="69">
        <f t="shared" si="217"/>
        <v>7.4672777777784916E-2</v>
      </c>
      <c r="J455" s="26">
        <v>4</v>
      </c>
      <c r="K455" s="26">
        <v>6</v>
      </c>
      <c r="L455" s="26">
        <v>8</v>
      </c>
      <c r="N455" s="24">
        <v>45548</v>
      </c>
      <c r="O455" s="16" cm="1">
        <f t="array" ref="O455">_xll.BADDPERIODS(N455, "PER=WD", "NUMBEROFPERIODS=2", "BUSDAYADJ=-2", "CDR=GQ", "CDR=P9")</f>
        <v>45552</v>
      </c>
      <c r="P455" s="15" cm="1">
        <f t="array" ref="P455">_xll.BDH("XAG Curncy","PX_LAST",N455,N455)</f>
        <v>30.719000000000001</v>
      </c>
      <c r="Q455" s="15" t="str" cm="1">
        <f t="array" ref="Q455">_xll.BDP("SIz4 Comdty",$M$32)</f>
        <v>02/12/2024</v>
      </c>
      <c r="R455" s="15">
        <f t="shared" si="231"/>
        <v>76</v>
      </c>
      <c r="S455" s="23">
        <v>5.2499999999999998E-2</v>
      </c>
      <c r="T455" s="21">
        <f t="shared" si="206"/>
        <v>0.34046891666666668</v>
      </c>
      <c r="U455" s="12">
        <v>0.35</v>
      </c>
      <c r="V455" s="68">
        <f t="shared" si="207"/>
        <v>0.95310833333333012</v>
      </c>
      <c r="W455" s="15">
        <v>15</v>
      </c>
      <c r="X455" s="15">
        <v>20</v>
      </c>
      <c r="Y455" s="15">
        <v>25</v>
      </c>
      <c r="Z455" s="18">
        <f t="shared" si="223"/>
        <v>34.046891666666667</v>
      </c>
      <c r="AA455" s="18">
        <f t="shared" si="215"/>
        <v>35</v>
      </c>
      <c r="AB455" s="18">
        <f t="shared" si="224"/>
        <v>0.95310833333333012</v>
      </c>
      <c r="AC455" s="15"/>
      <c r="AD455" s="15"/>
      <c r="AE455" s="44" cm="1">
        <f t="array" ref="AE455">_xll.BDH("COMXGOLD Comdty","PX_Last", N455)</f>
        <v>16970724.820999999</v>
      </c>
      <c r="AF455" s="15" t="s">
        <v>45</v>
      </c>
      <c r="AG455" s="44" cm="1">
        <f t="array" ref="AG455">_xll.BDH(AF455,"FUT_AGGTE_OPEN_INT",A455)</f>
        <v>544348</v>
      </c>
      <c r="AH455" s="44">
        <f t="shared" si="225"/>
        <v>54434800</v>
      </c>
      <c r="AI455" s="48">
        <f t="shared" si="226"/>
        <v>0.31176241707510632</v>
      </c>
      <c r="AK455" s="44" cm="1">
        <f t="array" ref="AK455">_xll.BDH("COMXSILV Comdty","PX_Last", N455)</f>
        <v>306139.84000000003</v>
      </c>
      <c r="AL455" s="15" t="s">
        <v>46</v>
      </c>
      <c r="AM455" s="47" cm="1">
        <f t="array" ref="AM455">_xll.BDH(AL455,"FUT_AGGTE_OPEN_INT",A455)</f>
        <v>137204</v>
      </c>
      <c r="AN455" s="45">
        <f t="shared" si="227"/>
        <v>446.25497798897993</v>
      </c>
      <c r="AO455" s="46">
        <f t="shared" si="228"/>
        <v>30613984000.000004</v>
      </c>
      <c r="AP455" s="46">
        <f t="shared" si="229"/>
        <v>686020</v>
      </c>
    </row>
    <row r="456" spans="1:42" x14ac:dyDescent="0.2">
      <c r="A456" s="24">
        <v>45551</v>
      </c>
      <c r="B456" s="16" cm="1">
        <f t="array" ref="B456">_xll.BADDPERIODS(A456, "PER=WD", "NUMBEROFPERIODS=2", "BUSDAYADJ=-2", "CDR=GQ", "CDR=P9")</f>
        <v>45553</v>
      </c>
      <c r="C456" s="15" cm="1">
        <f t="array" ref="C456">_xll.BDH("XAU Curncy","PX_LAST",A456,A456)</f>
        <v>2582.4499999999998</v>
      </c>
      <c r="D456" s="15" t="str" cm="1">
        <f t="array" ref="D456">_xll.BDP("GCz4 Comdty",$M$32)</f>
        <v>02/12/2024</v>
      </c>
      <c r="E456" s="15">
        <f t="shared" si="230"/>
        <v>75</v>
      </c>
      <c r="F456" s="23">
        <v>5.0700000000000002E-2</v>
      </c>
      <c r="G456" s="28">
        <f t="shared" si="216"/>
        <v>27.277128125000001</v>
      </c>
      <c r="H456" s="12">
        <v>27.8</v>
      </c>
      <c r="I456" s="69">
        <f t="shared" si="217"/>
        <v>0.52287187499999987</v>
      </c>
      <c r="J456" s="26">
        <v>4</v>
      </c>
      <c r="K456" s="26">
        <v>6</v>
      </c>
      <c r="L456" s="26">
        <v>8</v>
      </c>
      <c r="N456" s="24">
        <v>45551</v>
      </c>
      <c r="O456" s="16" cm="1">
        <f t="array" ref="O456">_xll.BADDPERIODS(N456, "PER=WD", "NUMBEROFPERIODS=2", "BUSDAYADJ=-2", "CDR=GQ", "CDR=P9")</f>
        <v>45553</v>
      </c>
      <c r="P456" s="15" cm="1">
        <f t="array" ref="P456">_xll.BDH("XAG Curncy","PX_LAST",N456,N456)</f>
        <v>30.732299999999999</v>
      </c>
      <c r="Q456" s="15" t="str" cm="1">
        <f t="array" ref="Q456">_xll.BDP("SIz4 Comdty",$M$32)</f>
        <v>02/12/2024</v>
      </c>
      <c r="R456" s="15">
        <f t="shared" ref="R456" si="232">_xlfn.DAYS(Q456,O456)</f>
        <v>75</v>
      </c>
      <c r="S456" s="23">
        <v>5.1999999999999998E-2</v>
      </c>
      <c r="T456" s="21">
        <f t="shared" si="206"/>
        <v>0.33293325000000001</v>
      </c>
      <c r="U456" s="12">
        <v>0.37</v>
      </c>
      <c r="V456" s="70">
        <f t="shared" si="207"/>
        <v>3.7066749999999979</v>
      </c>
      <c r="W456" s="15">
        <v>15</v>
      </c>
      <c r="X456" s="15">
        <v>20</v>
      </c>
      <c r="Y456" s="15">
        <v>25</v>
      </c>
      <c r="Z456" s="18">
        <f t="shared" si="223"/>
        <v>33.293325000000003</v>
      </c>
      <c r="AA456" s="18">
        <f t="shared" si="215"/>
        <v>37</v>
      </c>
      <c r="AB456" s="18">
        <f t="shared" si="224"/>
        <v>3.7066749999999979</v>
      </c>
      <c r="AC456" s="15"/>
      <c r="AD456" s="15"/>
      <c r="AE456" s="44" cm="1">
        <f t="array" ref="AE456">_xll.BDH("COMXGOLD Comdty","PX_Last", N456)</f>
        <v>16970660.519000001</v>
      </c>
      <c r="AF456" s="15" t="s">
        <v>45</v>
      </c>
      <c r="AG456" s="44" cm="1">
        <f t="array" ref="AG456">_xll.BDH(AF456,"FUT_AGGTE_OPEN_INT",A456)</f>
        <v>543330</v>
      </c>
      <c r="AH456" s="44">
        <f t="shared" si="225"/>
        <v>54333000</v>
      </c>
      <c r="AI456" s="48">
        <f t="shared" si="226"/>
        <v>0.31234536136418017</v>
      </c>
      <c r="AK456" s="44" cm="1">
        <f t="array" ref="AK456">_xll.BDH("COMXSILV Comdty","PX_Last", N456)</f>
        <v>305926.96999999997</v>
      </c>
      <c r="AL456" s="15" t="s">
        <v>46</v>
      </c>
      <c r="AM456" s="47" cm="1">
        <f t="array" ref="AM456">_xll.BDH(AL456,"FUT_AGGTE_OPEN_INT",A456)</f>
        <v>138956</v>
      </c>
      <c r="AN456" s="45">
        <f t="shared" si="227"/>
        <v>440.32207317424218</v>
      </c>
      <c r="AO456" s="46">
        <f t="shared" si="228"/>
        <v>30592696999.999996</v>
      </c>
      <c r="AP456" s="46">
        <f t="shared" si="229"/>
        <v>694780</v>
      </c>
    </row>
    <row r="457" spans="1:42" x14ac:dyDescent="0.2">
      <c r="A457" s="24">
        <v>45552</v>
      </c>
      <c r="B457" s="16" cm="1">
        <f t="array" ref="B457">_xll.BADDPERIODS(A457, "PER=WD", "NUMBEROFPERIODS=2", "BUSDAYADJ=-2", "CDR=GQ", "CDR=P9")</f>
        <v>45554</v>
      </c>
      <c r="C457" s="15" cm="1">
        <f t="array" ref="C457">_xll.BDH("XAU Curncy","PX_LAST",A457,A457)</f>
        <v>2569.5</v>
      </c>
      <c r="D457" s="15" t="str" cm="1">
        <f t="array" ref="D457">_xll.BDP("GCz4 Comdty",$M$32)</f>
        <v>02/12/2024</v>
      </c>
      <c r="E457" s="15">
        <f t="shared" si="230"/>
        <v>74</v>
      </c>
      <c r="F457" s="23">
        <v>5.0700000000000002E-2</v>
      </c>
      <c r="G457" s="28">
        <f t="shared" si="216"/>
        <v>26.778472499999999</v>
      </c>
      <c r="H457" s="12">
        <v>27.1</v>
      </c>
      <c r="I457" s="69">
        <f t="shared" si="217"/>
        <v>0.32152750000000196</v>
      </c>
      <c r="J457" s="26">
        <v>4</v>
      </c>
      <c r="K457" s="26">
        <v>6</v>
      </c>
      <c r="L457" s="26">
        <v>8</v>
      </c>
      <c r="N457" s="24">
        <v>45552</v>
      </c>
      <c r="O457" s="16" cm="1">
        <f t="array" ref="O457">_xll.BADDPERIODS(N457, "PER=WD", "NUMBEROFPERIODS=2", "BUSDAYADJ=-2", "CDR=GQ", "CDR=P9")</f>
        <v>45554</v>
      </c>
      <c r="P457" s="15" cm="1">
        <f t="array" ref="P457">_xll.BDH("XAG Curncy","PX_LAST",N457,N457)</f>
        <v>30.700800000000001</v>
      </c>
      <c r="Q457" s="15" t="str" cm="1">
        <f t="array" ref="Q457">_xll.BDP("SIz4 Comdty",$M$32)</f>
        <v>02/12/2024</v>
      </c>
      <c r="R457" s="15">
        <f t="shared" ref="R457:R495" si="233">_xlfn.DAYS(Q457,O457)</f>
        <v>74</v>
      </c>
      <c r="S457" s="23">
        <v>5.1999999999999998E-2</v>
      </c>
      <c r="T457" s="21">
        <f t="shared" si="206"/>
        <v>0.32815743999999997</v>
      </c>
      <c r="U457" s="12">
        <v>0.35499999999999998</v>
      </c>
      <c r="V457" s="70">
        <f t="shared" si="207"/>
        <v>2.6842560000000013</v>
      </c>
      <c r="W457" s="15">
        <v>15</v>
      </c>
      <c r="X457" s="15">
        <v>20</v>
      </c>
      <c r="Y457" s="15">
        <v>25</v>
      </c>
      <c r="Z457" s="18">
        <f t="shared" si="223"/>
        <v>32.815743999999995</v>
      </c>
      <c r="AA457" s="18">
        <f t="shared" si="215"/>
        <v>35.5</v>
      </c>
      <c r="AB457" s="18">
        <f t="shared" si="224"/>
        <v>2.6842560000000013</v>
      </c>
      <c r="AC457" s="15"/>
      <c r="AD457" s="15"/>
      <c r="AE457" s="44" cm="1">
        <f t="array" ref="AE457">_xll.BDH("COMXGOLD Comdty","PX_Last", N457)</f>
        <v>16973660.159000002</v>
      </c>
      <c r="AF457" s="15" t="s">
        <v>45</v>
      </c>
      <c r="AG457" s="44" cm="1">
        <f t="array" ref="AG457">_xll.BDH(AF457,"FUT_AGGTE_OPEN_INT",A457)</f>
        <v>537627</v>
      </c>
      <c r="AH457" s="44">
        <f t="shared" si="225"/>
        <v>53762700</v>
      </c>
      <c r="AI457" s="48">
        <f t="shared" si="226"/>
        <v>0.3157144295022386</v>
      </c>
      <c r="AK457" s="44" cm="1">
        <f t="array" ref="AK457">_xll.BDH("COMXSILV Comdty","PX_Last", N457)</f>
        <v>306483.44</v>
      </c>
      <c r="AL457" s="15" t="s">
        <v>46</v>
      </c>
      <c r="AM457" s="47" cm="1">
        <f t="array" ref="AM457">_xll.BDH(AL457,"FUT_AGGTE_OPEN_INT",A457)</f>
        <v>140605</v>
      </c>
      <c r="AN457" s="45">
        <f t="shared" si="227"/>
        <v>435.94956082642864</v>
      </c>
      <c r="AO457" s="46">
        <f t="shared" si="228"/>
        <v>30648344000</v>
      </c>
      <c r="AP457" s="46">
        <f t="shared" si="229"/>
        <v>703025</v>
      </c>
    </row>
    <row r="458" spans="1:42" x14ac:dyDescent="0.2">
      <c r="A458" s="24">
        <v>45553</v>
      </c>
      <c r="B458" s="16" cm="1">
        <f t="array" ref="B458">_xll.BADDPERIODS(A458, "PER=WD", "NUMBEROFPERIODS=2", "BUSDAYADJ=-2", "CDR=GQ", "CDR=P9")</f>
        <v>45555</v>
      </c>
      <c r="C458" s="15" cm="1">
        <f t="array" ref="C458">_xll.BDH("XAU Curncy","PX_LAST",A458,A458)</f>
        <v>2558.91</v>
      </c>
      <c r="D458" s="15" t="str" cm="1">
        <f t="array" ref="D458">_xll.BDP("GCz4 Comdty",$M$32)</f>
        <v>02/12/2024</v>
      </c>
      <c r="E458" s="15">
        <f t="shared" si="230"/>
        <v>73</v>
      </c>
      <c r="F458" s="23">
        <v>5.0500000000000003E-2</v>
      </c>
      <c r="G458" s="28">
        <f t="shared" si="216"/>
        <v>26.203949208333334</v>
      </c>
      <c r="H458" s="12">
        <v>26.8</v>
      </c>
      <c r="I458" s="72">
        <f t="shared" si="217"/>
        <v>0.59605079166666641</v>
      </c>
      <c r="J458" s="26">
        <v>4</v>
      </c>
      <c r="K458" s="26">
        <v>6</v>
      </c>
      <c r="L458" s="26">
        <v>8</v>
      </c>
      <c r="N458" s="24">
        <v>45553</v>
      </c>
      <c r="O458" s="16" cm="1">
        <f t="array" ref="O458">_xll.BADDPERIODS(N458, "PER=WD", "NUMBEROFPERIODS=2", "BUSDAYADJ=-2", "CDR=GQ", "CDR=P9")</f>
        <v>45555</v>
      </c>
      <c r="P458" s="15" cm="1">
        <f t="array" ref="P458">_xll.BDH("XAG Curncy","PX_LAST",N458,N458)</f>
        <v>30.081199999999999</v>
      </c>
      <c r="Q458" s="15" t="str" cm="1">
        <f t="array" ref="Q458">_xll.BDP("SIz4 Comdty",$M$32)</f>
        <v>02/12/2024</v>
      </c>
      <c r="R458" s="15">
        <f t="shared" si="233"/>
        <v>73</v>
      </c>
      <c r="S458" s="23">
        <v>5.1499999999999997E-2</v>
      </c>
      <c r="T458" s="21">
        <f t="shared" si="206"/>
        <v>0.31413964277777773</v>
      </c>
      <c r="U458" s="12">
        <v>0.33</v>
      </c>
      <c r="V458" s="73">
        <f t="shared" si="207"/>
        <v>1.5860357222222288</v>
      </c>
      <c r="W458" s="15">
        <v>15</v>
      </c>
      <c r="X458" s="15">
        <v>20</v>
      </c>
      <c r="Y458" s="15">
        <v>25</v>
      </c>
      <c r="Z458" s="18">
        <f t="shared" si="223"/>
        <v>31.413964277777772</v>
      </c>
      <c r="AA458" s="18">
        <f t="shared" si="215"/>
        <v>33</v>
      </c>
      <c r="AB458" s="18">
        <f t="shared" si="224"/>
        <v>1.5860357222222288</v>
      </c>
      <c r="AC458" s="15"/>
      <c r="AD458" s="15"/>
      <c r="AE458" s="44" cm="1">
        <f t="array" ref="AE458">_xll.BDH("COMXGOLD Comdty","PX_Last", N458)</f>
        <v>16962761.238000002</v>
      </c>
      <c r="AF458" s="15" t="s">
        <v>45</v>
      </c>
      <c r="AG458" s="44" cm="1">
        <f t="array" ref="AG458">_xll.BDH(AF458,"FUT_AGGTE_OPEN_INT",A458)</f>
        <v>538269</v>
      </c>
      <c r="AH458" s="44">
        <f t="shared" si="225"/>
        <v>53826900</v>
      </c>
      <c r="AI458" s="48">
        <f t="shared" si="226"/>
        <v>0.3151353921180674</v>
      </c>
      <c r="AK458" s="44" cm="1">
        <f t="array" ref="AK458">_xll.BDH("COMXSILV Comdty","PX_Last", N458)</f>
        <v>305964.25</v>
      </c>
      <c r="AL458" s="15" t="s">
        <v>46</v>
      </c>
      <c r="AM458" s="47" cm="1">
        <f t="array" ref="AM458">_xll.BDH(AL458,"FUT_AGGTE_OPEN_INT",A458)</f>
        <v>141128</v>
      </c>
      <c r="AN458" s="45">
        <f t="shared" si="227"/>
        <v>433.5982228898589</v>
      </c>
      <c r="AO458" s="46">
        <f t="shared" si="228"/>
        <v>30596425000</v>
      </c>
      <c r="AP458" s="46">
        <f t="shared" si="229"/>
        <v>705640</v>
      </c>
    </row>
    <row r="459" spans="1:42" x14ac:dyDescent="0.2">
      <c r="A459" s="71">
        <v>45554</v>
      </c>
      <c r="B459" s="16" cm="1">
        <f t="array" ref="B459">_xll.BADDPERIODS(A459, "PER=WD", "NUMBEROFPERIODS=2", "BUSDAYADJ=-2", "CDR=GQ", "CDR=P9")</f>
        <v>45558</v>
      </c>
      <c r="C459" s="15" cm="1">
        <f t="array" ref="C459">_xll.BDH("XAU Curncy","PX_LAST",A459,A459)</f>
        <v>2586.7399999999998</v>
      </c>
      <c r="D459" s="15" t="str" cm="1">
        <f t="array" ref="D459">_xll.BDP("GCz4 Comdty",$M$32)</f>
        <v>02/12/2024</v>
      </c>
      <c r="E459" s="15">
        <f t="shared" si="230"/>
        <v>70</v>
      </c>
      <c r="F459" s="23">
        <v>5.0299999999999997E-2</v>
      </c>
      <c r="G459" s="28">
        <f t="shared" si="216"/>
        <v>25.299754277777772</v>
      </c>
      <c r="H459" s="12">
        <v>25.5</v>
      </c>
      <c r="I459" s="72">
        <f t="shared" si="217"/>
        <v>0.20024572222222758</v>
      </c>
      <c r="J459" s="26">
        <v>4</v>
      </c>
      <c r="K459" s="26">
        <v>6</v>
      </c>
      <c r="L459" s="26">
        <v>8</v>
      </c>
      <c r="N459" s="71">
        <v>45554</v>
      </c>
      <c r="O459" s="16" cm="1">
        <f t="array" ref="O459">_xll.BADDPERIODS(N459, "PER=WD", "NUMBEROFPERIODS=2", "BUSDAYADJ=-2", "CDR=GQ", "CDR=P9")</f>
        <v>45558</v>
      </c>
      <c r="P459" s="15" cm="1">
        <f t="array" ref="P459">_xll.BDH("XAG Curncy","PX_LAST",N459,N459)</f>
        <v>30.787500000000001</v>
      </c>
      <c r="Q459" s="15" t="str" cm="1">
        <f t="array" ref="Q459">_xll.BDP("SIz4 Comdty",$M$32)</f>
        <v>02/12/2024</v>
      </c>
      <c r="R459" s="15">
        <f t="shared" si="233"/>
        <v>70</v>
      </c>
      <c r="S459" s="23">
        <v>5.1499999999999997E-2</v>
      </c>
      <c r="T459" s="21">
        <f t="shared" si="206"/>
        <v>0.30830260416666672</v>
      </c>
      <c r="U459" s="12">
        <v>0.33</v>
      </c>
      <c r="V459" s="73">
        <f t="shared" si="207"/>
        <v>2.1697395833333299</v>
      </c>
      <c r="W459" s="15">
        <v>15</v>
      </c>
      <c r="X459" s="15">
        <v>20</v>
      </c>
      <c r="Y459" s="15">
        <v>25</v>
      </c>
      <c r="Z459" s="18">
        <f t="shared" si="223"/>
        <v>30.830260416666672</v>
      </c>
      <c r="AA459" s="18">
        <f t="shared" si="215"/>
        <v>33</v>
      </c>
      <c r="AB459" s="18">
        <f t="shared" si="224"/>
        <v>2.1697395833333299</v>
      </c>
      <c r="AE459" s="44" cm="1">
        <f t="array" ref="AE459">_xll.BDH("COMXGOLD Comdty","PX_Last", N459)</f>
        <v>16934211.149999999</v>
      </c>
      <c r="AF459" s="15" t="s">
        <v>45</v>
      </c>
      <c r="AG459" s="44" cm="1">
        <f t="array" ref="AG459">_xll.BDH(AF459,"FUT_AGGTE_OPEN_INT",A459)</f>
        <v>538832</v>
      </c>
      <c r="AH459" s="44">
        <f t="shared" ref="AH459:AH480" si="234">AG459*$AG$17</f>
        <v>53883200</v>
      </c>
      <c r="AI459" s="48">
        <f t="shared" ref="AI459:AI480" si="235">AE459/AH459</f>
        <v>0.31427627071146474</v>
      </c>
      <c r="AK459" s="44" cm="1">
        <f t="array" ref="AK459">_xll.BDH("COMXSILV Comdty","PX_Last", N459)</f>
        <v>305883.78000000003</v>
      </c>
      <c r="AL459" s="15" t="s">
        <v>46</v>
      </c>
      <c r="AM459" s="47" cm="1">
        <f t="array" ref="AM459">_xll.BDH(AL459,"FUT_AGGTE_OPEN_INT",A459)</f>
        <v>140761</v>
      </c>
      <c r="AN459" s="45">
        <f t="shared" ref="AN459:AN480" si="236">(AO459/AP459)/100</f>
        <v>434.61438892875162</v>
      </c>
      <c r="AO459" s="46">
        <f t="shared" ref="AO459:AO480" si="237">AK459*100000</f>
        <v>30588378000.000004</v>
      </c>
      <c r="AP459" s="46">
        <f t="shared" ref="AP459:AP480" si="238">(AM459*5000)/1000</f>
        <v>703805</v>
      </c>
    </row>
    <row r="460" spans="1:42" x14ac:dyDescent="0.2">
      <c r="A460" s="71">
        <v>45555</v>
      </c>
      <c r="B460" s="16" cm="1">
        <f t="array" ref="B460">_xll.BADDPERIODS(A460, "PER=WD", "NUMBEROFPERIODS=2", "BUSDAYADJ=-2", "CDR=GQ", "CDR=P9")</f>
        <v>45559</v>
      </c>
      <c r="C460" s="15" cm="1">
        <f t="array" ref="C460">_xll.BDH("XAU Curncy","PX_LAST",A460,A460)</f>
        <v>2621.88</v>
      </c>
      <c r="D460" s="15" t="str" cm="1">
        <f t="array" ref="D460">_xll.BDP("GCz4 Comdty",$M$32)</f>
        <v>02/12/2024</v>
      </c>
      <c r="E460" s="15">
        <f t="shared" si="230"/>
        <v>69</v>
      </c>
      <c r="F460" s="23">
        <v>5.0299999999999997E-2</v>
      </c>
      <c r="G460" s="28">
        <f t="shared" si="216"/>
        <v>25.2771081</v>
      </c>
      <c r="H460" s="12">
        <v>25.5</v>
      </c>
      <c r="I460" s="72">
        <f t="shared" si="217"/>
        <v>0.22289190000000048</v>
      </c>
      <c r="J460" s="26">
        <v>4</v>
      </c>
      <c r="K460" s="26">
        <v>6</v>
      </c>
      <c r="L460" s="26">
        <v>8</v>
      </c>
      <c r="N460" s="71">
        <v>45555</v>
      </c>
      <c r="O460" s="16" cm="1">
        <f t="array" ref="O460">_xll.BADDPERIODS(N460, "PER=WD", "NUMBEROFPERIODS=2", "BUSDAYADJ=-2", "CDR=GQ", "CDR=P9")</f>
        <v>45559</v>
      </c>
      <c r="P460" s="15" cm="1">
        <f t="array" ref="P460">_xll.BDH("XAG Curncy","PX_LAST",N460,N460)</f>
        <v>31.177499999999998</v>
      </c>
      <c r="Q460" s="15" t="str" cm="1">
        <f t="array" ref="Q460">_xll.BDP("SIz4 Comdty",$M$32)</f>
        <v>02/12/2024</v>
      </c>
      <c r="R460" s="15">
        <f t="shared" si="233"/>
        <v>69</v>
      </c>
      <c r="S460" s="23">
        <v>5.0999999999999997E-2</v>
      </c>
      <c r="T460" s="21">
        <f t="shared" si="206"/>
        <v>0.30476006249999998</v>
      </c>
      <c r="U460" s="12">
        <v>0.32</v>
      </c>
      <c r="V460" s="73">
        <f t="shared" si="207"/>
        <v>1.5239937500000023</v>
      </c>
      <c r="W460" s="15">
        <v>15</v>
      </c>
      <c r="X460" s="15">
        <v>20</v>
      </c>
      <c r="Y460" s="15">
        <v>25</v>
      </c>
      <c r="Z460" s="18">
        <f t="shared" si="223"/>
        <v>30.476006249999998</v>
      </c>
      <c r="AA460" s="18">
        <f t="shared" si="215"/>
        <v>32</v>
      </c>
      <c r="AB460" s="18">
        <f t="shared" si="224"/>
        <v>1.5239937500000023</v>
      </c>
      <c r="AE460" s="44" cm="1">
        <f t="array" ref="AE460">_xll.BDH("COMXGOLD Comdty","PX_Last", N460)</f>
        <v>16898041.502999999</v>
      </c>
      <c r="AF460" s="15" t="s">
        <v>45</v>
      </c>
      <c r="AG460" s="44" cm="1">
        <f t="array" ref="AG460">_xll.BDH(AF460,"FUT_AGGTE_OPEN_INT",A460)</f>
        <v>555303</v>
      </c>
      <c r="AH460" s="44">
        <f t="shared" si="234"/>
        <v>55530300</v>
      </c>
      <c r="AI460" s="48">
        <f t="shared" si="235"/>
        <v>0.30430308323563887</v>
      </c>
      <c r="AK460" s="44" cm="1">
        <f t="array" ref="AK460">_xll.BDH("COMXSILV Comdty","PX_Last", N460)</f>
        <v>304377.65999999997</v>
      </c>
      <c r="AL460" s="15" t="s">
        <v>46</v>
      </c>
      <c r="AM460" s="47" cm="1">
        <f t="array" ref="AM460">_xll.BDH(AL460,"FUT_AGGTE_OPEN_INT",A460)</f>
        <v>143186</v>
      </c>
      <c r="AN460" s="45">
        <f t="shared" si="236"/>
        <v>425.15002863408432</v>
      </c>
      <c r="AO460" s="46">
        <f t="shared" si="237"/>
        <v>30437765999.999996</v>
      </c>
      <c r="AP460" s="46">
        <f t="shared" si="238"/>
        <v>715930</v>
      </c>
    </row>
    <row r="461" spans="1:42" x14ac:dyDescent="0.2">
      <c r="A461" s="71">
        <v>45558</v>
      </c>
      <c r="B461" s="16" cm="1">
        <f t="array" ref="B461">_xll.BADDPERIODS(A461, "PER=WD", "NUMBEROFPERIODS=2", "BUSDAYADJ=-2", "CDR=GQ", "CDR=P9")</f>
        <v>45560</v>
      </c>
      <c r="C461" s="15" cm="1">
        <f t="array" ref="C461">_xll.BDH("XAU Curncy","PX_LAST",A461,A461)</f>
        <v>2628.72</v>
      </c>
      <c r="D461" s="15" t="str" cm="1">
        <f t="array" ref="D461">_xll.BDP("GCz4 Comdty",$M$32)</f>
        <v>02/12/2024</v>
      </c>
      <c r="E461" s="15">
        <f t="shared" si="230"/>
        <v>68</v>
      </c>
      <c r="F461" s="23">
        <v>0.05</v>
      </c>
      <c r="G461" s="28">
        <f t="shared" si="216"/>
        <v>24.826799999999999</v>
      </c>
      <c r="H461" s="12">
        <v>24.9</v>
      </c>
      <c r="I461" s="72">
        <f t="shared" si="217"/>
        <v>7.3199999999999932E-2</v>
      </c>
      <c r="J461" s="26">
        <v>4</v>
      </c>
      <c r="K461" s="26">
        <v>6</v>
      </c>
      <c r="L461" s="26">
        <v>8</v>
      </c>
      <c r="N461" s="71">
        <v>45558</v>
      </c>
      <c r="O461" s="16" cm="1">
        <f t="array" ref="O461">_xll.BADDPERIODS(N461, "PER=WD", "NUMBEROFPERIODS=2", "BUSDAYADJ=-2", "CDR=GQ", "CDR=P9")</f>
        <v>45560</v>
      </c>
      <c r="P461" s="15" cm="1">
        <f t="array" ref="P461">_xll.BDH("XAG Curncy","PX_LAST",N461,N461)</f>
        <v>30.694299999999998</v>
      </c>
      <c r="Q461" s="15" t="str" cm="1">
        <f t="array" ref="Q461">_xll.BDP("SIz4 Comdty",$M$32)</f>
        <v>02/12/2024</v>
      </c>
      <c r="R461" s="15">
        <f t="shared" si="233"/>
        <v>68</v>
      </c>
      <c r="S461" s="23">
        <v>5.0999999999999997E-2</v>
      </c>
      <c r="T461" s="21">
        <f t="shared" si="206"/>
        <v>0.29568842333333328</v>
      </c>
      <c r="U461" s="12">
        <v>0.32</v>
      </c>
      <c r="V461" s="73">
        <f t="shared" si="207"/>
        <v>2.4311576666666723</v>
      </c>
      <c r="W461" s="15">
        <v>15</v>
      </c>
      <c r="X461" s="15">
        <v>20</v>
      </c>
      <c r="Y461" s="15">
        <v>25</v>
      </c>
      <c r="Z461" s="18">
        <f t="shared" si="223"/>
        <v>29.568842333333329</v>
      </c>
      <c r="AA461" s="18">
        <f t="shared" si="215"/>
        <v>32</v>
      </c>
      <c r="AB461" s="18">
        <f t="shared" si="224"/>
        <v>2.4311576666666723</v>
      </c>
      <c r="AE461" s="44" cm="1">
        <f t="array" ref="AE461">_xll.BDH("COMXGOLD Comdty","PX_Last", N461)</f>
        <v>16921043.833999999</v>
      </c>
      <c r="AF461" s="15" t="s">
        <v>45</v>
      </c>
      <c r="AG461" s="44" cm="1">
        <f t="array" ref="AG461">_xll.BDH(AF461,"FUT_AGGTE_OPEN_INT",A461)</f>
        <v>556720</v>
      </c>
      <c r="AH461" s="44">
        <f t="shared" si="234"/>
        <v>55672000</v>
      </c>
      <c r="AI461" s="48">
        <f t="shared" si="235"/>
        <v>0.30394172715188961</v>
      </c>
      <c r="AK461" s="44" cm="1">
        <f t="array" ref="AK461">_xll.BDH("COMXSILV Comdty","PX_Last", N461)</f>
        <v>304985.13</v>
      </c>
      <c r="AL461" s="15" t="s">
        <v>46</v>
      </c>
      <c r="AM461" s="47" cm="1">
        <f t="array" ref="AM461">_xll.BDH(AL461,"FUT_AGGTE_OPEN_INT",A461)</f>
        <v>144351</v>
      </c>
      <c r="AN461" s="45">
        <f t="shared" si="236"/>
        <v>422.56046719454667</v>
      </c>
      <c r="AO461" s="46">
        <f t="shared" si="237"/>
        <v>30498513000</v>
      </c>
      <c r="AP461" s="46">
        <f t="shared" si="238"/>
        <v>721755</v>
      </c>
    </row>
    <row r="462" spans="1:42" x14ac:dyDescent="0.2">
      <c r="A462" s="71">
        <v>45559</v>
      </c>
      <c r="B462" s="16" cm="1">
        <f t="array" ref="B462">_xll.BADDPERIODS(A462, "PER=WD", "NUMBEROFPERIODS=2", "BUSDAYADJ=-2", "CDR=GQ", "CDR=P9")</f>
        <v>45561</v>
      </c>
      <c r="C462" s="15" cm="1">
        <f t="array" ref="C462">_xll.BDH("XAU Curncy","PX_LAST",A462,A462)</f>
        <v>2657.1</v>
      </c>
      <c r="D462" s="15" t="str" cm="1">
        <f t="array" ref="D462">_xll.BDP("GCz4 Comdty",$M$32)</f>
        <v>02/12/2024</v>
      </c>
      <c r="E462" s="15">
        <f t="shared" si="230"/>
        <v>67</v>
      </c>
      <c r="F462" s="23">
        <v>4.9500000000000002E-2</v>
      </c>
      <c r="G462" s="28">
        <f t="shared" si="216"/>
        <v>24.47853375</v>
      </c>
      <c r="H462" s="12">
        <v>24.8</v>
      </c>
      <c r="I462" s="72">
        <f t="shared" si="217"/>
        <v>0.32146625000000029</v>
      </c>
      <c r="J462" s="26">
        <v>4</v>
      </c>
      <c r="K462" s="26">
        <v>6</v>
      </c>
      <c r="L462" s="26">
        <v>8</v>
      </c>
      <c r="N462" s="71">
        <v>45559</v>
      </c>
      <c r="O462" s="16" cm="1">
        <f t="array" ref="O462">_xll.BADDPERIODS(N462, "PER=WD", "NUMBEROFPERIODS=2", "BUSDAYADJ=-2", "CDR=GQ", "CDR=P9")</f>
        <v>45561</v>
      </c>
      <c r="P462" s="15" cm="1">
        <f t="array" ref="P462">_xll.BDH("XAG Curncy","PX_LAST",N462,N462)</f>
        <v>32.098500000000001</v>
      </c>
      <c r="Q462" s="15" t="str" cm="1">
        <f t="array" ref="Q462">_xll.BDP("SIz4 Comdty",$M$32)</f>
        <v>02/12/2024</v>
      </c>
      <c r="R462" s="15">
        <f t="shared" si="233"/>
        <v>67</v>
      </c>
      <c r="S462" s="23">
        <v>5.0500000000000003E-2</v>
      </c>
      <c r="T462" s="21">
        <f t="shared" si="206"/>
        <v>0.30168131875000004</v>
      </c>
      <c r="U462" s="12">
        <v>0.32500000000000001</v>
      </c>
      <c r="V462" s="73">
        <f t="shared" si="207"/>
        <v>2.3318681249999971</v>
      </c>
      <c r="W462" s="15">
        <v>15</v>
      </c>
      <c r="X462" s="15">
        <v>20</v>
      </c>
      <c r="Y462" s="15">
        <v>25</v>
      </c>
      <c r="Z462" s="18">
        <f t="shared" si="223"/>
        <v>30.168131875000004</v>
      </c>
      <c r="AA462" s="18">
        <f t="shared" si="215"/>
        <v>32.5</v>
      </c>
      <c r="AB462" s="18">
        <f t="shared" si="224"/>
        <v>2.3318681249999971</v>
      </c>
      <c r="AE462" s="44" cm="1">
        <f t="array" ref="AE462">_xll.BDH("COMXGOLD Comdty","PX_Last", N462)</f>
        <v>16953194.833999999</v>
      </c>
      <c r="AF462" s="15" t="s">
        <v>45</v>
      </c>
      <c r="AG462" s="44" cm="1">
        <f t="array" ref="AG462">_xll.BDH(AF462,"FUT_AGGTE_OPEN_INT",A462)</f>
        <v>564640</v>
      </c>
      <c r="AH462" s="44">
        <f t="shared" si="234"/>
        <v>56464000</v>
      </c>
      <c r="AI462" s="48">
        <f t="shared" si="235"/>
        <v>0.3002478541017285</v>
      </c>
      <c r="AK462" s="44" cm="1">
        <f t="array" ref="AK462">_xll.BDH("COMXSILV Comdty","PX_Last", N462)</f>
        <v>304946.59000000003</v>
      </c>
      <c r="AL462" s="15" t="s">
        <v>46</v>
      </c>
      <c r="AM462" s="47" cm="1">
        <f t="array" ref="AM462">_xll.BDH(AL462,"FUT_AGGTE_OPEN_INT",A462)</f>
        <v>150071</v>
      </c>
      <c r="AN462" s="45">
        <f t="shared" si="236"/>
        <v>406.40308920444329</v>
      </c>
      <c r="AO462" s="46">
        <f t="shared" si="237"/>
        <v>30494659000.000004</v>
      </c>
      <c r="AP462" s="46">
        <f t="shared" si="238"/>
        <v>750355</v>
      </c>
    </row>
    <row r="463" spans="1:42" x14ac:dyDescent="0.2">
      <c r="A463" s="71">
        <v>45560</v>
      </c>
      <c r="B463" s="16" cm="1">
        <f t="array" ref="B463">_xll.BADDPERIODS(A463, "PER=WD", "NUMBEROFPERIODS=2", "BUSDAYADJ=-2", "CDR=GQ", "CDR=P9")</f>
        <v>45562</v>
      </c>
      <c r="C463" s="15" cm="1">
        <f t="array" ref="C463">_xll.BDH("XAU Curncy","PX_LAST",A463,A463)</f>
        <v>2656.89</v>
      </c>
      <c r="D463" s="15" t="str" cm="1">
        <f t="array" ref="D463">_xll.BDP("GCz4 Comdty",$M$32)</f>
        <v>02/12/2024</v>
      </c>
      <c r="E463" s="15">
        <f t="shared" si="230"/>
        <v>66</v>
      </c>
      <c r="F463" s="23">
        <v>4.9000000000000002E-2</v>
      </c>
      <c r="G463" s="28">
        <f t="shared" si="216"/>
        <v>23.867728499999998</v>
      </c>
      <c r="H463" s="12">
        <v>24.5</v>
      </c>
      <c r="I463" s="72">
        <f t="shared" si="217"/>
        <v>0.63227150000000165</v>
      </c>
      <c r="J463" s="26">
        <v>4</v>
      </c>
      <c r="K463" s="26">
        <v>6</v>
      </c>
      <c r="L463" s="26">
        <v>8</v>
      </c>
      <c r="N463" s="71">
        <v>45560</v>
      </c>
      <c r="O463" s="16" cm="1">
        <f t="array" ref="O463">_xll.BADDPERIODS(N463, "PER=WD", "NUMBEROFPERIODS=2", "BUSDAYADJ=-2", "CDR=GQ", "CDR=P9")</f>
        <v>45562</v>
      </c>
      <c r="P463" s="15" cm="1">
        <f t="array" ref="P463">_xll.BDH("XAG Curncy","PX_LAST",N463,N463)</f>
        <v>31.811499999999999</v>
      </c>
      <c r="Q463" s="15" t="str" cm="1">
        <f t="array" ref="Q463">_xll.BDP("SIz4 Comdty",$M$32)</f>
        <v>02/12/2024</v>
      </c>
      <c r="R463" s="15">
        <f t="shared" si="233"/>
        <v>66</v>
      </c>
      <c r="S463" s="23">
        <v>5.0700000000000002E-2</v>
      </c>
      <c r="T463" s="21">
        <f t="shared" si="206"/>
        <v>0.29568789249999994</v>
      </c>
      <c r="U463" s="12">
        <v>0.32</v>
      </c>
      <c r="V463" s="73">
        <f t="shared" si="207"/>
        <v>2.4312107500000071</v>
      </c>
      <c r="W463" s="15">
        <v>15</v>
      </c>
      <c r="X463" s="15">
        <v>20</v>
      </c>
      <c r="Y463" s="15">
        <v>25</v>
      </c>
      <c r="Z463" s="18">
        <f t="shared" si="223"/>
        <v>29.568789249999995</v>
      </c>
      <c r="AA463" s="18">
        <f t="shared" si="215"/>
        <v>32</v>
      </c>
      <c r="AB463" s="18">
        <f t="shared" si="224"/>
        <v>2.4312107500000071</v>
      </c>
      <c r="AE463" s="44" cm="1">
        <f t="array" ref="AE463">_xll.BDH("COMXGOLD Comdty","PX_Last", N463)</f>
        <v>17017301.379999999</v>
      </c>
      <c r="AF463" s="15" t="s">
        <v>45</v>
      </c>
      <c r="AG463" s="44" cm="1">
        <f t="array" ref="AG463">_xll.BDH(AF463,"FUT_AGGTE_OPEN_INT",A463)</f>
        <v>553986</v>
      </c>
      <c r="AH463" s="44">
        <f t="shared" si="234"/>
        <v>55398600</v>
      </c>
      <c r="AI463" s="48">
        <f t="shared" si="235"/>
        <v>0.30717926770712617</v>
      </c>
      <c r="AK463" s="44" cm="1">
        <f t="array" ref="AK463">_xll.BDH("COMXSILV Comdty","PX_Last", N463)</f>
        <v>305338.09000000003</v>
      </c>
      <c r="AL463" s="15" t="s">
        <v>46</v>
      </c>
      <c r="AM463" s="47" cm="1">
        <f t="array" ref="AM463">_xll.BDH(AL463,"FUT_AGGTE_OPEN_INT",A463)</f>
        <v>146833</v>
      </c>
      <c r="AN463" s="45">
        <f t="shared" si="236"/>
        <v>415.8984560691398</v>
      </c>
      <c r="AO463" s="46">
        <f t="shared" si="237"/>
        <v>30533809000.000004</v>
      </c>
      <c r="AP463" s="46">
        <f t="shared" si="238"/>
        <v>734165</v>
      </c>
    </row>
    <row r="464" spans="1:42" x14ac:dyDescent="0.2">
      <c r="A464" s="71">
        <v>45561</v>
      </c>
      <c r="B464" s="16" cm="1">
        <f t="array" ref="B464">_xll.BADDPERIODS(A464, "PER=WD", "NUMBEROFPERIODS=2", "BUSDAYADJ=-2", "CDR=GQ", "CDR=P9")</f>
        <v>45565</v>
      </c>
      <c r="C464" s="15" cm="1">
        <f t="array" ref="C464">_xll.BDH("XAU Curncy","PX_LAST",A464,A464)</f>
        <v>2672.38</v>
      </c>
      <c r="D464" s="15" t="str" cm="1">
        <f t="array" ref="D464">_xll.BDP("GCz4 Comdty",$M$32)</f>
        <v>02/12/2024</v>
      </c>
      <c r="E464" s="15">
        <f t="shared" si="230"/>
        <v>63</v>
      </c>
      <c r="F464" s="23">
        <v>4.9000000000000002E-2</v>
      </c>
      <c r="G464" s="28">
        <f t="shared" si="216"/>
        <v>22.915658499999999</v>
      </c>
      <c r="H464" s="12">
        <v>23</v>
      </c>
      <c r="I464" s="72">
        <f t="shared" si="217"/>
        <v>8.4341500000000735E-2</v>
      </c>
      <c r="J464" s="26">
        <v>4</v>
      </c>
      <c r="K464" s="26">
        <v>6</v>
      </c>
      <c r="L464" s="26">
        <v>8</v>
      </c>
      <c r="N464" s="71">
        <v>45561</v>
      </c>
      <c r="O464" s="16" cm="1">
        <f t="array" ref="O464">_xll.BADDPERIODS(N464, "PER=WD", "NUMBEROFPERIODS=2", "BUSDAYADJ=-2", "CDR=GQ", "CDR=P9")</f>
        <v>45565</v>
      </c>
      <c r="P464" s="15" cm="1">
        <f t="array" ref="P464">_xll.BDH("XAG Curncy","PX_LAST",N464,N464)</f>
        <v>32.018000000000001</v>
      </c>
      <c r="Q464" s="15" t="str" cm="1">
        <f t="array" ref="Q464">_xll.BDP("SIz4 Comdty",$M$32)</f>
        <v>02/12/2024</v>
      </c>
      <c r="R464" s="15">
        <f t="shared" si="233"/>
        <v>63</v>
      </c>
      <c r="S464" s="23">
        <v>5.0700000000000002E-2</v>
      </c>
      <c r="T464" s="21">
        <f t="shared" si="206"/>
        <v>0.28407970499999996</v>
      </c>
      <c r="U464" s="12">
        <v>0.3</v>
      </c>
      <c r="V464" s="73">
        <f t="shared" si="207"/>
        <v>1.5920295000000029</v>
      </c>
      <c r="W464" s="15">
        <v>15</v>
      </c>
      <c r="X464" s="15">
        <v>20</v>
      </c>
      <c r="Y464" s="15">
        <v>25</v>
      </c>
      <c r="Z464" s="18">
        <f t="shared" si="223"/>
        <v>28.407970499999998</v>
      </c>
      <c r="AA464" s="18">
        <f t="shared" si="215"/>
        <v>30</v>
      </c>
      <c r="AB464" s="18">
        <f t="shared" si="224"/>
        <v>1.5920295000000029</v>
      </c>
      <c r="AE464" s="44" cm="1">
        <f t="array" ref="AE464">_xll.BDH("COMXGOLD Comdty","PX_Last", N464)</f>
        <v>17153010.743999999</v>
      </c>
      <c r="AF464" s="15" t="s">
        <v>45</v>
      </c>
      <c r="AG464" s="44" cm="1">
        <f t="array" ref="AG464">_xll.BDH(AF464,"FUT_AGGTE_OPEN_INT",A464)</f>
        <v>550360</v>
      </c>
      <c r="AH464" s="44">
        <f t="shared" si="234"/>
        <v>55036000</v>
      </c>
      <c r="AI464" s="48">
        <f t="shared" si="235"/>
        <v>0.31166892114252487</v>
      </c>
      <c r="AK464" s="44" cm="1">
        <f t="array" ref="AK464">_xll.BDH("COMXSILV Comdty","PX_Last", N464)</f>
        <v>304698.56</v>
      </c>
      <c r="AL464" s="15" t="s">
        <v>46</v>
      </c>
      <c r="AM464" s="47" cm="1">
        <f t="array" ref="AM464">_xll.BDH(AL464,"FUT_AGGTE_OPEN_INT",A464)</f>
        <v>146787</v>
      </c>
      <c r="AN464" s="45">
        <f t="shared" si="236"/>
        <v>415.15741857248941</v>
      </c>
      <c r="AO464" s="46">
        <f t="shared" si="237"/>
        <v>30469856000</v>
      </c>
      <c r="AP464" s="46">
        <f t="shared" si="238"/>
        <v>733935</v>
      </c>
    </row>
    <row r="465" spans="1:42" x14ac:dyDescent="0.2">
      <c r="A465" s="71">
        <v>45562</v>
      </c>
      <c r="B465" s="16" cm="1">
        <f t="array" ref="B465">_xll.BADDPERIODS(A465, "PER=WD", "NUMBEROFPERIODS=2", "BUSDAYADJ=-2", "CDR=GQ", "CDR=P9")</f>
        <v>45566</v>
      </c>
      <c r="C465" s="15" cm="1">
        <f t="array" ref="C465">_xll.BDH("XAU Curncy","PX_LAST",A465,A465)</f>
        <v>2658.24</v>
      </c>
      <c r="D465" s="15" t="str" cm="1">
        <f t="array" ref="D465">_xll.BDP("GCz4 Comdty",$M$32)</f>
        <v>02/12/2024</v>
      </c>
      <c r="E465" s="15">
        <f t="shared" si="230"/>
        <v>62</v>
      </c>
      <c r="F465" s="23">
        <v>4.8500000000000001E-2</v>
      </c>
      <c r="G465" s="28">
        <f t="shared" si="216"/>
        <v>22.203687999999996</v>
      </c>
      <c r="H465" s="12">
        <v>22.6</v>
      </c>
      <c r="I465" s="72">
        <f t="shared" si="217"/>
        <v>0.39631200000000533</v>
      </c>
      <c r="J465" s="26">
        <v>4</v>
      </c>
      <c r="K465" s="26">
        <v>6</v>
      </c>
      <c r="L465" s="26">
        <v>8</v>
      </c>
      <c r="N465" s="71">
        <v>45562</v>
      </c>
      <c r="O465" s="16" cm="1">
        <f t="array" ref="O465">_xll.BADDPERIODS(N465, "PER=WD", "NUMBEROFPERIODS=2", "BUSDAYADJ=-2", "CDR=GQ", "CDR=P9")</f>
        <v>45566</v>
      </c>
      <c r="P465" s="15" cm="1">
        <f t="array" ref="P465">_xll.BDH("XAG Curncy","PX_LAST",N465,N465)</f>
        <v>31.567499999999999</v>
      </c>
      <c r="Q465" s="15" t="str" cm="1">
        <f t="array" ref="Q465">_xll.BDP("SIz4 Comdty",$M$32)</f>
        <v>02/12/2024</v>
      </c>
      <c r="R465" s="15">
        <f t="shared" si="233"/>
        <v>62</v>
      </c>
      <c r="S465" s="23">
        <v>5.0700000000000002E-2</v>
      </c>
      <c r="T465" s="21">
        <f t="shared" si="206"/>
        <v>0.27563688749999998</v>
      </c>
      <c r="U465" s="12">
        <v>0.29499999999999998</v>
      </c>
      <c r="V465" s="73">
        <f t="shared" si="207"/>
        <v>1.9363112500000002</v>
      </c>
      <c r="W465" s="15">
        <v>15</v>
      </c>
      <c r="X465" s="15">
        <v>20</v>
      </c>
      <c r="Y465" s="15">
        <v>25</v>
      </c>
      <c r="Z465" s="18">
        <f t="shared" ref="Z465:Z494" si="239">100*T465</f>
        <v>27.563688749999997</v>
      </c>
      <c r="AA465" s="18">
        <f t="shared" ref="AA465:AA494" si="240">U465*100</f>
        <v>29.5</v>
      </c>
      <c r="AB465" s="18">
        <f t="shared" ref="AB465:AB494" si="241">V465</f>
        <v>1.9363112500000002</v>
      </c>
      <c r="AE465" s="44" cm="1">
        <f t="array" ref="AE465">_xll.BDH("COMXGOLD Comdty","PX_Last", N465)</f>
        <v>17177263.947000001</v>
      </c>
      <c r="AF465" s="15" t="s">
        <v>45</v>
      </c>
      <c r="AG465" s="44" cm="1">
        <f t="array" ref="AG465">_xll.BDH(AF465,"FUT_AGGTE_OPEN_INT",A465)</f>
        <v>544026</v>
      </c>
      <c r="AH465" s="44">
        <f t="shared" si="234"/>
        <v>54402600</v>
      </c>
      <c r="AI465" s="48">
        <f t="shared" si="235"/>
        <v>0.31574343775848951</v>
      </c>
      <c r="AK465" s="44" cm="1">
        <f t="array" ref="AK465">_xll.BDH("COMXSILV Comdty","PX_Last", N465)</f>
        <v>304502.03000000003</v>
      </c>
      <c r="AL465" s="15" t="s">
        <v>46</v>
      </c>
      <c r="AM465" s="47" cm="1">
        <f t="array" ref="AM465">_xll.BDH(AL465,"FUT_AGGTE_OPEN_INT",A465)</f>
        <v>146775</v>
      </c>
      <c r="AN465" s="45">
        <f t="shared" si="236"/>
        <v>414.92356327712491</v>
      </c>
      <c r="AO465" s="46">
        <f t="shared" si="237"/>
        <v>30450203000.000004</v>
      </c>
      <c r="AP465" s="46">
        <f t="shared" si="238"/>
        <v>733875</v>
      </c>
    </row>
    <row r="466" spans="1:42" x14ac:dyDescent="0.2">
      <c r="A466" s="71">
        <v>45565</v>
      </c>
      <c r="B466" s="16" cm="1">
        <f t="array" ref="B466">_xll.BADDPERIODS(A466, "PER=WD", "NUMBEROFPERIODS=2", "BUSDAYADJ=-2", "CDR=GQ", "CDR=P9")</f>
        <v>45567</v>
      </c>
      <c r="C466" s="15" cm="1">
        <f t="array" ref="C466">_xll.BDH("XAU Curncy","PX_LAST",A466,A466)</f>
        <v>2634.58</v>
      </c>
      <c r="D466" s="15" t="str" cm="1">
        <f t="array" ref="D466">_xll.BDP("GCz4 Comdty",$M$32)</f>
        <v>02/12/2024</v>
      </c>
      <c r="E466" s="15">
        <f t="shared" si="230"/>
        <v>61</v>
      </c>
      <c r="F466" s="23">
        <v>4.8500000000000001E-2</v>
      </c>
      <c r="G466" s="28">
        <f t="shared" si="216"/>
        <v>21.651124805555558</v>
      </c>
      <c r="H466" s="12">
        <v>21.7</v>
      </c>
      <c r="I466" s="72">
        <f t="shared" si="217"/>
        <v>4.8875194444441661E-2</v>
      </c>
      <c r="J466" s="26">
        <v>4</v>
      </c>
      <c r="K466" s="26">
        <v>6</v>
      </c>
      <c r="L466" s="26">
        <v>8</v>
      </c>
      <c r="N466" s="71">
        <v>45565</v>
      </c>
      <c r="O466" s="16" cm="1">
        <f t="array" ref="O466">_xll.BADDPERIODS(N466, "PER=WD", "NUMBEROFPERIODS=2", "BUSDAYADJ=-2", "CDR=GQ", "CDR=P9")</f>
        <v>45567</v>
      </c>
      <c r="P466" s="15" cm="1">
        <f t="array" ref="P466">_xll.BDH("XAG Curncy","PX_LAST",N466,N466)</f>
        <v>31.159500000000001</v>
      </c>
      <c r="Q466" s="15" t="str" cm="1">
        <f t="array" ref="Q466">_xll.BDP("SIz4 Comdty",$M$32)</f>
        <v>02/12/2024</v>
      </c>
      <c r="R466" s="15">
        <f t="shared" si="233"/>
        <v>61</v>
      </c>
      <c r="S466" s="23">
        <v>5.0799999999999998E-2</v>
      </c>
      <c r="T466" s="21">
        <f t="shared" ref="T466:T530" si="242">P466*(R466/360)*S466</f>
        <v>0.26821405166666668</v>
      </c>
      <c r="U466" s="12">
        <v>0.28499999999999998</v>
      </c>
      <c r="V466" s="73">
        <f t="shared" ref="V466:V508" si="243">100*(U466-T466)</f>
        <v>1.67859483333333</v>
      </c>
      <c r="W466" s="15">
        <v>15</v>
      </c>
      <c r="X466" s="15">
        <v>20</v>
      </c>
      <c r="Y466" s="15">
        <v>25</v>
      </c>
      <c r="Z466" s="18">
        <f t="shared" si="239"/>
        <v>26.821405166666668</v>
      </c>
      <c r="AA466" s="18">
        <f t="shared" si="240"/>
        <v>28.499999999999996</v>
      </c>
      <c r="AB466" s="18">
        <f t="shared" si="241"/>
        <v>1.67859483333333</v>
      </c>
      <c r="AE466" s="44" cm="1">
        <f t="array" ref="AE466">_xll.BDH("COMXGOLD Comdty","PX_Last", N466)</f>
        <v>17242364.177000001</v>
      </c>
      <c r="AF466" s="15" t="s">
        <v>45</v>
      </c>
      <c r="AG466" s="44" cm="1">
        <f t="array" ref="AG466">_xll.BDH(AF466,"FUT_AGGTE_OPEN_INT",A466)</f>
        <v>528392</v>
      </c>
      <c r="AH466" s="44">
        <f t="shared" si="234"/>
        <v>52839200</v>
      </c>
      <c r="AI466" s="48">
        <f t="shared" si="235"/>
        <v>0.32631766145210378</v>
      </c>
      <c r="AK466" s="44" cm="1">
        <f t="array" ref="AK466">_xll.BDH("COMXSILV Comdty","PX_Last", N466)</f>
        <v>304129.63</v>
      </c>
      <c r="AL466" s="15" t="s">
        <v>46</v>
      </c>
      <c r="AM466" s="47" cm="1">
        <f t="array" ref="AM466">_xll.BDH(AL466,"FUT_AGGTE_OPEN_INT",A466)</f>
        <v>144664</v>
      </c>
      <c r="AN466" s="45">
        <f t="shared" si="236"/>
        <v>420.46346015594753</v>
      </c>
      <c r="AO466" s="46">
        <f t="shared" si="237"/>
        <v>30412963000</v>
      </c>
      <c r="AP466" s="46">
        <f t="shared" si="238"/>
        <v>723320</v>
      </c>
    </row>
    <row r="467" spans="1:42" x14ac:dyDescent="0.2">
      <c r="A467" s="71">
        <v>45566</v>
      </c>
      <c r="B467" s="16" cm="1">
        <f t="array" ref="B467">_xll.BADDPERIODS(A467, "PER=WD", "NUMBEROFPERIODS=2", "BUSDAYADJ=-2", "CDR=GQ", "CDR=P9")</f>
        <v>45568</v>
      </c>
      <c r="C467" s="15" cm="1">
        <f t="array" ref="C467">_xll.BDH("XAU Curncy","PX_LAST",A467,A467)</f>
        <v>2663.23</v>
      </c>
      <c r="D467" s="15" t="str" cm="1">
        <f t="array" ref="D467">_xll.BDP("GCz4 Comdty",$M$32)</f>
        <v>02/12/2024</v>
      </c>
      <c r="E467" s="15">
        <f t="shared" si="230"/>
        <v>60</v>
      </c>
      <c r="F467" s="23">
        <v>4.8500000000000001E-2</v>
      </c>
      <c r="G467" s="28">
        <f t="shared" si="216"/>
        <v>21.527775833333333</v>
      </c>
      <c r="H467" s="12">
        <v>21.8</v>
      </c>
      <c r="I467" s="72">
        <f t="shared" si="217"/>
        <v>0.2722241666666676</v>
      </c>
      <c r="J467" s="26">
        <v>4</v>
      </c>
      <c r="K467" s="26">
        <v>6</v>
      </c>
      <c r="L467" s="26">
        <v>8</v>
      </c>
      <c r="N467" s="71">
        <v>45566</v>
      </c>
      <c r="O467" s="16" cm="1">
        <f t="array" ref="O467">_xll.BADDPERIODS(N467, "PER=WD", "NUMBEROFPERIODS=2", "BUSDAYADJ=-2", "CDR=GQ", "CDR=P9")</f>
        <v>45568</v>
      </c>
      <c r="P467" s="15" cm="1">
        <f t="array" ref="P467">_xll.BDH("XAG Curncy","PX_LAST",N467,N467)</f>
        <v>31.456099999999999</v>
      </c>
      <c r="Q467" s="15" t="str" cm="1">
        <f t="array" ref="Q467">_xll.BDP("SIz4 Comdty",$M$32)</f>
        <v>02/12/2024</v>
      </c>
      <c r="R467" s="15">
        <f t="shared" si="233"/>
        <v>60</v>
      </c>
      <c r="S467" s="23">
        <v>5.0500000000000003E-2</v>
      </c>
      <c r="T467" s="21">
        <f t="shared" si="242"/>
        <v>0.26475550833333333</v>
      </c>
      <c r="U467" s="12">
        <v>0.28000000000000003</v>
      </c>
      <c r="V467" s="73">
        <f t="shared" si="243"/>
        <v>1.5244491666666693</v>
      </c>
      <c r="W467" s="15">
        <v>15</v>
      </c>
      <c r="X467" s="15">
        <v>20</v>
      </c>
      <c r="Y467" s="15">
        <v>25</v>
      </c>
      <c r="Z467" s="18">
        <f t="shared" si="239"/>
        <v>26.475550833333333</v>
      </c>
      <c r="AA467" s="18">
        <f t="shared" si="240"/>
        <v>28.000000000000004</v>
      </c>
      <c r="AB467" s="18">
        <f t="shared" si="241"/>
        <v>1.5244491666666693</v>
      </c>
      <c r="AE467" s="44" cm="1">
        <f t="array" ref="AE467">_xll.BDH("COMXGOLD Comdty","PX_Last", N467)</f>
        <v>17241972.397</v>
      </c>
      <c r="AF467" s="15" t="s">
        <v>45</v>
      </c>
      <c r="AG467" s="44" cm="1">
        <f t="array" ref="AG467">_xll.BDH(AF467,"FUT_AGGTE_OPEN_INT",A467)</f>
        <v>533107</v>
      </c>
      <c r="AH467" s="44">
        <f t="shared" si="234"/>
        <v>53310700</v>
      </c>
      <c r="AI467" s="48">
        <f t="shared" si="235"/>
        <v>0.32342423560373434</v>
      </c>
      <c r="AK467" s="44" cm="1">
        <f t="array" ref="AK467">_xll.BDH("COMXSILV Comdty","PX_Last", N467)</f>
        <v>305053.65999999997</v>
      </c>
      <c r="AL467" s="15" t="s">
        <v>46</v>
      </c>
      <c r="AM467" s="47" cm="1">
        <f t="array" ref="AM467">_xll.BDH(AL467,"FUT_AGGTE_OPEN_INT",A467)</f>
        <v>144757</v>
      </c>
      <c r="AN467" s="45">
        <f t="shared" si="236"/>
        <v>421.46999454257821</v>
      </c>
      <c r="AO467" s="46">
        <f t="shared" si="237"/>
        <v>30505365999.999996</v>
      </c>
      <c r="AP467" s="46">
        <f t="shared" si="238"/>
        <v>723785</v>
      </c>
    </row>
    <row r="468" spans="1:42" x14ac:dyDescent="0.2">
      <c r="A468" s="71">
        <v>45567</v>
      </c>
      <c r="B468" s="16" cm="1">
        <f t="array" ref="B468">_xll.BADDPERIODS(A468, "PER=WD", "NUMBEROFPERIODS=2", "BUSDAYADJ=-2", "CDR=GQ", "CDR=P9")</f>
        <v>45569</v>
      </c>
      <c r="C468" s="15" cm="1">
        <f t="array" ref="C468">_xll.BDH("XAU Curncy","PX_LAST",A468,A468)</f>
        <v>2658.69</v>
      </c>
      <c r="D468" s="15" t="str" cm="1">
        <f t="array" ref="D468">_xll.BDP("GCz4 Comdty",$M$32)</f>
        <v>02/12/2024</v>
      </c>
      <c r="E468" s="15">
        <f t="shared" si="230"/>
        <v>59</v>
      </c>
      <c r="F468" s="23">
        <v>4.8500000000000001E-2</v>
      </c>
      <c r="G468" s="28">
        <f t="shared" si="216"/>
        <v>21.132892875000003</v>
      </c>
      <c r="H468" s="12">
        <v>21.5</v>
      </c>
      <c r="I468" s="72">
        <f t="shared" si="217"/>
        <v>0.36710712499999687</v>
      </c>
      <c r="J468" s="26">
        <v>4</v>
      </c>
      <c r="K468" s="26">
        <v>6</v>
      </c>
      <c r="L468" s="26">
        <v>8</v>
      </c>
      <c r="N468" s="71">
        <v>45567</v>
      </c>
      <c r="O468" s="16" cm="1">
        <f t="array" ref="O468">_xll.BADDPERIODS(N468, "PER=WD", "NUMBEROFPERIODS=2", "BUSDAYADJ=-2", "CDR=GQ", "CDR=P9")</f>
        <v>45569</v>
      </c>
      <c r="P468" s="15" cm="1">
        <f t="array" ref="P468">_xll.BDH("XAG Curncy","PX_LAST",N468,N468)</f>
        <v>31.831499999999998</v>
      </c>
      <c r="Q468" s="15" t="str" cm="1">
        <f t="array" ref="Q468">_xll.BDP("SIz4 Comdty",$M$32)</f>
        <v>02/12/2024</v>
      </c>
      <c r="R468" s="15">
        <f t="shared" si="233"/>
        <v>59</v>
      </c>
      <c r="S468" s="23">
        <v>5.0500000000000003E-2</v>
      </c>
      <c r="T468" s="21">
        <f t="shared" si="242"/>
        <v>0.26344987291666672</v>
      </c>
      <c r="U468" s="12">
        <v>0.27500000000000002</v>
      </c>
      <c r="V468" s="73">
        <f t="shared" si="243"/>
        <v>1.1550127083333306</v>
      </c>
      <c r="W468" s="15">
        <v>15</v>
      </c>
      <c r="X468" s="15">
        <v>20</v>
      </c>
      <c r="Y468" s="15">
        <v>25</v>
      </c>
      <c r="Z468" s="18">
        <f t="shared" si="239"/>
        <v>26.344987291666673</v>
      </c>
      <c r="AA468" s="18">
        <f t="shared" si="240"/>
        <v>27.500000000000004</v>
      </c>
      <c r="AB468" s="18">
        <f t="shared" si="241"/>
        <v>1.1550127083333306</v>
      </c>
      <c r="AE468" s="44" cm="1">
        <f t="array" ref="AE468">_xll.BDH("COMXGOLD Comdty","PX_Last", N468)</f>
        <v>17112647.873</v>
      </c>
      <c r="AF468" s="15" t="s">
        <v>45</v>
      </c>
      <c r="AG468" s="44" cm="1">
        <f t="array" ref="AG468">_xll.BDH(AF468,"FUT_AGGTE_OPEN_INT",A468)</f>
        <v>529827</v>
      </c>
      <c r="AH468" s="44">
        <f t="shared" si="234"/>
        <v>52982700</v>
      </c>
      <c r="AI468" s="48">
        <f t="shared" si="235"/>
        <v>0.32298557591440225</v>
      </c>
      <c r="AK468" s="44" cm="1">
        <f t="array" ref="AK468">_xll.BDH("COMXSILV Comdty","PX_Last", N468)</f>
        <v>305067.94</v>
      </c>
      <c r="AL468" s="15" t="s">
        <v>46</v>
      </c>
      <c r="AM468" s="47" cm="1">
        <f t="array" ref="AM468">_xll.BDH(AL468,"FUT_AGGTE_OPEN_INT",A468)</f>
        <v>146105</v>
      </c>
      <c r="AN468" s="45">
        <f t="shared" si="236"/>
        <v>417.60095821498237</v>
      </c>
      <c r="AO468" s="46">
        <f t="shared" si="237"/>
        <v>30506794000</v>
      </c>
      <c r="AP468" s="46">
        <f t="shared" si="238"/>
        <v>730525</v>
      </c>
    </row>
    <row r="469" spans="1:42" x14ac:dyDescent="0.2">
      <c r="A469" s="71">
        <v>45568</v>
      </c>
      <c r="B469" s="16" cm="1">
        <f t="array" ref="B469">_xll.BADDPERIODS(A469, "PER=WD", "NUMBEROFPERIODS=2", "BUSDAYADJ=-2", "CDR=GQ", "CDR=P9")</f>
        <v>45572</v>
      </c>
      <c r="C469" s="15" cm="1">
        <f t="array" ref="C469">_xll.BDH("XAU Curncy","PX_LAST",A469,A469)</f>
        <v>2655.89</v>
      </c>
      <c r="D469" s="15" t="str" cm="1">
        <f t="array" ref="D469">_xll.BDP("GCz4 Comdty",$M$32)</f>
        <v>02/12/2024</v>
      </c>
      <c r="E469" s="15">
        <f t="shared" si="230"/>
        <v>56</v>
      </c>
      <c r="F469" s="23">
        <v>4.8800000000000003E-2</v>
      </c>
      <c r="G469" s="28">
        <f t="shared" si="216"/>
        <v>20.161156088888887</v>
      </c>
      <c r="H469" s="12">
        <v>20.2</v>
      </c>
      <c r="I469" s="72">
        <f t="shared" si="217"/>
        <v>3.8843911111111851E-2</v>
      </c>
      <c r="J469" s="26">
        <v>4</v>
      </c>
      <c r="K469" s="26">
        <v>6</v>
      </c>
      <c r="L469" s="26">
        <v>8</v>
      </c>
      <c r="N469" s="71">
        <v>45568</v>
      </c>
      <c r="O469" s="16" cm="1">
        <f t="array" ref="O469">_xll.BADDPERIODS(N469, "PER=WD", "NUMBEROFPERIODS=2", "BUSDAYADJ=-2", "CDR=GQ", "CDR=P9")</f>
        <v>45572</v>
      </c>
      <c r="P469" s="15" cm="1">
        <f t="array" ref="P469">_xll.BDH("XAG Curncy","PX_LAST",N469,N469)</f>
        <v>32.017000000000003</v>
      </c>
      <c r="Q469" s="15" t="str" cm="1">
        <f t="array" ref="Q469">_xll.BDP("SIz4 Comdty",$M$32)</f>
        <v>02/12/2024</v>
      </c>
      <c r="R469" s="15">
        <f t="shared" si="233"/>
        <v>56</v>
      </c>
      <c r="S469" s="23">
        <v>5.0500000000000003E-2</v>
      </c>
      <c r="T469" s="21">
        <f t="shared" si="242"/>
        <v>0.25151132222222228</v>
      </c>
      <c r="U469" s="12">
        <v>0.27500000000000002</v>
      </c>
      <c r="V469" s="73">
        <f t="shared" si="243"/>
        <v>2.3488677777777744</v>
      </c>
      <c r="W469" s="15">
        <v>15</v>
      </c>
      <c r="X469" s="15">
        <v>20</v>
      </c>
      <c r="Y469" s="15">
        <v>25</v>
      </c>
      <c r="Z469" s="18">
        <f t="shared" si="239"/>
        <v>25.151132222222227</v>
      </c>
      <c r="AA469" s="18">
        <f t="shared" si="240"/>
        <v>27.500000000000004</v>
      </c>
      <c r="AB469" s="18">
        <f t="shared" si="241"/>
        <v>2.3488677777777744</v>
      </c>
      <c r="AE469" s="44" cm="1">
        <f t="array" ref="AE469">_xll.BDH("COMXGOLD Comdty","PX_Last", N469)</f>
        <v>17048313.721999999</v>
      </c>
      <c r="AF469" s="15" t="s">
        <v>45</v>
      </c>
      <c r="AG469" s="44" cm="1">
        <f t="array" ref="AG469">_xll.BDH(AF469,"FUT_AGGTE_OPEN_INT",A469)</f>
        <v>528440</v>
      </c>
      <c r="AH469" s="44">
        <f t="shared" si="234"/>
        <v>52844000</v>
      </c>
      <c r="AI469" s="48">
        <f t="shared" si="235"/>
        <v>0.32261588301415484</v>
      </c>
      <c r="AK469" s="44" cm="1">
        <f t="array" ref="AK469">_xll.BDH("COMXSILV Comdty","PX_Last", N469)</f>
        <v>305498.90999999997</v>
      </c>
      <c r="AL469" s="15" t="s">
        <v>46</v>
      </c>
      <c r="AM469" s="47" cm="1">
        <f t="array" ref="AM469">_xll.BDH(AL469,"FUT_AGGTE_OPEN_INT",A469)</f>
        <v>146559</v>
      </c>
      <c r="AN469" s="45">
        <f t="shared" si="236"/>
        <v>416.89546189589169</v>
      </c>
      <c r="AO469" s="46">
        <f t="shared" si="237"/>
        <v>30549890999.999996</v>
      </c>
      <c r="AP469" s="46">
        <f t="shared" si="238"/>
        <v>732795</v>
      </c>
    </row>
    <row r="470" spans="1:42" x14ac:dyDescent="0.2">
      <c r="A470" s="71">
        <v>45569</v>
      </c>
      <c r="B470" s="16" cm="1">
        <f t="array" ref="B470">_xll.BADDPERIODS(A470, "PER=WD", "NUMBEROFPERIODS=2", "BUSDAYADJ=-2", "CDR=GQ", "CDR=P9")</f>
        <v>45573</v>
      </c>
      <c r="C470" s="15" cm="1">
        <f t="array" ref="C470">_xll.BDH("XAU Curncy","PX_LAST",A470,A470)</f>
        <v>2653.6</v>
      </c>
      <c r="D470" s="15" t="str" cm="1">
        <f t="array" ref="D470">_xll.BDP("GCz4 Comdty",$M$32)</f>
        <v>02/12/2024</v>
      </c>
      <c r="E470" s="15">
        <f t="shared" si="230"/>
        <v>55</v>
      </c>
      <c r="F470" s="23">
        <v>4.9399999999999999E-2</v>
      </c>
      <c r="G470" s="28">
        <f t="shared" si="216"/>
        <v>20.027308888888889</v>
      </c>
      <c r="H470" s="12">
        <v>20.2</v>
      </c>
      <c r="I470" s="72">
        <f t="shared" si="217"/>
        <v>0.17269111111111002</v>
      </c>
      <c r="J470" s="26">
        <v>4</v>
      </c>
      <c r="K470" s="26">
        <v>6</v>
      </c>
      <c r="L470" s="26">
        <v>8</v>
      </c>
      <c r="N470" s="71">
        <v>45569</v>
      </c>
      <c r="O470" s="16" cm="1">
        <f t="array" ref="O470">_xll.BADDPERIODS(N470, "PER=WD", "NUMBEROFPERIODS=2", "BUSDAYADJ=-2", "CDR=GQ", "CDR=P9")</f>
        <v>45573</v>
      </c>
      <c r="P470" s="15" cm="1">
        <f t="array" ref="P470">_xll.BDH("XAG Curncy","PX_LAST",N470,N470)</f>
        <v>32.199800000000003</v>
      </c>
      <c r="Q470" s="15" t="str" cm="1">
        <f t="array" ref="Q470">_xll.BDP("SIz4 Comdty",$M$32)</f>
        <v>02/12/2024</v>
      </c>
      <c r="R470" s="15">
        <f t="shared" si="233"/>
        <v>55</v>
      </c>
      <c r="S470" s="23">
        <v>5.0999999999999997E-2</v>
      </c>
      <c r="T470" s="21">
        <f t="shared" si="242"/>
        <v>0.25089010833333336</v>
      </c>
      <c r="U470" s="12">
        <v>0.27500000000000002</v>
      </c>
      <c r="V470" s="73">
        <f t="shared" si="243"/>
        <v>2.4109891666666661</v>
      </c>
      <c r="W470" s="15">
        <v>15</v>
      </c>
      <c r="X470" s="15">
        <v>20</v>
      </c>
      <c r="Y470" s="15">
        <v>25</v>
      </c>
      <c r="Z470" s="18">
        <f t="shared" si="239"/>
        <v>25.089010833333337</v>
      </c>
      <c r="AA470" s="18">
        <f t="shared" si="240"/>
        <v>27.500000000000004</v>
      </c>
      <c r="AB470" s="18">
        <f t="shared" si="241"/>
        <v>2.4109891666666661</v>
      </c>
      <c r="AE470" s="44" cm="1">
        <f t="array" ref="AE470">_xll.BDH("COMXGOLD Comdty","PX_Last", N470)</f>
        <v>17048313.721999999</v>
      </c>
      <c r="AF470" s="15" t="s">
        <v>45</v>
      </c>
      <c r="AG470" s="44" cm="1">
        <f t="array" ref="AG470">_xll.BDH(AF470,"FUT_AGGTE_OPEN_INT",A470)</f>
        <v>529919</v>
      </c>
      <c r="AH470" s="44">
        <f t="shared" si="234"/>
        <v>52991900</v>
      </c>
      <c r="AI470" s="48">
        <f t="shared" si="235"/>
        <v>0.3217154644766464</v>
      </c>
      <c r="AK470" s="44" cm="1">
        <f t="array" ref="AK470">_xll.BDH("COMXSILV Comdty","PX_Last", N470)</f>
        <v>306593.59000000003</v>
      </c>
      <c r="AL470" s="15" t="s">
        <v>46</v>
      </c>
      <c r="AM470" s="47" cm="1">
        <f t="array" ref="AM470">_xll.BDH(AL470,"FUT_AGGTE_OPEN_INT",A470)</f>
        <v>147439</v>
      </c>
      <c r="AN470" s="45">
        <f t="shared" si="236"/>
        <v>415.89211809629751</v>
      </c>
      <c r="AO470" s="46">
        <f t="shared" si="237"/>
        <v>30659359000.000004</v>
      </c>
      <c r="AP470" s="46">
        <f t="shared" si="238"/>
        <v>737195</v>
      </c>
    </row>
    <row r="471" spans="1:42" x14ac:dyDescent="0.2">
      <c r="A471" s="71">
        <v>45572</v>
      </c>
      <c r="B471" s="16" cm="1">
        <f t="array" ref="B471">_xll.BADDPERIODS(A471, "PER=WD", "NUMBEROFPERIODS=2", "BUSDAYADJ=-2", "CDR=GQ", "CDR=P9")</f>
        <v>45574</v>
      </c>
      <c r="C471" s="15" cm="1">
        <f t="array" ref="C471">_xll.BDH("XAU Curncy","PX_LAST",A471,A471)</f>
        <v>2642.59</v>
      </c>
      <c r="D471" s="15" t="str" cm="1">
        <f t="array" ref="D471">_xll.BDP("GCz4 Comdty",$M$32)</f>
        <v>02/12/2024</v>
      </c>
      <c r="E471" s="15">
        <f t="shared" si="230"/>
        <v>54</v>
      </c>
      <c r="F471" s="23">
        <v>4.9299999999999997E-2</v>
      </c>
      <c r="G471" s="28">
        <f t="shared" si="216"/>
        <v>19.54195305</v>
      </c>
      <c r="H471" s="12">
        <v>19.75</v>
      </c>
      <c r="I471" s="72">
        <f t="shared" si="217"/>
        <v>0.20804694999999995</v>
      </c>
      <c r="J471" s="26">
        <v>4</v>
      </c>
      <c r="K471" s="26">
        <v>6</v>
      </c>
      <c r="L471" s="26">
        <v>8</v>
      </c>
      <c r="N471" s="71">
        <v>45572</v>
      </c>
      <c r="O471" s="16" cm="1">
        <f t="array" ref="O471">_xll.BADDPERIODS(N471, "PER=WD", "NUMBEROFPERIODS=2", "BUSDAYADJ=-2", "CDR=GQ", "CDR=P9")</f>
        <v>45574</v>
      </c>
      <c r="P471" s="15" cm="1">
        <f t="array" ref="P471">_xll.BDH("XAG Curncy","PX_LAST",N471,N471)</f>
        <v>31.684999999999999</v>
      </c>
      <c r="Q471" s="15" t="str" cm="1">
        <f t="array" ref="Q471">_xll.BDP("SIz4 Comdty",$M$32)</f>
        <v>02/12/2024</v>
      </c>
      <c r="R471" s="15">
        <f t="shared" si="233"/>
        <v>54</v>
      </c>
      <c r="S471" s="23">
        <v>5.0999999999999997E-2</v>
      </c>
      <c r="T471" s="21">
        <f t="shared" si="242"/>
        <v>0.24239024999999997</v>
      </c>
      <c r="U471" s="12">
        <v>0.26</v>
      </c>
      <c r="V471" s="73">
        <f t="shared" si="243"/>
        <v>1.7609750000000035</v>
      </c>
      <c r="W471" s="15">
        <v>15</v>
      </c>
      <c r="X471" s="15">
        <v>20</v>
      </c>
      <c r="Y471" s="15">
        <v>25</v>
      </c>
      <c r="Z471" s="18">
        <f t="shared" si="239"/>
        <v>24.239024999999998</v>
      </c>
      <c r="AA471" s="18">
        <f t="shared" si="240"/>
        <v>26</v>
      </c>
      <c r="AB471" s="18">
        <f t="shared" si="241"/>
        <v>1.7609750000000035</v>
      </c>
      <c r="AE471" s="44" cm="1">
        <f t="array" ref="AE471">_xll.BDH("COMXGOLD Comdty","PX_Last", N471)</f>
        <v>17048313.721999999</v>
      </c>
      <c r="AF471" s="15" t="s">
        <v>45</v>
      </c>
      <c r="AG471" s="44" cm="1">
        <f t="array" ref="AG471">_xll.BDH(AF471,"FUT_AGGTE_OPEN_INT",A471)</f>
        <v>526822</v>
      </c>
      <c r="AH471" s="44">
        <f t="shared" si="234"/>
        <v>52682200</v>
      </c>
      <c r="AI471" s="48">
        <f t="shared" si="235"/>
        <v>0.32360671577876399</v>
      </c>
      <c r="AK471" s="44" cm="1">
        <f t="array" ref="AK471">_xll.BDH("COMXSILV Comdty","PX_Last", N471)</f>
        <v>305873</v>
      </c>
      <c r="AL471" s="15" t="s">
        <v>46</v>
      </c>
      <c r="AM471" s="47" cm="1">
        <f t="array" ref="AM471">_xll.BDH(AL471,"FUT_AGGTE_OPEN_INT",A471)</f>
        <v>145772</v>
      </c>
      <c r="AN471" s="45">
        <f t="shared" si="236"/>
        <v>419.65946821063028</v>
      </c>
      <c r="AO471" s="46">
        <f t="shared" si="237"/>
        <v>30587300000</v>
      </c>
      <c r="AP471" s="46">
        <f t="shared" si="238"/>
        <v>728860</v>
      </c>
    </row>
    <row r="472" spans="1:42" x14ac:dyDescent="0.2">
      <c r="A472" s="71">
        <v>45573</v>
      </c>
      <c r="B472" s="16" cm="1">
        <f t="array" ref="B472">_xll.BADDPERIODS(A472, "PER=WD", "NUMBEROFPERIODS=2", "BUSDAYADJ=-2", "CDR=GQ", "CDR=P9")</f>
        <v>45575</v>
      </c>
      <c r="C472" s="15" cm="1">
        <f t="array" ref="C472">_xll.BDH("XAU Curncy","PX_LAST",A472,A472)</f>
        <v>2621.83</v>
      </c>
      <c r="D472" s="15" t="str" cm="1">
        <f t="array" ref="D472">_xll.BDP("GCz4 Comdty",$M$32)</f>
        <v>02/12/2024</v>
      </c>
      <c r="E472" s="15">
        <f t="shared" si="230"/>
        <v>53</v>
      </c>
      <c r="F472" s="23">
        <v>4.9000000000000002E-2</v>
      </c>
      <c r="G472" s="28">
        <f t="shared" si="216"/>
        <v>18.913590305555555</v>
      </c>
      <c r="H472" s="12">
        <v>19.3</v>
      </c>
      <c r="I472" s="72">
        <f t="shared" si="217"/>
        <v>0.38640969444444551</v>
      </c>
      <c r="J472" s="26">
        <v>4</v>
      </c>
      <c r="K472" s="26">
        <v>6</v>
      </c>
      <c r="L472" s="26">
        <v>8</v>
      </c>
      <c r="N472" s="71">
        <v>45573</v>
      </c>
      <c r="O472" s="16" cm="1">
        <f t="array" ref="O472">_xll.BADDPERIODS(N472, "PER=WD", "NUMBEROFPERIODS=2", "BUSDAYADJ=-2", "CDR=GQ", "CDR=P9")</f>
        <v>45575</v>
      </c>
      <c r="P472" s="15" cm="1">
        <f t="array" ref="P472">_xll.BDH("XAG Curncy","PX_LAST",N472,N472)</f>
        <v>30.668299999999999</v>
      </c>
      <c r="Q472" s="15" t="str" cm="1">
        <f t="array" ref="Q472">_xll.BDP("SIz4 Comdty",$M$32)</f>
        <v>02/12/2024</v>
      </c>
      <c r="R472" s="15">
        <f t="shared" si="233"/>
        <v>53</v>
      </c>
      <c r="S472" s="23">
        <v>5.0799999999999998E-2</v>
      </c>
      <c r="T472" s="21">
        <f t="shared" si="242"/>
        <v>0.2293648081111111</v>
      </c>
      <c r="U472" s="12">
        <v>0.25</v>
      </c>
      <c r="V472" s="73">
        <f t="shared" si="243"/>
        <v>2.0635191888888906</v>
      </c>
      <c r="W472" s="15">
        <v>15</v>
      </c>
      <c r="X472" s="15">
        <v>20</v>
      </c>
      <c r="Y472" s="15">
        <v>25</v>
      </c>
      <c r="Z472" s="18">
        <f t="shared" si="239"/>
        <v>22.93648081111111</v>
      </c>
      <c r="AA472" s="18">
        <f t="shared" si="240"/>
        <v>25</v>
      </c>
      <c r="AB472" s="18">
        <f t="shared" si="241"/>
        <v>2.0635191888888906</v>
      </c>
      <c r="AE472" s="44" cm="1">
        <f t="array" ref="AE472">_xll.BDH("COMXGOLD Comdty","PX_Last", N472)</f>
        <v>17048313.721999999</v>
      </c>
      <c r="AF472" s="15" t="s">
        <v>45</v>
      </c>
      <c r="AG472" s="44" cm="1">
        <f t="array" ref="AG472">_xll.BDH(AF472,"FUT_AGGTE_OPEN_INT",A472)</f>
        <v>520316</v>
      </c>
      <c r="AH472" s="44">
        <f t="shared" si="234"/>
        <v>52031600</v>
      </c>
      <c r="AI472" s="48">
        <f t="shared" si="235"/>
        <v>0.3276530747084464</v>
      </c>
      <c r="AK472" s="44" cm="1">
        <f t="array" ref="AK472">_xll.BDH("COMXSILV Comdty","PX_Last", N472)</f>
        <v>306932.5</v>
      </c>
      <c r="AL472" s="15" t="s">
        <v>46</v>
      </c>
      <c r="AM472" s="47" cm="1">
        <f t="array" ref="AM472">_xll.BDH(AL472,"FUT_AGGTE_OPEN_INT",A472)</f>
        <v>142839</v>
      </c>
      <c r="AN472" s="45">
        <f t="shared" si="236"/>
        <v>429.76007953010031</v>
      </c>
      <c r="AO472" s="46">
        <f t="shared" si="237"/>
        <v>30693250000</v>
      </c>
      <c r="AP472" s="46">
        <f t="shared" si="238"/>
        <v>714195</v>
      </c>
    </row>
    <row r="473" spans="1:42" x14ac:dyDescent="0.2">
      <c r="A473" s="71">
        <v>45574</v>
      </c>
      <c r="B473" s="16" cm="1">
        <f t="array" ref="B473">_xll.BADDPERIODS(A473, "PER=WD", "NUMBEROFPERIODS=2", "BUSDAYADJ=-2", "CDR=GQ", "CDR=P9")</f>
        <v>45576</v>
      </c>
      <c r="C473" s="15" cm="1">
        <f t="array" ref="C473">_xll.BDH("XAU Curncy","PX_LAST",A473,A473)</f>
        <v>2607.77</v>
      </c>
      <c r="D473" s="15" t="str" cm="1">
        <f t="array" ref="D473">_xll.BDP("GCz4 Comdty",$M$32)</f>
        <v>02/12/2024</v>
      </c>
      <c r="E473" s="15">
        <f t="shared" si="230"/>
        <v>52</v>
      </c>
      <c r="F473" s="23">
        <v>4.9000000000000002E-2</v>
      </c>
      <c r="G473" s="28">
        <f t="shared" si="216"/>
        <v>18.457216555555554</v>
      </c>
      <c r="H473" s="12">
        <v>18.75</v>
      </c>
      <c r="I473" s="72">
        <f t="shared" si="217"/>
        <v>0.29278344444444571</v>
      </c>
      <c r="J473" s="26">
        <v>4</v>
      </c>
      <c r="K473" s="26">
        <v>6</v>
      </c>
      <c r="L473" s="26">
        <v>8</v>
      </c>
      <c r="N473" s="71">
        <v>45574</v>
      </c>
      <c r="O473" s="16" cm="1">
        <f t="array" ref="O473">_xll.BADDPERIODS(N473, "PER=WD", "NUMBEROFPERIODS=2", "BUSDAYADJ=-2", "CDR=GQ", "CDR=P9")</f>
        <v>45576</v>
      </c>
      <c r="P473" s="15" cm="1">
        <f t="array" ref="P473">_xll.BDH("XAG Curncy","PX_LAST",N473,N473)</f>
        <v>30.502500000000001</v>
      </c>
      <c r="Q473" s="15" t="str" cm="1">
        <f t="array" ref="Q473">_xll.BDP("SIz4 Comdty",$M$32)</f>
        <v>02/12/2024</v>
      </c>
      <c r="R473" s="15">
        <f t="shared" si="233"/>
        <v>52</v>
      </c>
      <c r="S473" s="23">
        <v>5.0799999999999998E-2</v>
      </c>
      <c r="T473" s="21">
        <f t="shared" si="242"/>
        <v>0.22382056666666664</v>
      </c>
      <c r="U473" s="12">
        <v>0.23499999999999999</v>
      </c>
      <c r="V473" s="73">
        <f t="shared" si="243"/>
        <v>1.1179433333333351</v>
      </c>
      <c r="W473" s="15">
        <v>15</v>
      </c>
      <c r="X473" s="15">
        <v>20</v>
      </c>
      <c r="Y473" s="15">
        <v>25</v>
      </c>
      <c r="Z473" s="18">
        <f t="shared" si="239"/>
        <v>22.382056666666664</v>
      </c>
      <c r="AA473" s="18">
        <f t="shared" si="240"/>
        <v>23.5</v>
      </c>
      <c r="AB473" s="18">
        <f t="shared" si="241"/>
        <v>1.1179433333333351</v>
      </c>
      <c r="AE473" s="44" cm="1">
        <f t="array" ref="AE473">_xll.BDH("COMXGOLD Comdty","PX_Last", N473)</f>
        <v>17048313.721999999</v>
      </c>
      <c r="AF473" s="15" t="s">
        <v>45</v>
      </c>
      <c r="AG473" s="44" cm="1">
        <f t="array" ref="AG473">_xll.BDH(AF473,"FUT_AGGTE_OPEN_INT",A473)</f>
        <v>521836</v>
      </c>
      <c r="AH473" s="44">
        <f t="shared" si="234"/>
        <v>52183600</v>
      </c>
      <c r="AI473" s="48">
        <f t="shared" si="235"/>
        <v>0.32669868928168999</v>
      </c>
      <c r="AK473" s="44" cm="1">
        <f t="array" ref="AK473">_xll.BDH("COMXSILV Comdty","PX_Last", N473)</f>
        <v>306932.5</v>
      </c>
      <c r="AL473" s="15" t="s">
        <v>46</v>
      </c>
      <c r="AM473" s="47" cm="1">
        <f t="array" ref="AM473">_xll.BDH(AL473,"FUT_AGGTE_OPEN_INT",A473)</f>
        <v>140551</v>
      </c>
      <c r="AN473" s="45">
        <f t="shared" si="236"/>
        <v>436.75605296298141</v>
      </c>
      <c r="AO473" s="46">
        <f t="shared" si="237"/>
        <v>30693250000</v>
      </c>
      <c r="AP473" s="46">
        <f t="shared" si="238"/>
        <v>702755</v>
      </c>
    </row>
    <row r="474" spans="1:42" x14ac:dyDescent="0.2">
      <c r="A474" s="71">
        <v>45575</v>
      </c>
      <c r="B474" s="16" cm="1">
        <f t="array" ref="B474">_xll.BADDPERIODS(A474, "PER=WD", "NUMBEROFPERIODS=2", "BUSDAYADJ=-2", "CDR=GQ", "CDR=P9")</f>
        <v>45580</v>
      </c>
      <c r="C474" s="15" cm="1">
        <f t="array" ref="C474">_xll.BDH("XAU Curncy","PX_LAST",A474,A474)</f>
        <v>2629.74</v>
      </c>
      <c r="D474" s="15" t="str" cm="1">
        <f t="array" ref="D474">_xll.BDP("GCz4 Comdty",$M$32)</f>
        <v>02/12/2024</v>
      </c>
      <c r="E474" s="15">
        <f t="shared" si="230"/>
        <v>48</v>
      </c>
      <c r="F474" s="23">
        <v>4.9000000000000002E-2</v>
      </c>
      <c r="G474" s="28">
        <f t="shared" si="216"/>
        <v>17.180967999999996</v>
      </c>
      <c r="H474" s="12">
        <v>17.399999999999999</v>
      </c>
      <c r="I474" s="72">
        <f t="shared" si="217"/>
        <v>0.21903200000000211</v>
      </c>
      <c r="J474" s="26">
        <v>4</v>
      </c>
      <c r="K474" s="26">
        <v>6</v>
      </c>
      <c r="L474" s="26">
        <v>8</v>
      </c>
      <c r="N474" s="71">
        <v>45575</v>
      </c>
      <c r="O474" s="16" cm="1">
        <f t="array" ref="O474">_xll.BADDPERIODS(N474, "PER=WD", "NUMBEROFPERIODS=2", "BUSDAYADJ=-2", "CDR=GQ", "CDR=P9")</f>
        <v>45580</v>
      </c>
      <c r="P474" s="15" cm="1">
        <f t="array" ref="P474">_xll.BDH("XAG Curncy","PX_LAST",N474,N474)</f>
        <v>31.161999999999999</v>
      </c>
      <c r="Q474" s="15" t="str" cm="1">
        <f t="array" ref="Q474">_xll.BDP("SIz4 Comdty",$M$32)</f>
        <v>02/12/2024</v>
      </c>
      <c r="R474" s="15">
        <f t="shared" si="233"/>
        <v>48</v>
      </c>
      <c r="S474" s="23">
        <v>5.0500000000000003E-2</v>
      </c>
      <c r="T474" s="21">
        <f t="shared" si="242"/>
        <v>0.20982413333333333</v>
      </c>
      <c r="U474" s="12">
        <v>0.215</v>
      </c>
      <c r="V474" s="73">
        <f t="shared" si="243"/>
        <v>0.51758666666666675</v>
      </c>
      <c r="W474" s="15">
        <v>15</v>
      </c>
      <c r="X474" s="15">
        <v>20</v>
      </c>
      <c r="Y474" s="15">
        <v>25</v>
      </c>
      <c r="Z474" s="18">
        <f t="shared" si="239"/>
        <v>20.982413333333334</v>
      </c>
      <c r="AA474" s="18">
        <f t="shared" si="240"/>
        <v>21.5</v>
      </c>
      <c r="AB474" s="18">
        <f t="shared" si="241"/>
        <v>0.51758666666666675</v>
      </c>
      <c r="AE474" s="44" cm="1">
        <f t="array" ref="AE474">_xll.BDH("COMXGOLD Comdty","PX_Last", N474)</f>
        <v>17048109.491999999</v>
      </c>
      <c r="AF474" s="15" t="s">
        <v>45</v>
      </c>
      <c r="AG474" s="44" cm="1">
        <f t="array" ref="AG474">_xll.BDH(AF474,"FUT_AGGTE_OPEN_INT",A474)</f>
        <v>531106</v>
      </c>
      <c r="AH474" s="44">
        <f t="shared" si="234"/>
        <v>53110600</v>
      </c>
      <c r="AI474" s="48">
        <f t="shared" si="235"/>
        <v>0.32099259831370758</v>
      </c>
      <c r="AK474" s="44" cm="1">
        <f t="array" ref="AK474">_xll.BDH("COMXSILV Comdty","PX_Last", N474)</f>
        <v>306023.21999999997</v>
      </c>
      <c r="AL474" s="15" t="s">
        <v>46</v>
      </c>
      <c r="AM474" s="47" cm="1">
        <f t="array" ref="AM474">_xll.BDH(AL474,"FUT_AGGTE_OPEN_INT",A474)</f>
        <v>140852</v>
      </c>
      <c r="AN474" s="45">
        <f t="shared" si="236"/>
        <v>434.53159344560243</v>
      </c>
      <c r="AO474" s="46">
        <f t="shared" si="237"/>
        <v>30602321999.999996</v>
      </c>
      <c r="AP474" s="46">
        <f t="shared" si="238"/>
        <v>704260</v>
      </c>
    </row>
    <row r="475" spans="1:42" x14ac:dyDescent="0.2">
      <c r="A475" s="71">
        <v>45576</v>
      </c>
      <c r="B475" s="16" cm="1">
        <f t="array" ref="B475">_xll.BADDPERIODS(A475, "PER=WD", "NUMBEROFPERIODS=2", "BUSDAYADJ=-2", "CDR=GQ", "CDR=P9")</f>
        <v>45581</v>
      </c>
      <c r="C475" s="15" cm="1">
        <f t="array" ref="C475">_xll.BDH("XAU Curncy","PX_LAST",A475,A475)</f>
        <v>2656.59</v>
      </c>
      <c r="D475" s="15" t="str" cm="1">
        <f t="array" ref="D475">_xll.BDP("GCz4 Comdty",$M$32)</f>
        <v>02/12/2024</v>
      </c>
      <c r="E475" s="15">
        <f t="shared" si="230"/>
        <v>47</v>
      </c>
      <c r="F475" s="23">
        <v>4.9000000000000002E-2</v>
      </c>
      <c r="G475" s="28">
        <f t="shared" si="216"/>
        <v>16.994796583333336</v>
      </c>
      <c r="H475" s="12">
        <v>17.5</v>
      </c>
      <c r="I475" s="72">
        <f t="shared" si="217"/>
        <v>0.50520341666666368</v>
      </c>
      <c r="J475" s="26">
        <v>4</v>
      </c>
      <c r="K475" s="26">
        <v>6</v>
      </c>
      <c r="L475" s="26">
        <v>8</v>
      </c>
      <c r="N475" s="71">
        <v>45576</v>
      </c>
      <c r="O475" s="16" cm="1">
        <f t="array" ref="O475">_xll.BADDPERIODS(N475, "PER=WD", "NUMBEROFPERIODS=2", "BUSDAYADJ=-2", "CDR=GQ", "CDR=P9")</f>
        <v>45581</v>
      </c>
      <c r="P475" s="15" cm="1">
        <f t="array" ref="P475">_xll.BDH("XAG Curncy","PX_LAST",N475,N475)</f>
        <v>31.5395</v>
      </c>
      <c r="Q475" s="15" t="str" cm="1">
        <f t="array" ref="Q475">_xll.BDP("SIz4 Comdty",$M$32)</f>
        <v>02/12/2024</v>
      </c>
      <c r="R475" s="15">
        <f t="shared" si="233"/>
        <v>47</v>
      </c>
      <c r="S475" s="23">
        <v>5.0500000000000003E-2</v>
      </c>
      <c r="T475" s="21">
        <f t="shared" si="242"/>
        <v>0.20794167569444447</v>
      </c>
      <c r="U475" s="12">
        <v>0.2225</v>
      </c>
      <c r="V475" s="73">
        <f t="shared" si="243"/>
        <v>1.4558324305555537</v>
      </c>
      <c r="W475" s="15">
        <v>15</v>
      </c>
      <c r="X475" s="15">
        <v>20</v>
      </c>
      <c r="Y475" s="15">
        <v>25</v>
      </c>
      <c r="Z475" s="18">
        <f t="shared" si="239"/>
        <v>20.794167569444447</v>
      </c>
      <c r="AA475" s="18">
        <f t="shared" si="240"/>
        <v>22.25</v>
      </c>
      <c r="AB475" s="18">
        <f t="shared" si="241"/>
        <v>1.4558324305555537</v>
      </c>
      <c r="AE475" s="44" cm="1">
        <f t="array" ref="AE475">_xll.BDH("COMXGOLD Comdty","PX_Last", N475)</f>
        <v>17048109.491999999</v>
      </c>
      <c r="AF475" s="15" t="s">
        <v>45</v>
      </c>
      <c r="AG475" s="44" cm="1">
        <f t="array" ref="AG475">_xll.BDH(AF475,"FUT_AGGTE_OPEN_INT",A475)</f>
        <v>538734</v>
      </c>
      <c r="AH475" s="44">
        <f t="shared" si="234"/>
        <v>53873400</v>
      </c>
      <c r="AI475" s="48">
        <f t="shared" si="235"/>
        <v>0.31644762521021502</v>
      </c>
      <c r="AK475" s="44" cm="1">
        <f t="array" ref="AK475">_xll.BDH("COMXSILV Comdty","PX_Last", N475)</f>
        <v>306014.21999999997</v>
      </c>
      <c r="AL475" s="15" t="s">
        <v>46</v>
      </c>
      <c r="AM475" s="47" cm="1">
        <f t="array" ref="AM475">_xll.BDH(AL475,"FUT_AGGTE_OPEN_INT",A475)</f>
        <v>141685</v>
      </c>
      <c r="AN475" s="45">
        <f t="shared" si="236"/>
        <v>431.96417404806431</v>
      </c>
      <c r="AO475" s="46">
        <f t="shared" si="237"/>
        <v>30601421999.999996</v>
      </c>
      <c r="AP475" s="46">
        <f t="shared" si="238"/>
        <v>708425</v>
      </c>
    </row>
    <row r="476" spans="1:42" x14ac:dyDescent="0.2">
      <c r="A476" s="71">
        <v>45579</v>
      </c>
      <c r="B476" s="16" cm="1">
        <f t="array" ref="B476">_xll.BADDPERIODS(A476, "PER=WD", "NUMBEROFPERIODS=2", "BUSDAYADJ=-2", "CDR=GQ", "CDR=P9")</f>
        <v>45581</v>
      </c>
      <c r="C476" s="15" cm="1">
        <f t="array" ref="C476">_xll.BDH("XAU Curncy","PX_LAST",A476,A476)</f>
        <v>2648.54</v>
      </c>
      <c r="D476" s="15" t="str" cm="1">
        <f t="array" ref="D476">_xll.BDP("GCz4 Comdty",$M$32)</f>
        <v>02/12/2024</v>
      </c>
      <c r="E476" s="15">
        <f t="shared" si="230"/>
        <v>47</v>
      </c>
      <c r="F476" s="23">
        <v>4.9000000000000002E-2</v>
      </c>
      <c r="G476" s="28">
        <f t="shared" si="216"/>
        <v>16.943298944444447</v>
      </c>
      <c r="H476" s="12">
        <v>17.100000000000001</v>
      </c>
      <c r="I476" s="72">
        <f t="shared" si="217"/>
        <v>0.1567010555555548</v>
      </c>
      <c r="J476" s="26">
        <v>4</v>
      </c>
      <c r="K476" s="26">
        <v>6</v>
      </c>
      <c r="L476" s="26">
        <v>8</v>
      </c>
      <c r="N476" s="71">
        <v>45579</v>
      </c>
      <c r="O476" s="16" cm="1">
        <f t="array" ref="O476">_xll.BADDPERIODS(N476, "PER=WD", "NUMBEROFPERIODS=2", "BUSDAYADJ=-2", "CDR=GQ", "CDR=P9")</f>
        <v>45581</v>
      </c>
      <c r="P476" s="15" cm="1">
        <f t="array" ref="P476">_xll.BDH("XAG Curncy","PX_LAST",N476,N476)</f>
        <v>31.1982</v>
      </c>
      <c r="Q476" s="15" t="str" cm="1">
        <f t="array" ref="Q476">_xll.BDP("SIz4 Comdty",$M$32)</f>
        <v>02/12/2024</v>
      </c>
      <c r="R476" s="15">
        <f t="shared" si="233"/>
        <v>47</v>
      </c>
      <c r="S476" s="23">
        <v>5.0500000000000003E-2</v>
      </c>
      <c r="T476" s="21">
        <f t="shared" si="242"/>
        <v>0.20569146583333334</v>
      </c>
      <c r="U476" s="12">
        <v>0.215</v>
      </c>
      <c r="V476" s="73">
        <f t="shared" si="243"/>
        <v>0.93085341666666599</v>
      </c>
      <c r="W476" s="15">
        <v>15</v>
      </c>
      <c r="X476" s="15">
        <v>20</v>
      </c>
      <c r="Y476" s="15">
        <v>25</v>
      </c>
      <c r="Z476" s="18">
        <f t="shared" si="239"/>
        <v>20.569146583333335</v>
      </c>
      <c r="AA476" s="18">
        <f t="shared" si="240"/>
        <v>21.5</v>
      </c>
      <c r="AB476" s="18">
        <f t="shared" si="241"/>
        <v>0.93085341666666599</v>
      </c>
      <c r="AE476" s="44" cm="1">
        <f t="array" ref="AE476">_xll.BDH("COMXGOLD Comdty","PX_Last", N476)</f>
        <v>17047400.723000001</v>
      </c>
      <c r="AF476" s="15" t="s">
        <v>45</v>
      </c>
      <c r="AG476" s="44" cm="1">
        <f t="array" ref="AG476">_xll.BDH(AF476,"FUT_AGGTE_OPEN_INT",A476)</f>
        <v>536624</v>
      </c>
      <c r="AH476" s="44">
        <f t="shared" si="234"/>
        <v>53662400</v>
      </c>
      <c r="AI476" s="48">
        <f t="shared" si="235"/>
        <v>0.31767868606323985</v>
      </c>
      <c r="AK476" s="44" cm="1">
        <f t="array" ref="AK476">_xll.BDH("COMXSILV Comdty","PX_Last", N476)</f>
        <v>305367.65999999997</v>
      </c>
      <c r="AL476" s="15" t="s">
        <v>46</v>
      </c>
      <c r="AM476" s="47" cm="1">
        <f t="array" ref="AM476">_xll.BDH(AL476,"FUT_AGGTE_OPEN_INT",A476)</f>
        <v>141387</v>
      </c>
      <c r="AN476" s="45">
        <f t="shared" si="236"/>
        <v>431.96002461329539</v>
      </c>
      <c r="AO476" s="46">
        <f t="shared" si="237"/>
        <v>30536765999.999996</v>
      </c>
      <c r="AP476" s="46">
        <f t="shared" si="238"/>
        <v>706935</v>
      </c>
    </row>
    <row r="477" spans="1:42" x14ac:dyDescent="0.2">
      <c r="A477" s="71">
        <v>45580</v>
      </c>
      <c r="B477" s="16" cm="1">
        <f t="array" ref="B477">_xll.BADDPERIODS(A477, "PER=WD", "NUMBEROFPERIODS=2", "BUSDAYADJ=-2", "CDR=GQ", "CDR=P9")</f>
        <v>45582</v>
      </c>
      <c r="C477" s="15" cm="1">
        <f t="array" ref="C477">_xll.BDH("XAU Curncy","PX_LAST",A477,A477)</f>
        <v>2662.58</v>
      </c>
      <c r="D477" s="15" t="str" cm="1">
        <f t="array" ref="D477">_xll.BDP("GCz4 Comdty",$M$32)</f>
        <v>02/12/2024</v>
      </c>
      <c r="E477" s="15">
        <f t="shared" si="230"/>
        <v>46</v>
      </c>
      <c r="F477" s="23">
        <v>4.9000000000000002E-2</v>
      </c>
      <c r="G477" s="28">
        <f t="shared" ref="G477:G540" si="244">C477*(E477/360)*F477</f>
        <v>16.670709222222222</v>
      </c>
      <c r="H477" s="12">
        <v>16.75</v>
      </c>
      <c r="I477" s="72">
        <f t="shared" si="217"/>
        <v>7.9290777777778487E-2</v>
      </c>
      <c r="J477" s="26">
        <v>4</v>
      </c>
      <c r="K477" s="26">
        <v>6</v>
      </c>
      <c r="L477" s="26">
        <v>8</v>
      </c>
      <c r="N477" s="71">
        <v>45580</v>
      </c>
      <c r="O477" s="16" cm="1">
        <f t="array" ref="O477">_xll.BADDPERIODS(N477, "PER=WD", "NUMBEROFPERIODS=2", "BUSDAYADJ=-2", "CDR=GQ", "CDR=P9")</f>
        <v>45582</v>
      </c>
      <c r="P477" s="15" cm="1">
        <f t="array" ref="P477">_xll.BDH("XAG Curncy","PX_LAST",N477,N477)</f>
        <v>31.5002</v>
      </c>
      <c r="Q477" s="15" t="str" cm="1">
        <f t="array" ref="Q477">_xll.BDP("SIz4 Comdty",$M$32)</f>
        <v>02/12/2024</v>
      </c>
      <c r="R477" s="15">
        <f t="shared" si="233"/>
        <v>46</v>
      </c>
      <c r="S477" s="23">
        <v>5.0500000000000003E-2</v>
      </c>
      <c r="T477" s="21">
        <f t="shared" si="242"/>
        <v>0.20326379055555552</v>
      </c>
      <c r="U477" s="12">
        <v>0.21</v>
      </c>
      <c r="V477" s="73">
        <f t="shared" si="243"/>
        <v>0.67362094444444742</v>
      </c>
      <c r="W477" s="15">
        <v>15</v>
      </c>
      <c r="X477" s="15">
        <v>20</v>
      </c>
      <c r="Y477" s="15">
        <v>25</v>
      </c>
      <c r="Z477" s="18">
        <f t="shared" si="239"/>
        <v>20.326379055555552</v>
      </c>
      <c r="AA477" s="18">
        <f t="shared" si="240"/>
        <v>21</v>
      </c>
      <c r="AB477" s="18">
        <f t="shared" si="241"/>
        <v>0.67362094444444742</v>
      </c>
      <c r="AE477" s="44" cm="1">
        <f t="array" ref="AE477">_xll.BDH("COMXGOLD Comdty","PX_Last", N477)</f>
        <v>17045846.802999999</v>
      </c>
      <c r="AF477" s="15" t="s">
        <v>45</v>
      </c>
      <c r="AG477" s="44" cm="1">
        <f t="array" ref="AG477">_xll.BDH(AF477,"FUT_AGGTE_OPEN_INT",A477)</f>
        <v>541232</v>
      </c>
      <c r="AH477" s="44">
        <f t="shared" si="234"/>
        <v>54123200</v>
      </c>
      <c r="AI477" s="48">
        <f t="shared" si="235"/>
        <v>0.31494528784329084</v>
      </c>
      <c r="AK477" s="44" cm="1">
        <f t="array" ref="AK477">_xll.BDH("COMXSILV Comdty","PX_Last", N477)</f>
        <v>305955.28000000003</v>
      </c>
      <c r="AL477" s="15" t="s">
        <v>46</v>
      </c>
      <c r="AM477" s="47" cm="1">
        <f t="array" ref="AM477">_xll.BDH(AL477,"FUT_AGGTE_OPEN_INT",A477)</f>
        <v>141898</v>
      </c>
      <c r="AN477" s="45">
        <f t="shared" si="236"/>
        <v>431.23268826903842</v>
      </c>
      <c r="AO477" s="46">
        <f t="shared" si="237"/>
        <v>30595528000.000004</v>
      </c>
      <c r="AP477" s="46">
        <f t="shared" si="238"/>
        <v>709490</v>
      </c>
    </row>
    <row r="478" spans="1:42" x14ac:dyDescent="0.2">
      <c r="A478" s="71">
        <v>45581</v>
      </c>
      <c r="B478" s="16" cm="1">
        <f t="array" ref="B478">_xll.BADDPERIODS(A478, "PER=WD", "NUMBEROFPERIODS=2", "BUSDAYADJ=-2", "CDR=GQ", "CDR=P9")</f>
        <v>45583</v>
      </c>
      <c r="C478" s="15" cm="1">
        <f t="array" ref="C478">_xll.BDH("XAU Curncy","PX_LAST",A478,A478)</f>
        <v>2673.83</v>
      </c>
      <c r="D478" s="15" t="str" cm="1">
        <f t="array" ref="D478">_xll.BDP("GCz4 Comdty",$M$32)</f>
        <v>02/12/2024</v>
      </c>
      <c r="E478" s="15">
        <f t="shared" si="230"/>
        <v>45</v>
      </c>
      <c r="F478" s="23">
        <v>4.9000000000000002E-2</v>
      </c>
      <c r="G478" s="28">
        <f t="shared" si="244"/>
        <v>16.377208750000001</v>
      </c>
      <c r="H478" s="12">
        <v>16.7</v>
      </c>
      <c r="I478" s="72">
        <f t="shared" si="217"/>
        <v>0.32279124999999809</v>
      </c>
      <c r="J478" s="26">
        <v>4</v>
      </c>
      <c r="K478" s="26">
        <v>6</v>
      </c>
      <c r="L478" s="26">
        <v>8</v>
      </c>
      <c r="N478" s="71">
        <v>45581</v>
      </c>
      <c r="O478" s="16" cm="1">
        <f t="array" ref="O478">_xll.BADDPERIODS(N478, "PER=WD", "NUMBEROFPERIODS=2", "BUSDAYADJ=-2", "CDR=GQ", "CDR=P9")</f>
        <v>45583</v>
      </c>
      <c r="P478" s="15" cm="1">
        <f t="array" ref="P478">_xll.BDH("XAG Curncy","PX_LAST",N478,N478)</f>
        <v>31.690200000000001</v>
      </c>
      <c r="Q478" s="15" t="str" cm="1">
        <f t="array" ref="Q478">_xll.BDP("SIz4 Comdty",$M$32)</f>
        <v>02/12/2024</v>
      </c>
      <c r="R478" s="15">
        <f t="shared" si="233"/>
        <v>45</v>
      </c>
      <c r="S478" s="23">
        <v>5.0500000000000003E-2</v>
      </c>
      <c r="T478" s="21">
        <f t="shared" si="242"/>
        <v>0.20004438750000003</v>
      </c>
      <c r="U478" s="12">
        <v>0.20499999999999999</v>
      </c>
      <c r="V478" s="73">
        <f t="shared" si="243"/>
        <v>0.49556124999999562</v>
      </c>
      <c r="W478" s="15">
        <v>15</v>
      </c>
      <c r="X478" s="15">
        <v>20</v>
      </c>
      <c r="Y478" s="15">
        <v>25</v>
      </c>
      <c r="Z478" s="18">
        <f t="shared" si="239"/>
        <v>20.004438750000002</v>
      </c>
      <c r="AA478" s="18">
        <f t="shared" si="240"/>
        <v>20.5</v>
      </c>
      <c r="AB478" s="18">
        <f t="shared" si="241"/>
        <v>0.49556124999999562</v>
      </c>
      <c r="AE478" s="44" cm="1">
        <f t="array" ref="AE478">_xll.BDH("COMXGOLD Comdty","PX_Last", N478)</f>
        <v>17045608.522</v>
      </c>
      <c r="AF478" s="15" t="s">
        <v>45</v>
      </c>
      <c r="AG478" s="44" cm="1">
        <f t="array" ref="AG478">_xll.BDH(AF478,"FUT_AGGTE_OPEN_INT",A478)</f>
        <v>547421</v>
      </c>
      <c r="AH478" s="44">
        <f t="shared" si="234"/>
        <v>54742100</v>
      </c>
      <c r="AI478" s="48">
        <f t="shared" si="235"/>
        <v>0.31138024522259833</v>
      </c>
      <c r="AK478" s="44" cm="1">
        <f t="array" ref="AK478">_xll.BDH("COMXSILV Comdty","PX_Last", N478)</f>
        <v>306126.46999999997</v>
      </c>
      <c r="AL478" s="15" t="s">
        <v>46</v>
      </c>
      <c r="AM478" s="47" cm="1">
        <f t="array" ref="AM478">_xll.BDH(AL478,"FUT_AGGTE_OPEN_INT",A478)</f>
        <v>142301</v>
      </c>
      <c r="AN478" s="45">
        <f t="shared" si="236"/>
        <v>430.25202914947886</v>
      </c>
      <c r="AO478" s="46">
        <f t="shared" si="237"/>
        <v>30612646999.999996</v>
      </c>
      <c r="AP478" s="46">
        <f t="shared" si="238"/>
        <v>711505</v>
      </c>
    </row>
    <row r="479" spans="1:42" x14ac:dyDescent="0.2">
      <c r="A479" s="71">
        <v>45582</v>
      </c>
      <c r="B479" s="16" cm="1">
        <f t="array" ref="B479">_xll.BADDPERIODS(A479, "PER=WD", "NUMBEROFPERIODS=2", "BUSDAYADJ=-2", "CDR=GQ", "CDR=P9")</f>
        <v>45586</v>
      </c>
      <c r="C479" s="15" cm="1">
        <f t="array" ref="C479">_xll.BDH("XAU Curncy","PX_LAST",A479,A479)</f>
        <v>2692.71</v>
      </c>
      <c r="D479" s="15" t="str" cm="1">
        <f t="array" ref="D479">_xll.BDP("GCz4 Comdty",$M$32)</f>
        <v>02/12/2024</v>
      </c>
      <c r="E479" s="15">
        <f t="shared" si="230"/>
        <v>42</v>
      </c>
      <c r="F479" s="23">
        <v>4.9000000000000002E-2</v>
      </c>
      <c r="G479" s="28">
        <f t="shared" si="244"/>
        <v>15.3933255</v>
      </c>
      <c r="H479" s="12">
        <v>15.6</v>
      </c>
      <c r="I479" s="72">
        <f t="shared" si="217"/>
        <v>0.20667450000000009</v>
      </c>
      <c r="J479" s="26">
        <v>4</v>
      </c>
      <c r="K479" s="26">
        <v>6</v>
      </c>
      <c r="L479" s="26">
        <v>8</v>
      </c>
      <c r="N479" s="71">
        <v>45582</v>
      </c>
      <c r="O479" s="16" cm="1">
        <f t="array" ref="O479">_xll.BADDPERIODS(N479, "PER=WD", "NUMBEROFPERIODS=2", "BUSDAYADJ=-2", "CDR=GQ", "CDR=P9")</f>
        <v>45586</v>
      </c>
      <c r="P479" s="15" cm="1">
        <f t="array" ref="P479">_xll.BDH("XAG Curncy","PX_LAST",N479,N479)</f>
        <v>31.697500000000002</v>
      </c>
      <c r="Q479" s="15" t="str" cm="1">
        <f t="array" ref="Q479">_xll.BDP("SIz4 Comdty",$M$32)</f>
        <v>02/12/2024</v>
      </c>
      <c r="R479" s="15">
        <f t="shared" si="233"/>
        <v>42</v>
      </c>
      <c r="S479" s="23">
        <v>5.0500000000000003E-2</v>
      </c>
      <c r="T479" s="21">
        <f t="shared" si="242"/>
        <v>0.18675110416666671</v>
      </c>
      <c r="U479" s="12">
        <v>0.19500000000000001</v>
      </c>
      <c r="V479" s="73">
        <f t="shared" si="243"/>
        <v>0.82488958333332973</v>
      </c>
      <c r="W479" s="15">
        <v>15</v>
      </c>
      <c r="X479" s="15">
        <v>20</v>
      </c>
      <c r="Y479" s="15">
        <v>25</v>
      </c>
      <c r="Z479" s="18">
        <f t="shared" si="239"/>
        <v>18.675110416666669</v>
      </c>
      <c r="AA479" s="18">
        <f t="shared" si="240"/>
        <v>19.5</v>
      </c>
      <c r="AB479" s="18">
        <f t="shared" si="241"/>
        <v>0.82488958333332973</v>
      </c>
      <c r="AE479" s="44" cm="1">
        <f t="array" ref="AE479">_xll.BDH("COMXGOLD Comdty","PX_Last", N479)</f>
        <v>16992848.234999999</v>
      </c>
      <c r="AF479" s="15" t="s">
        <v>45</v>
      </c>
      <c r="AG479" s="44" cm="1">
        <f t="array" ref="AG479">_xll.BDH(AF479,"FUT_AGGTE_OPEN_INT",A479)</f>
        <v>557758</v>
      </c>
      <c r="AH479" s="44">
        <f t="shared" si="234"/>
        <v>55775800</v>
      </c>
      <c r="AI479" s="48">
        <f t="shared" si="235"/>
        <v>0.30466346040756026</v>
      </c>
      <c r="AK479" s="44" cm="1">
        <f t="array" ref="AK479">_xll.BDH("COMXSILV Comdty","PX_Last", N479)</f>
        <v>305299.90999999997</v>
      </c>
      <c r="AL479" s="15" t="s">
        <v>46</v>
      </c>
      <c r="AM479" s="47" cm="1">
        <f t="array" ref="AM479">_xll.BDH(AL479,"FUT_AGGTE_OPEN_INT",A479)</f>
        <v>141580</v>
      </c>
      <c r="AN479" s="45">
        <f t="shared" si="236"/>
        <v>431.27547676225447</v>
      </c>
      <c r="AO479" s="46">
        <f t="shared" si="237"/>
        <v>30529990999.999996</v>
      </c>
      <c r="AP479" s="46">
        <f t="shared" si="238"/>
        <v>707900</v>
      </c>
    </row>
    <row r="480" spans="1:42" x14ac:dyDescent="0.2">
      <c r="A480" s="71">
        <v>45583</v>
      </c>
      <c r="B480" s="16" cm="1">
        <f t="array" ref="B480">_xll.BADDPERIODS(A480, "PER=WD", "NUMBEROFPERIODS=2", "BUSDAYADJ=-2", "CDR=GQ", "CDR=P9")</f>
        <v>45587</v>
      </c>
      <c r="C480" s="15" cm="1">
        <f t="array" ref="C480">_xll.BDH("XAU Curncy","PX_LAST",A480,A480)</f>
        <v>2721.46</v>
      </c>
      <c r="D480" s="15" t="str" cm="1">
        <f t="array" ref="D480">_xll.BDP("GCz4 Comdty",$M$32)</f>
        <v>02/12/2024</v>
      </c>
      <c r="E480" s="15">
        <f t="shared" si="230"/>
        <v>41</v>
      </c>
      <c r="F480" s="23">
        <v>4.9000000000000002E-2</v>
      </c>
      <c r="G480" s="28">
        <f t="shared" si="244"/>
        <v>15.187258722222223</v>
      </c>
      <c r="H480" s="12">
        <v>15.5</v>
      </c>
      <c r="I480" s="72">
        <f t="shared" si="217"/>
        <v>0.31274127777777672</v>
      </c>
      <c r="J480" s="26">
        <v>4</v>
      </c>
      <c r="K480" s="26">
        <v>6</v>
      </c>
      <c r="L480" s="26">
        <v>8</v>
      </c>
      <c r="N480" s="71">
        <v>45583</v>
      </c>
      <c r="O480" s="16" cm="1">
        <f t="array" ref="O480">_xll.BADDPERIODS(N480, "PER=WD", "NUMBEROFPERIODS=2", "BUSDAYADJ=-2", "CDR=GQ", "CDR=P9")</f>
        <v>45587</v>
      </c>
      <c r="P480" s="15" cm="1">
        <f t="array" ref="P480">_xll.BDH("XAG Curncy","PX_LAST",N480,N480)</f>
        <v>33.716200000000001</v>
      </c>
      <c r="Q480" s="15" t="str" cm="1">
        <f t="array" ref="Q480">_xll.BDP("SIz4 Comdty",$M$32)</f>
        <v>02/12/2024</v>
      </c>
      <c r="R480" s="15">
        <f t="shared" si="233"/>
        <v>41</v>
      </c>
      <c r="S480" s="23">
        <v>5.0500000000000003E-2</v>
      </c>
      <c r="T480" s="21">
        <f t="shared" si="242"/>
        <v>0.19391497805555555</v>
      </c>
      <c r="U480" s="12">
        <v>0.2</v>
      </c>
      <c r="V480" s="73">
        <f t="shared" si="243"/>
        <v>0.60850219444444631</v>
      </c>
      <c r="W480" s="15">
        <v>15</v>
      </c>
      <c r="X480" s="15">
        <v>20</v>
      </c>
      <c r="Y480" s="15">
        <v>25</v>
      </c>
      <c r="Z480" s="18">
        <f t="shared" si="239"/>
        <v>19.391497805555556</v>
      </c>
      <c r="AA480" s="18">
        <f t="shared" si="240"/>
        <v>20</v>
      </c>
      <c r="AB480" s="18">
        <f t="shared" si="241"/>
        <v>0.60850219444444631</v>
      </c>
      <c r="AE480" s="44" cm="1">
        <f t="array" ref="AE480">_xll.BDH("COMXGOLD Comdty","PX_Last", N480)</f>
        <v>16992848.234999999</v>
      </c>
      <c r="AF480" s="15" t="s">
        <v>45</v>
      </c>
      <c r="AG480" s="44" cm="1">
        <f t="array" ref="AG480">_xll.BDH(AF480,"FUT_AGGTE_OPEN_INT",A480)</f>
        <v>566714</v>
      </c>
      <c r="AH480" s="44">
        <f t="shared" si="234"/>
        <v>56671400</v>
      </c>
      <c r="AI480" s="48">
        <f t="shared" si="235"/>
        <v>0.29984874619296503</v>
      </c>
      <c r="AK480" s="44" cm="1">
        <f t="array" ref="AK480">_xll.BDH("COMXSILV Comdty","PX_Last", N480)</f>
        <v>306501.44</v>
      </c>
      <c r="AL480" s="15" t="s">
        <v>46</v>
      </c>
      <c r="AM480" s="47" cm="1">
        <f t="array" ref="AM480">_xll.BDH(AL480,"FUT_AGGTE_OPEN_INT",A480)</f>
        <v>151070</v>
      </c>
      <c r="AN480" s="45">
        <f t="shared" si="236"/>
        <v>405.77406500297877</v>
      </c>
      <c r="AO480" s="46">
        <f t="shared" si="237"/>
        <v>30650144000</v>
      </c>
      <c r="AP480" s="46">
        <f t="shared" si="238"/>
        <v>755350</v>
      </c>
    </row>
    <row r="481" spans="1:42" x14ac:dyDescent="0.2">
      <c r="A481" s="71">
        <v>45586</v>
      </c>
      <c r="B481" s="16" cm="1">
        <f t="array" ref="B481">_xll.BADDPERIODS(A481, "PER=WD", "NUMBEROFPERIODS=2", "BUSDAYADJ=-2", "CDR=GQ", "CDR=P9")</f>
        <v>45588</v>
      </c>
      <c r="C481" s="15" cm="1">
        <f t="array" ref="C481">_xll.BDH("XAU Curncy","PX_LAST",A481,A481)</f>
        <v>2719.85</v>
      </c>
      <c r="D481" s="15" t="str" cm="1">
        <f t="array" ref="D481">_xll.BDP("GCz4 Comdty",$M$32)</f>
        <v>02/12/2024</v>
      </c>
      <c r="E481" s="15">
        <f t="shared" si="230"/>
        <v>40</v>
      </c>
      <c r="F481" s="23">
        <v>4.8500000000000001E-2</v>
      </c>
      <c r="G481" s="28">
        <f t="shared" si="244"/>
        <v>14.656969444444444</v>
      </c>
      <c r="H481" s="12">
        <v>15.1</v>
      </c>
      <c r="I481" s="76">
        <f t="shared" si="217"/>
        <v>0.44303055555555559</v>
      </c>
      <c r="J481" s="26">
        <v>4</v>
      </c>
      <c r="K481" s="26">
        <v>6</v>
      </c>
      <c r="L481" s="26">
        <v>8</v>
      </c>
      <c r="N481" s="71">
        <v>45586</v>
      </c>
      <c r="O481" s="16" cm="1">
        <f t="array" ref="O481">_xll.BADDPERIODS(N481, "PER=WD", "NUMBEROFPERIODS=2", "BUSDAYADJ=-2", "CDR=GQ", "CDR=P9")</f>
        <v>45588</v>
      </c>
      <c r="P481" s="15" cm="1">
        <f t="array" ref="P481">_xll.BDH("XAG Curncy","PX_LAST",N481,N481)</f>
        <v>33.788499999999999</v>
      </c>
      <c r="Q481" s="15" t="str" cm="1">
        <f t="array" ref="Q481">_xll.BDP("SIz4 Comdty",$M$32)</f>
        <v>02/12/2024</v>
      </c>
      <c r="R481" s="15">
        <f t="shared" si="233"/>
        <v>40</v>
      </c>
      <c r="S481" s="23">
        <v>0.05</v>
      </c>
      <c r="T481" s="21">
        <f t="shared" si="242"/>
        <v>0.18771388888888887</v>
      </c>
      <c r="U481" s="12">
        <v>0.22</v>
      </c>
      <c r="V481" s="77">
        <f t="shared" si="243"/>
        <v>3.2286111111111127</v>
      </c>
      <c r="W481" s="15">
        <v>15</v>
      </c>
      <c r="X481" s="15">
        <v>20</v>
      </c>
      <c r="Y481" s="15">
        <v>25</v>
      </c>
      <c r="Z481" s="18">
        <f t="shared" si="239"/>
        <v>18.771388888888886</v>
      </c>
      <c r="AA481" s="18">
        <f t="shared" si="240"/>
        <v>22</v>
      </c>
      <c r="AB481" s="18">
        <f t="shared" si="241"/>
        <v>3.2286111111111127</v>
      </c>
      <c r="AE481" s="44" cm="1">
        <f t="array" ref="AE481">_xll.BDH("COMXGOLD Comdty","PX_Last", N481)</f>
        <v>16992783.934999999</v>
      </c>
      <c r="AF481" s="15" t="s">
        <v>45</v>
      </c>
      <c r="AG481" s="44" cm="1">
        <f t="array" ref="AG481">_xll.BDH(AF481,"FUT_AGGTE_OPEN_INT",A481)</f>
        <v>567444</v>
      </c>
      <c r="AH481" s="44">
        <f t="shared" ref="AH481:AH494" si="245">AG481*$AG$17</f>
        <v>56744400</v>
      </c>
      <c r="AI481" s="48">
        <f t="shared" ref="AI481:AI494" si="246">AE481/AH481</f>
        <v>0.29946186645730677</v>
      </c>
      <c r="AK481" s="44" cm="1">
        <f t="array" ref="AK481">_xll.BDH("COMXSILV Comdty","PX_Last", N481)</f>
        <v>306533.03000000003</v>
      </c>
      <c r="AL481" s="15" t="s">
        <v>46</v>
      </c>
      <c r="AM481" s="47" cm="1">
        <f t="array" ref="AM481">_xll.BDH(AL481,"FUT_AGGTE_OPEN_INT",A481)</f>
        <v>153012</v>
      </c>
      <c r="AN481" s="45">
        <f t="shared" ref="AN481:AN494" si="247">(AO481/AP481)/100</f>
        <v>400.6653465087706</v>
      </c>
      <c r="AO481" s="46">
        <f t="shared" ref="AO481:AO494" si="248">AK481*100000</f>
        <v>30653303000.000004</v>
      </c>
      <c r="AP481" s="46">
        <f t="shared" ref="AP481:AP494" si="249">(AM481*5000)/1000</f>
        <v>765060</v>
      </c>
    </row>
    <row r="482" spans="1:42" x14ac:dyDescent="0.2">
      <c r="A482" s="71">
        <v>45587</v>
      </c>
      <c r="B482" s="16" cm="1">
        <f t="array" ref="B482">_xll.BADDPERIODS(A482, "PER=WD", "NUMBEROFPERIODS=2", "BUSDAYADJ=-2", "CDR=GQ", "CDR=P9")</f>
        <v>45589</v>
      </c>
      <c r="C482" s="15" cm="1">
        <f t="array" ref="C482">_xll.BDH("XAU Curncy","PX_LAST",A482,A482)</f>
        <v>2749.01</v>
      </c>
      <c r="D482" s="15" t="str" cm="1">
        <f t="array" ref="D482">_xll.BDP("GCz4 Comdty",$M$32)</f>
        <v>02/12/2024</v>
      </c>
      <c r="E482" s="15">
        <f t="shared" si="230"/>
        <v>39</v>
      </c>
      <c r="F482" s="23">
        <v>4.8500000000000001E-2</v>
      </c>
      <c r="G482" s="28">
        <f t="shared" si="244"/>
        <v>14.443756708333336</v>
      </c>
      <c r="H482" s="12">
        <v>14.6</v>
      </c>
      <c r="I482" s="76">
        <f t="shared" si="217"/>
        <v>0.15624329166666406</v>
      </c>
      <c r="J482" s="26">
        <v>4</v>
      </c>
      <c r="K482" s="26">
        <v>6</v>
      </c>
      <c r="L482" s="26">
        <v>8</v>
      </c>
      <c r="N482" s="71">
        <v>45587</v>
      </c>
      <c r="O482" s="16" cm="1">
        <f t="array" ref="O482">_xll.BADDPERIODS(N482, "PER=WD", "NUMBEROFPERIODS=2", "BUSDAYADJ=-2", "CDR=GQ", "CDR=P9")</f>
        <v>45589</v>
      </c>
      <c r="P482" s="15" cm="1">
        <f t="array" ref="P482">_xll.BDH("XAG Curncy","PX_LAST",N482,N482)</f>
        <v>34.858499999999999</v>
      </c>
      <c r="Q482" s="15" t="str" cm="1">
        <f t="array" ref="Q482">_xll.BDP("SIz4 Comdty",$M$32)</f>
        <v>02/12/2024</v>
      </c>
      <c r="R482" s="15">
        <f t="shared" si="233"/>
        <v>39</v>
      </c>
      <c r="S482" s="23">
        <v>0.05</v>
      </c>
      <c r="T482" s="21">
        <f t="shared" si="242"/>
        <v>0.188816875</v>
      </c>
      <c r="U482" s="12">
        <v>0.2</v>
      </c>
      <c r="V482" s="77">
        <f t="shared" si="243"/>
        <v>1.1183125000000016</v>
      </c>
      <c r="W482" s="15">
        <v>15</v>
      </c>
      <c r="X482" s="15">
        <v>20</v>
      </c>
      <c r="Y482" s="15">
        <v>25</v>
      </c>
      <c r="Z482" s="18">
        <f t="shared" si="239"/>
        <v>18.881687499999998</v>
      </c>
      <c r="AA482" s="18">
        <f t="shared" si="240"/>
        <v>20</v>
      </c>
      <c r="AB482" s="18">
        <f t="shared" si="241"/>
        <v>1.1183125000000016</v>
      </c>
      <c r="AE482" s="44" cm="1">
        <f t="array" ref="AE482">_xll.BDH("COMXGOLD Comdty","PX_Last", N482)</f>
        <v>16992783.934999999</v>
      </c>
      <c r="AF482" s="15" t="s">
        <v>45</v>
      </c>
      <c r="AG482" s="44" cm="1">
        <f t="array" ref="AG482">_xll.BDH(AF482,"FUT_AGGTE_OPEN_INT",A482)</f>
        <v>573760</v>
      </c>
      <c r="AH482" s="44">
        <f t="shared" si="245"/>
        <v>57376000</v>
      </c>
      <c r="AI482" s="48">
        <f t="shared" si="246"/>
        <v>0.29616536417665923</v>
      </c>
      <c r="AK482" s="44" cm="1">
        <f t="array" ref="AK482">_xll.BDH("COMXSILV Comdty","PX_Last", N482)</f>
        <v>307197.96999999997</v>
      </c>
      <c r="AL482" s="15" t="s">
        <v>46</v>
      </c>
      <c r="AM482" s="47" cm="1">
        <f t="array" ref="AM482">_xll.BDH(AL482,"FUT_AGGTE_OPEN_INT",A482)</f>
        <v>157264</v>
      </c>
      <c r="AN482" s="45">
        <f t="shared" si="247"/>
        <v>390.67805727947905</v>
      </c>
      <c r="AO482" s="46">
        <f t="shared" si="248"/>
        <v>30719796999.999996</v>
      </c>
      <c r="AP482" s="46">
        <f t="shared" si="249"/>
        <v>786320</v>
      </c>
    </row>
    <row r="483" spans="1:42" x14ac:dyDescent="0.2">
      <c r="A483" s="71">
        <v>45588</v>
      </c>
      <c r="B483" s="16" cm="1">
        <f t="array" ref="B483">_xll.BADDPERIODS(A483, "PER=WD", "NUMBEROFPERIODS=2", "BUSDAYADJ=-2", "CDR=GQ", "CDR=P9")</f>
        <v>45590</v>
      </c>
      <c r="C483" s="15" cm="1">
        <f t="array" ref="C483">_xll.BDH("XAU Curncy","PX_LAST",A483,A483)</f>
        <v>2715.55</v>
      </c>
      <c r="D483" s="15" t="str" cm="1">
        <f t="array" ref="D483">_xll.BDP("GCz4 Comdty",$M$32)</f>
        <v>02/12/2024</v>
      </c>
      <c r="E483" s="15">
        <f t="shared" si="230"/>
        <v>38</v>
      </c>
      <c r="F483" s="23">
        <v>4.8300000000000003E-2</v>
      </c>
      <c r="G483" s="28">
        <f t="shared" si="244"/>
        <v>13.844779083333336</v>
      </c>
      <c r="H483" s="12">
        <v>14.2</v>
      </c>
      <c r="I483" s="76">
        <f t="shared" si="217"/>
        <v>0.35522091666666356</v>
      </c>
      <c r="J483" s="26">
        <v>4</v>
      </c>
      <c r="K483" s="26">
        <v>6</v>
      </c>
      <c r="L483" s="26">
        <v>8</v>
      </c>
      <c r="N483" s="71">
        <v>45588</v>
      </c>
      <c r="O483" s="16" cm="1">
        <f t="array" ref="O483">_xll.BADDPERIODS(N483, "PER=WD", "NUMBEROFPERIODS=2", "BUSDAYADJ=-2", "CDR=GQ", "CDR=P9")</f>
        <v>45590</v>
      </c>
      <c r="P483" s="15" cm="1">
        <f t="array" ref="P483">_xll.BDH("XAG Curncy","PX_LAST",N483,N483)</f>
        <v>33.698999999999998</v>
      </c>
      <c r="Q483" s="15" t="str" cm="1">
        <f t="array" ref="Q483">_xll.BDP("SIz4 Comdty",$M$32)</f>
        <v>02/12/2024</v>
      </c>
      <c r="R483" s="15">
        <f t="shared" si="233"/>
        <v>38</v>
      </c>
      <c r="S483" s="23">
        <v>0.05</v>
      </c>
      <c r="T483" s="21">
        <f t="shared" si="242"/>
        <v>0.17785583333333332</v>
      </c>
      <c r="U483" s="12">
        <v>0.2</v>
      </c>
      <c r="V483" s="77">
        <f t="shared" si="243"/>
        <v>2.2144166666666685</v>
      </c>
      <c r="W483" s="15">
        <v>15</v>
      </c>
      <c r="X483" s="15">
        <v>20</v>
      </c>
      <c r="Y483" s="15">
        <v>25</v>
      </c>
      <c r="Z483" s="18">
        <f t="shared" si="239"/>
        <v>17.785583333333332</v>
      </c>
      <c r="AA483" s="18">
        <f t="shared" si="240"/>
        <v>20</v>
      </c>
      <c r="AB483" s="18">
        <f t="shared" si="241"/>
        <v>2.2144166666666685</v>
      </c>
      <c r="AE483" s="44" cm="1">
        <f t="array" ref="AE483">_xll.BDH("COMXGOLD Comdty","PX_Last", N483)</f>
        <v>17043488.436000001</v>
      </c>
      <c r="AF483" s="15" t="s">
        <v>45</v>
      </c>
      <c r="AG483" s="44" cm="1">
        <f t="array" ref="AG483">_xll.BDH(AF483,"FUT_AGGTE_OPEN_INT",A483)</f>
        <v>565369</v>
      </c>
      <c r="AH483" s="44">
        <f t="shared" si="245"/>
        <v>56536900</v>
      </c>
      <c r="AI483" s="48">
        <f t="shared" si="246"/>
        <v>0.30145778130742934</v>
      </c>
      <c r="AK483" s="44" cm="1">
        <f t="array" ref="AK483">_xll.BDH("COMXSILV Comdty","PX_Last", N483)</f>
        <v>307172.13</v>
      </c>
      <c r="AL483" s="15" t="s">
        <v>46</v>
      </c>
      <c r="AM483" s="47" cm="1">
        <f t="array" ref="AM483">_xll.BDH(AL483,"FUT_AGGTE_OPEN_INT",A483)</f>
        <v>156189</v>
      </c>
      <c r="AN483" s="45">
        <f t="shared" si="247"/>
        <v>393.33388394829342</v>
      </c>
      <c r="AO483" s="46">
        <f t="shared" si="248"/>
        <v>30717213000</v>
      </c>
      <c r="AP483" s="46">
        <f t="shared" si="249"/>
        <v>780945</v>
      </c>
    </row>
    <row r="484" spans="1:42" x14ac:dyDescent="0.2">
      <c r="A484" s="71">
        <v>45589</v>
      </c>
      <c r="B484" s="16" cm="1">
        <f t="array" ref="B484">_xll.BADDPERIODS(A484, "PER=WD", "NUMBEROFPERIODS=2", "BUSDAYADJ=-2", "CDR=GQ", "CDR=P9")</f>
        <v>45593</v>
      </c>
      <c r="C484" s="15" cm="1">
        <f t="array" ref="C484">_xll.BDH("XAU Curncy","PX_LAST",A484,A484)</f>
        <v>2736.17</v>
      </c>
      <c r="D484" s="15" t="str" cm="1">
        <f t="array" ref="D484">_xll.BDP("GCz4 Comdty",$M$32)</f>
        <v>02/12/2024</v>
      </c>
      <c r="E484" s="15">
        <f t="shared" si="230"/>
        <v>35</v>
      </c>
      <c r="F484" s="23">
        <v>4.7800000000000002E-2</v>
      </c>
      <c r="G484" s="28">
        <f t="shared" si="244"/>
        <v>12.715590027777781</v>
      </c>
      <c r="H484" s="12">
        <v>13</v>
      </c>
      <c r="I484" s="76">
        <f t="shared" si="217"/>
        <v>0.28440997222221931</v>
      </c>
      <c r="J484" s="26">
        <v>4</v>
      </c>
      <c r="K484" s="26">
        <v>6</v>
      </c>
      <c r="L484" s="26">
        <v>8</v>
      </c>
      <c r="N484" s="71">
        <v>45589</v>
      </c>
      <c r="O484" s="16" cm="1">
        <f t="array" ref="O484">_xll.BADDPERIODS(N484, "PER=WD", "NUMBEROFPERIODS=2", "BUSDAYADJ=-2", "CDR=GQ", "CDR=P9")</f>
        <v>45593</v>
      </c>
      <c r="P484" s="15" cm="1">
        <f t="array" ref="P484">_xll.BDH("XAG Curncy","PX_LAST",N484,N484)</f>
        <v>33.683300000000003</v>
      </c>
      <c r="Q484" s="15" t="str" cm="1">
        <f t="array" ref="Q484">_xll.BDP("SIz4 Comdty",$M$32)</f>
        <v>02/12/2024</v>
      </c>
      <c r="R484" s="15">
        <f t="shared" si="233"/>
        <v>35</v>
      </c>
      <c r="S484" s="23">
        <v>4.9799999999999997E-2</v>
      </c>
      <c r="T484" s="21">
        <f t="shared" si="242"/>
        <v>0.16308331083333333</v>
      </c>
      <c r="U484" s="12">
        <v>0.185</v>
      </c>
      <c r="V484" s="77">
        <f t="shared" si="243"/>
        <v>2.191668916666667</v>
      </c>
      <c r="W484" s="15">
        <v>15</v>
      </c>
      <c r="X484" s="15">
        <v>20</v>
      </c>
      <c r="Y484" s="15">
        <v>25</v>
      </c>
      <c r="Z484" s="18">
        <f t="shared" si="239"/>
        <v>16.308331083333332</v>
      </c>
      <c r="AA484" s="18">
        <f t="shared" si="240"/>
        <v>18.5</v>
      </c>
      <c r="AB484" s="18">
        <f t="shared" si="241"/>
        <v>2.191668916666667</v>
      </c>
      <c r="AE484" s="44" cm="1">
        <f t="array" ref="AE484">_xll.BDH("COMXGOLD Comdty","PX_Last", N484)</f>
        <v>17043006.171</v>
      </c>
      <c r="AF484" s="15" t="s">
        <v>45</v>
      </c>
      <c r="AG484" s="44" cm="1">
        <f t="array" ref="AG484">_xll.BDH(AF484,"FUT_AGGTE_OPEN_INT",A484)</f>
        <v>565131</v>
      </c>
      <c r="AH484" s="44">
        <f t="shared" si="245"/>
        <v>56513100</v>
      </c>
      <c r="AI484" s="48">
        <f t="shared" si="246"/>
        <v>0.30157620394209483</v>
      </c>
      <c r="AK484" s="44" cm="1">
        <f t="array" ref="AK484">_xll.BDH("COMXSILV Comdty","PX_Last", N484)</f>
        <v>307798.03000000003</v>
      </c>
      <c r="AL484" s="15" t="s">
        <v>46</v>
      </c>
      <c r="AM484" s="47" cm="1">
        <f t="array" ref="AM484">_xll.BDH(AL484,"FUT_AGGTE_OPEN_INT",A484)</f>
        <v>155545</v>
      </c>
      <c r="AN484" s="45">
        <f t="shared" si="247"/>
        <v>395.76717991578005</v>
      </c>
      <c r="AO484" s="46">
        <f t="shared" si="248"/>
        <v>30779803000.000004</v>
      </c>
      <c r="AP484" s="46">
        <f t="shared" si="249"/>
        <v>777725</v>
      </c>
    </row>
    <row r="485" spans="1:42" x14ac:dyDescent="0.2">
      <c r="A485" s="71">
        <v>45590</v>
      </c>
      <c r="B485" s="16" cm="1">
        <f t="array" ref="B485">_xll.BADDPERIODS(A485, "PER=WD", "NUMBEROFPERIODS=2", "BUSDAYADJ=-2", "CDR=GQ", "CDR=P9")</f>
        <v>45594</v>
      </c>
      <c r="C485" s="15" cm="1">
        <f t="array" ref="C485">_xll.BDH("XAU Curncy","PX_LAST",A485,A485)</f>
        <v>2747.56</v>
      </c>
      <c r="D485" s="15" t="str" cm="1">
        <f t="array" ref="D485">_xll.BDP("GCz4 Comdty",$M$32)</f>
        <v>02/12/2024</v>
      </c>
      <c r="E485" s="15">
        <f t="shared" si="230"/>
        <v>34</v>
      </c>
      <c r="F485" s="23">
        <v>4.7800000000000002E-2</v>
      </c>
      <c r="G485" s="28">
        <f t="shared" si="244"/>
        <v>12.403706977777778</v>
      </c>
      <c r="H485" s="12">
        <v>12.7</v>
      </c>
      <c r="I485" s="76">
        <f t="shared" si="217"/>
        <v>0.29629302222222087</v>
      </c>
      <c r="J485" s="26">
        <v>4</v>
      </c>
      <c r="K485" s="26">
        <v>6</v>
      </c>
      <c r="L485" s="26">
        <v>8</v>
      </c>
      <c r="N485" s="71">
        <v>45590</v>
      </c>
      <c r="O485" s="16" cm="1">
        <f t="array" ref="O485">_xll.BADDPERIODS(N485, "PER=WD", "NUMBEROFPERIODS=2", "BUSDAYADJ=-2", "CDR=GQ", "CDR=P9")</f>
        <v>45594</v>
      </c>
      <c r="P485" s="15" cm="1">
        <f t="array" ref="P485">_xll.BDH("XAG Curncy","PX_LAST",N485,N485)</f>
        <v>33.718800000000002</v>
      </c>
      <c r="Q485" s="15" t="str" cm="1">
        <f t="array" ref="Q485">_xll.BDP("SIz4 Comdty",$M$32)</f>
        <v>02/12/2024</v>
      </c>
      <c r="R485" s="15">
        <f t="shared" si="233"/>
        <v>34</v>
      </c>
      <c r="S485" s="23">
        <v>4.9799999999999997E-2</v>
      </c>
      <c r="T485" s="21">
        <f t="shared" si="242"/>
        <v>0.158590756</v>
      </c>
      <c r="U485" s="12">
        <v>0.18</v>
      </c>
      <c r="V485" s="77">
        <f t="shared" si="243"/>
        <v>2.1409243999999994</v>
      </c>
      <c r="W485" s="15">
        <v>15</v>
      </c>
      <c r="X485" s="15">
        <v>20</v>
      </c>
      <c r="Y485" s="15">
        <v>25</v>
      </c>
      <c r="Z485" s="18">
        <f t="shared" si="239"/>
        <v>15.859075600000001</v>
      </c>
      <c r="AA485" s="18">
        <f t="shared" si="240"/>
        <v>18</v>
      </c>
      <c r="AB485" s="18">
        <f t="shared" si="241"/>
        <v>2.1409243999999994</v>
      </c>
      <c r="AE485" s="44" cm="1">
        <f t="array" ref="AE485">_xll.BDH("COMXGOLD Comdty","PX_Last", N485)</f>
        <v>17043006.171</v>
      </c>
      <c r="AF485" s="15" t="s">
        <v>45</v>
      </c>
      <c r="AG485" s="44" cm="1">
        <f t="array" ref="AG485">_xll.BDH(AF485,"FUT_AGGTE_OPEN_INT",A485)</f>
        <v>565397</v>
      </c>
      <c r="AH485" s="44">
        <f t="shared" si="245"/>
        <v>56539700</v>
      </c>
      <c r="AI485" s="48">
        <f t="shared" si="246"/>
        <v>0.30143432262640235</v>
      </c>
      <c r="AK485" s="44" cm="1">
        <f t="array" ref="AK485">_xll.BDH("COMXSILV Comdty","PX_Last", N485)</f>
        <v>307413.65999999997</v>
      </c>
      <c r="AL485" s="15" t="s">
        <v>46</v>
      </c>
      <c r="AM485" s="47" cm="1">
        <f t="array" ref="AM485">_xll.BDH(AL485,"FUT_AGGTE_OPEN_INT",A485)</f>
        <v>155062</v>
      </c>
      <c r="AN485" s="45">
        <f t="shared" si="247"/>
        <v>396.50418542260508</v>
      </c>
      <c r="AO485" s="46">
        <f t="shared" si="248"/>
        <v>30741365999.999996</v>
      </c>
      <c r="AP485" s="46">
        <f t="shared" si="249"/>
        <v>775310</v>
      </c>
    </row>
    <row r="486" spans="1:42" x14ac:dyDescent="0.2">
      <c r="A486" s="71">
        <v>45593</v>
      </c>
      <c r="B486" s="16" cm="1">
        <f t="array" ref="B486">_xll.BADDPERIODS(A486, "PER=WD", "NUMBEROFPERIODS=2", "BUSDAYADJ=-2", "CDR=GQ", "CDR=P9")</f>
        <v>45595</v>
      </c>
      <c r="C486" s="15" cm="1">
        <f t="array" ref="C486">_xll.BDH("XAU Curncy","PX_LAST",A486,A486)</f>
        <v>2742.46</v>
      </c>
      <c r="D486" s="15" t="str" cm="1">
        <f t="array" ref="D486">_xll.BDP("GCz4 Comdty",$M$32)</f>
        <v>02/12/2024</v>
      </c>
      <c r="E486" s="15">
        <f t="shared" si="230"/>
        <v>33</v>
      </c>
      <c r="F486" s="23">
        <v>4.7800000000000002E-2</v>
      </c>
      <c r="G486" s="28">
        <f t="shared" si="244"/>
        <v>12.016545566666666</v>
      </c>
      <c r="H486" s="12">
        <v>12.5</v>
      </c>
      <c r="I486" s="76">
        <f t="shared" si="217"/>
        <v>0.48345443333333371</v>
      </c>
      <c r="J486" s="26">
        <v>4</v>
      </c>
      <c r="K486" s="26">
        <v>6</v>
      </c>
      <c r="L486" s="26">
        <v>8</v>
      </c>
      <c r="N486" s="71">
        <v>45593</v>
      </c>
      <c r="O486" s="16" cm="1">
        <f t="array" ref="O486">_xll.BADDPERIODS(N486, "PER=WD", "NUMBEROFPERIODS=2", "BUSDAYADJ=-2", "CDR=GQ", "CDR=P9")</f>
        <v>45595</v>
      </c>
      <c r="P486" s="15" cm="1">
        <f t="array" ref="P486">_xll.BDH("XAG Curncy","PX_LAST",N486,N486)</f>
        <v>33.672499999999999</v>
      </c>
      <c r="Q486" s="15" t="str" cm="1">
        <f t="array" ref="Q486">_xll.BDP("SIz4 Comdty",$M$32)</f>
        <v>02/12/2024</v>
      </c>
      <c r="R486" s="15">
        <f t="shared" si="233"/>
        <v>33</v>
      </c>
      <c r="S486" s="23">
        <v>4.9799999999999997E-2</v>
      </c>
      <c r="T486" s="21">
        <f t="shared" si="242"/>
        <v>0.15371496249999997</v>
      </c>
      <c r="U486" s="12">
        <v>0.18</v>
      </c>
      <c r="V486" s="77">
        <f t="shared" si="243"/>
        <v>2.6285037500000024</v>
      </c>
      <c r="W486" s="15">
        <v>15</v>
      </c>
      <c r="X486" s="15">
        <v>20</v>
      </c>
      <c r="Y486" s="15">
        <v>25</v>
      </c>
      <c r="Z486" s="18">
        <f t="shared" si="239"/>
        <v>15.371496249999996</v>
      </c>
      <c r="AA486" s="18">
        <f t="shared" si="240"/>
        <v>18</v>
      </c>
      <c r="AB486" s="18">
        <f t="shared" si="241"/>
        <v>2.6285037500000024</v>
      </c>
      <c r="AE486" s="44" cm="1">
        <f t="array" ref="AE486">_xll.BDH("COMXGOLD Comdty","PX_Last", N486)</f>
        <v>17043406.171</v>
      </c>
      <c r="AF486" s="15" t="s">
        <v>45</v>
      </c>
      <c r="AG486" s="44" cm="1">
        <f t="array" ref="AG486">_xll.BDH(AF486,"FUT_AGGTE_OPEN_INT",A486)</f>
        <v>561406</v>
      </c>
      <c r="AH486" s="44">
        <f t="shared" si="245"/>
        <v>56140600</v>
      </c>
      <c r="AI486" s="48">
        <f t="shared" si="246"/>
        <v>0.30358432526549411</v>
      </c>
      <c r="AK486" s="44" cm="1">
        <f t="array" ref="AK486">_xll.BDH("COMXSILV Comdty","PX_Last", N486)</f>
        <v>307489.94</v>
      </c>
      <c r="AL486" s="15" t="s">
        <v>46</v>
      </c>
      <c r="AM486" s="47" cm="1">
        <f t="array" ref="AM486">_xll.BDH(AL486,"FUT_AGGTE_OPEN_INT",A486)</f>
        <v>155247</v>
      </c>
      <c r="AN486" s="45">
        <f t="shared" si="247"/>
        <v>396.12996064336187</v>
      </c>
      <c r="AO486" s="46">
        <f t="shared" si="248"/>
        <v>30748994000</v>
      </c>
      <c r="AP486" s="46">
        <f t="shared" si="249"/>
        <v>776235</v>
      </c>
    </row>
    <row r="487" spans="1:42" x14ac:dyDescent="0.2">
      <c r="A487" s="71">
        <v>45594</v>
      </c>
      <c r="B487" s="16" cm="1">
        <f t="array" ref="B487">_xll.BADDPERIODS(A487, "PER=WD", "NUMBEROFPERIODS=2", "BUSDAYADJ=-2", "CDR=GQ", "CDR=P9")</f>
        <v>45596</v>
      </c>
      <c r="C487" s="15" cm="1">
        <f t="array" ref="C487">_xll.BDH("XAU Curncy","PX_LAST",A487,A487)</f>
        <v>2774.74</v>
      </c>
      <c r="D487" s="15" t="str" cm="1">
        <f t="array" ref="D487">_xll.BDP("GCz4 Comdty",$M$32)</f>
        <v>02/12/2024</v>
      </c>
      <c r="E487" s="15">
        <f t="shared" si="230"/>
        <v>32</v>
      </c>
      <c r="F487" s="23">
        <v>4.8000000000000001E-2</v>
      </c>
      <c r="G487" s="28">
        <f t="shared" si="244"/>
        <v>11.838890666666666</v>
      </c>
      <c r="H487" s="12">
        <v>12.3</v>
      </c>
      <c r="I487" s="76">
        <f t="shared" si="217"/>
        <v>0.4611093333333347</v>
      </c>
      <c r="J487" s="26">
        <v>4</v>
      </c>
      <c r="K487" s="26">
        <v>6</v>
      </c>
      <c r="L487" s="26">
        <v>8</v>
      </c>
      <c r="N487" s="71">
        <v>45594</v>
      </c>
      <c r="O487" s="16" cm="1">
        <f t="array" ref="O487">_xll.BADDPERIODS(N487, "PER=WD", "NUMBEROFPERIODS=2", "BUSDAYADJ=-2", "CDR=GQ", "CDR=P9")</f>
        <v>45596</v>
      </c>
      <c r="P487" s="15" cm="1">
        <f t="array" ref="P487">_xll.BDH("XAG Curncy","PX_LAST",N487,N487)</f>
        <v>34.454099999999997</v>
      </c>
      <c r="Q487" s="15" t="str" cm="1">
        <f t="array" ref="Q487">_xll.BDP("SIz4 Comdty",$M$32)</f>
        <v>02/12/2024</v>
      </c>
      <c r="R487" s="15">
        <f t="shared" si="233"/>
        <v>32</v>
      </c>
      <c r="S487" s="23">
        <v>4.9799999999999997E-2</v>
      </c>
      <c r="T487" s="21">
        <f t="shared" si="242"/>
        <v>0.15251681599999997</v>
      </c>
      <c r="U487" s="12">
        <v>0.17749999999999999</v>
      </c>
      <c r="V487" s="77">
        <f t="shared" si="243"/>
        <v>2.4983184000000018</v>
      </c>
      <c r="W487" s="15">
        <v>15</v>
      </c>
      <c r="X487" s="15">
        <v>20</v>
      </c>
      <c r="Y487" s="15">
        <v>25</v>
      </c>
      <c r="Z487" s="18">
        <f t="shared" si="239"/>
        <v>15.251681599999998</v>
      </c>
      <c r="AA487" s="18">
        <f t="shared" si="240"/>
        <v>17.75</v>
      </c>
      <c r="AB487" s="18">
        <f t="shared" si="241"/>
        <v>2.4983184000000018</v>
      </c>
      <c r="AE487" s="44" cm="1">
        <f t="array" ref="AE487">_xll.BDH("COMXGOLD Comdty","PX_Last", N487)</f>
        <v>16978300.410999998</v>
      </c>
      <c r="AF487" s="15" t="s">
        <v>45</v>
      </c>
      <c r="AG487" s="44" cm="1">
        <f t="array" ref="AG487">_xll.BDH(AF487,"FUT_AGGTE_OPEN_INT",A487)</f>
        <v>579468</v>
      </c>
      <c r="AH487" s="44">
        <f t="shared" si="245"/>
        <v>57946800</v>
      </c>
      <c r="AI487" s="48">
        <f t="shared" si="246"/>
        <v>0.29299806738249562</v>
      </c>
      <c r="AK487" s="44" cm="1">
        <f t="array" ref="AK487">_xll.BDH("COMXSILV Comdty","PX_Last", N487)</f>
        <v>308066.63</v>
      </c>
      <c r="AL487" s="15" t="s">
        <v>46</v>
      </c>
      <c r="AM487" s="47" cm="1">
        <f t="array" ref="AM487">_xll.BDH(AL487,"FUT_AGGTE_OPEN_INT",A487)</f>
        <v>156320</v>
      </c>
      <c r="AN487" s="45">
        <f t="shared" si="247"/>
        <v>394.14870777891502</v>
      </c>
      <c r="AO487" s="46">
        <f t="shared" si="248"/>
        <v>30806663000</v>
      </c>
      <c r="AP487" s="46">
        <f t="shared" si="249"/>
        <v>781600</v>
      </c>
    </row>
    <row r="488" spans="1:42" x14ac:dyDescent="0.2">
      <c r="A488" s="71">
        <v>45595</v>
      </c>
      <c r="B488" s="16" cm="1">
        <f t="array" ref="B488">_xll.BADDPERIODS(A488, "PER=WD", "NUMBEROFPERIODS=2", "BUSDAYADJ=-2", "CDR=GQ", "CDR=P9")</f>
        <v>45597</v>
      </c>
      <c r="C488" s="15" cm="1">
        <f t="array" ref="C488">_xll.BDH("XAU Curncy","PX_LAST",A488,A488)</f>
        <v>2787.61</v>
      </c>
      <c r="D488" s="15" t="str" cm="1">
        <f t="array" ref="D488">_xll.BDP("GCz4 Comdty",$M$32)</f>
        <v>02/12/2024</v>
      </c>
      <c r="E488" s="15">
        <f t="shared" ref="E488:E499" si="250">_xlfn.DAYS(D488,B488)</f>
        <v>31</v>
      </c>
      <c r="F488" s="23">
        <v>4.8000000000000001E-2</v>
      </c>
      <c r="G488" s="28">
        <f t="shared" si="244"/>
        <v>11.522121333333335</v>
      </c>
      <c r="H488" s="12">
        <v>11.8</v>
      </c>
      <c r="I488" s="76">
        <f t="shared" si="217"/>
        <v>0.27787866666666616</v>
      </c>
      <c r="J488" s="26">
        <v>4</v>
      </c>
      <c r="K488" s="26">
        <v>6</v>
      </c>
      <c r="L488" s="26">
        <v>8</v>
      </c>
      <c r="N488" s="71">
        <v>45595</v>
      </c>
      <c r="O488" s="16" cm="1">
        <f t="array" ref="O488">_xll.BADDPERIODS(N488, "PER=WD", "NUMBEROFPERIODS=2", "BUSDAYADJ=-2", "CDR=GQ", "CDR=P9")</f>
        <v>45597</v>
      </c>
      <c r="P488" s="15" cm="1">
        <f t="array" ref="P488">_xll.BDH("XAG Curncy","PX_LAST",N488,N488)</f>
        <v>33.776299999999999</v>
      </c>
      <c r="Q488" s="15" t="str" cm="1">
        <f t="array" ref="Q488">_xll.BDP("SIz4 Comdty",$M$32)</f>
        <v>02/12/2024</v>
      </c>
      <c r="R488" s="15">
        <f t="shared" si="233"/>
        <v>31</v>
      </c>
      <c r="S488" s="23">
        <v>5.0299999999999997E-2</v>
      </c>
      <c r="T488" s="21">
        <f t="shared" si="242"/>
        <v>0.14629829052777776</v>
      </c>
      <c r="U488" s="12">
        <v>0.17</v>
      </c>
      <c r="V488" s="77">
        <f t="shared" si="243"/>
        <v>2.370170947222225</v>
      </c>
      <c r="W488" s="15">
        <v>15</v>
      </c>
      <c r="X488" s="15">
        <v>20</v>
      </c>
      <c r="Y488" s="15">
        <v>25</v>
      </c>
      <c r="Z488" s="18">
        <f t="shared" si="239"/>
        <v>14.629829052777776</v>
      </c>
      <c r="AA488" s="18">
        <f t="shared" si="240"/>
        <v>17</v>
      </c>
      <c r="AB488" s="18">
        <f t="shared" si="241"/>
        <v>2.370170947222225</v>
      </c>
      <c r="AE488" s="44" cm="1">
        <f t="array" ref="AE488">_xll.BDH("COMXGOLD Comdty","PX_Last", N488)</f>
        <v>16978268.260000002</v>
      </c>
      <c r="AF488" s="15" t="s">
        <v>45</v>
      </c>
      <c r="AG488" s="44" cm="1">
        <f t="array" ref="AG488">_xll.BDH(AF488,"FUT_AGGTE_OPEN_INT",A488)</f>
        <v>584445</v>
      </c>
      <c r="AH488" s="44">
        <f t="shared" si="245"/>
        <v>58444500</v>
      </c>
      <c r="AI488" s="48">
        <f t="shared" si="246"/>
        <v>0.29050241271633775</v>
      </c>
      <c r="AK488" s="44" cm="1">
        <f t="array" ref="AK488">_xll.BDH("COMXSILV Comdty","PX_Last", N488)</f>
        <v>307997.65999999997</v>
      </c>
      <c r="AL488" s="15" t="s">
        <v>46</v>
      </c>
      <c r="AM488" s="47" cm="1">
        <f t="array" ref="AM488">_xll.BDH(AL488,"FUT_AGGTE_OPEN_INT",A488)</f>
        <v>155643</v>
      </c>
      <c r="AN488" s="45">
        <f t="shared" si="247"/>
        <v>395.77450961495214</v>
      </c>
      <c r="AO488" s="46">
        <f t="shared" si="248"/>
        <v>30799765999.999996</v>
      </c>
      <c r="AP488" s="46">
        <f t="shared" si="249"/>
        <v>778215</v>
      </c>
    </row>
    <row r="489" spans="1:42" x14ac:dyDescent="0.2">
      <c r="A489" s="71">
        <v>45596</v>
      </c>
      <c r="B489" s="16" cm="1">
        <f t="array" ref="B489">_xll.BADDPERIODS(A489, "PER=WD", "NUMBEROFPERIODS=2", "BUSDAYADJ=-2", "CDR=GQ", "CDR=P9")</f>
        <v>45600</v>
      </c>
      <c r="C489" s="15" cm="1">
        <f t="array" ref="C489">_xll.BDH("XAU Curncy","PX_LAST",A489,A489)</f>
        <v>2743.97</v>
      </c>
      <c r="D489" s="15" t="str" cm="1">
        <f t="array" ref="D489">_xll.BDP("GCz4 Comdty",$M$32)</f>
        <v>02/12/2024</v>
      </c>
      <c r="E489" s="15">
        <f t="shared" si="250"/>
        <v>28</v>
      </c>
      <c r="F489" s="23">
        <v>4.8000000000000001E-2</v>
      </c>
      <c r="G489" s="28">
        <f t="shared" si="244"/>
        <v>10.244154666666665</v>
      </c>
      <c r="H489" s="12">
        <v>11</v>
      </c>
      <c r="I489" s="76">
        <f t="shared" si="217"/>
        <v>0.75584533333333503</v>
      </c>
      <c r="J489" s="26">
        <v>4</v>
      </c>
      <c r="K489" s="26">
        <v>6</v>
      </c>
      <c r="L489" s="26">
        <v>8</v>
      </c>
      <c r="N489" s="71">
        <v>45596</v>
      </c>
      <c r="O489" s="16" cm="1">
        <f t="array" ref="O489">_xll.BADDPERIODS(N489, "PER=WD", "NUMBEROFPERIODS=2", "BUSDAYADJ=-2", "CDR=GQ", "CDR=P9")</f>
        <v>45600</v>
      </c>
      <c r="P489" s="15" cm="1">
        <f t="array" ref="P489">_xll.BDH("XAG Curncy","PX_LAST",N489,N489)</f>
        <v>32.662500000000001</v>
      </c>
      <c r="Q489" s="15" t="str" cm="1">
        <f t="array" ref="Q489">_xll.BDP("SIz4 Comdty",$M$32)</f>
        <v>02/12/2024</v>
      </c>
      <c r="R489" s="15">
        <f t="shared" si="233"/>
        <v>28</v>
      </c>
      <c r="S489" s="23">
        <v>4.9500000000000002E-2</v>
      </c>
      <c r="T489" s="21">
        <f t="shared" si="242"/>
        <v>0.125750625</v>
      </c>
      <c r="U489" s="12">
        <v>0.14000000000000001</v>
      </c>
      <c r="V489" s="77">
        <f t="shared" si="243"/>
        <v>1.4249375000000009</v>
      </c>
      <c r="W489" s="15">
        <v>15</v>
      </c>
      <c r="X489" s="15">
        <v>20</v>
      </c>
      <c r="Y489" s="15">
        <v>25</v>
      </c>
      <c r="Z489" s="18">
        <f t="shared" si="239"/>
        <v>12.575062500000001</v>
      </c>
      <c r="AA489" s="18">
        <f t="shared" si="240"/>
        <v>14.000000000000002</v>
      </c>
      <c r="AB489" s="18">
        <f t="shared" si="241"/>
        <v>1.4249375000000009</v>
      </c>
      <c r="AE489" s="44" cm="1">
        <f t="array" ref="AE489">_xll.BDH("COMXGOLD Comdty","PX_Last", N489)</f>
        <v>17066284.221000001</v>
      </c>
      <c r="AF489" s="15" t="s">
        <v>45</v>
      </c>
      <c r="AG489" s="44" cm="1">
        <f t="array" ref="AG489">_xll.BDH(AF489,"FUT_AGGTE_OPEN_INT",A489)</f>
        <v>568592</v>
      </c>
      <c r="AH489" s="44">
        <f t="shared" si="245"/>
        <v>56859200</v>
      </c>
      <c r="AI489" s="48">
        <f t="shared" si="246"/>
        <v>0.30014991806075358</v>
      </c>
      <c r="AK489" s="44" cm="1">
        <f t="array" ref="AK489">_xll.BDH("COMXSILV Comdty","PX_Last", N489)</f>
        <v>308598.71999999997</v>
      </c>
      <c r="AL489" s="15" t="s">
        <v>46</v>
      </c>
      <c r="AM489" s="47" cm="1">
        <f t="array" ref="AM489">_xll.BDH(AL489,"FUT_AGGTE_OPEN_INT",A489)</f>
        <v>155148</v>
      </c>
      <c r="AN489" s="45">
        <f t="shared" si="247"/>
        <v>397.81205042926746</v>
      </c>
      <c r="AO489" s="46">
        <f t="shared" si="248"/>
        <v>30859871999.999996</v>
      </c>
      <c r="AP489" s="46">
        <f t="shared" si="249"/>
        <v>775740</v>
      </c>
    </row>
    <row r="490" spans="1:42" x14ac:dyDescent="0.2">
      <c r="A490" s="71">
        <v>45597</v>
      </c>
      <c r="B490" s="16" cm="1">
        <f t="array" ref="B490">_xll.BADDPERIODS(A490, "PER=WD", "NUMBEROFPERIODS=2", "BUSDAYADJ=-2", "CDR=GQ", "CDR=P9")</f>
        <v>45601</v>
      </c>
      <c r="C490" s="15" cm="1">
        <f t="array" ref="C490">_xll.BDH("XAU Curncy","PX_LAST",A490,A490)</f>
        <v>2736.53</v>
      </c>
      <c r="D490" s="15" t="str" cm="1">
        <f t="array" ref="D490">_xll.BDP("GCz4 Comdty",$M$32)</f>
        <v>02/12/2024</v>
      </c>
      <c r="E490" s="15">
        <f t="shared" si="250"/>
        <v>27</v>
      </c>
      <c r="F490" s="23">
        <v>4.8000000000000001E-2</v>
      </c>
      <c r="G490" s="28">
        <f t="shared" si="244"/>
        <v>9.8515080000000008</v>
      </c>
      <c r="H490" s="12">
        <v>10.1</v>
      </c>
      <c r="I490" s="76">
        <f t="shared" si="217"/>
        <v>0.24849199999999882</v>
      </c>
      <c r="J490" s="26">
        <v>4</v>
      </c>
      <c r="K490" s="26">
        <v>6</v>
      </c>
      <c r="L490" s="26">
        <v>8</v>
      </c>
      <c r="N490" s="71">
        <v>45597</v>
      </c>
      <c r="O490" s="16" cm="1">
        <f t="array" ref="O490">_xll.BADDPERIODS(N490, "PER=WD", "NUMBEROFPERIODS=2", "BUSDAYADJ=-2", "CDR=GQ", "CDR=P9")</f>
        <v>45601</v>
      </c>
      <c r="P490" s="15" cm="1">
        <f t="array" ref="P490">_xll.BDH("XAG Curncy","PX_LAST",N490,N490)</f>
        <v>32.4895</v>
      </c>
      <c r="Q490" s="15" t="str" cm="1">
        <f t="array" ref="Q490">_xll.BDP("SIz4 Comdty",$M$32)</f>
        <v>02/12/2024</v>
      </c>
      <c r="R490" s="15">
        <f t="shared" si="233"/>
        <v>27</v>
      </c>
      <c r="S490" s="23">
        <v>4.9000000000000002E-2</v>
      </c>
      <c r="T490" s="21">
        <f t="shared" si="242"/>
        <v>0.11939891250000001</v>
      </c>
      <c r="U490" s="12">
        <v>0.13</v>
      </c>
      <c r="V490" s="77">
        <f t="shared" si="243"/>
        <v>1.0601087499999995</v>
      </c>
      <c r="W490" s="15">
        <v>15</v>
      </c>
      <c r="X490" s="15">
        <v>20</v>
      </c>
      <c r="Y490" s="15">
        <v>25</v>
      </c>
      <c r="Z490" s="18">
        <f t="shared" si="239"/>
        <v>11.939891250000001</v>
      </c>
      <c r="AA490" s="18">
        <f t="shared" si="240"/>
        <v>13</v>
      </c>
      <c r="AB490" s="18">
        <f t="shared" si="241"/>
        <v>1.0601087499999995</v>
      </c>
      <c r="AE490" s="44" cm="1">
        <f t="array" ref="AE490">_xll.BDH("COMXGOLD Comdty","PX_Last", N490)</f>
        <v>17133368.991999999</v>
      </c>
      <c r="AF490" s="15" t="s">
        <v>45</v>
      </c>
      <c r="AG490" s="44" cm="1">
        <f t="array" ref="AG490">_xll.BDH(AF490,"FUT_AGGTE_OPEN_INT",A490)</f>
        <v>562253</v>
      </c>
      <c r="AH490" s="44">
        <f t="shared" si="245"/>
        <v>56225300</v>
      </c>
      <c r="AI490" s="48">
        <f t="shared" si="246"/>
        <v>0.30472703555161107</v>
      </c>
      <c r="AK490" s="44" cm="1">
        <f t="array" ref="AK490">_xll.BDH("COMXSILV Comdty","PX_Last", N490)</f>
        <v>308581.88</v>
      </c>
      <c r="AL490" s="15" t="s">
        <v>46</v>
      </c>
      <c r="AM490" s="47" cm="1">
        <f t="array" ref="AM490">_xll.BDH(AL490,"FUT_AGGTE_OPEN_INT",A490)</f>
        <v>152149</v>
      </c>
      <c r="AN490" s="45">
        <f t="shared" si="247"/>
        <v>405.631164187737</v>
      </c>
      <c r="AO490" s="46">
        <f t="shared" si="248"/>
        <v>30858188000</v>
      </c>
      <c r="AP490" s="46">
        <f t="shared" si="249"/>
        <v>760745</v>
      </c>
    </row>
    <row r="491" spans="1:42" x14ac:dyDescent="0.2">
      <c r="A491" s="71">
        <v>45600</v>
      </c>
      <c r="B491" s="16" cm="1">
        <f t="array" ref="B491">_xll.BADDPERIODS(A491, "PER=WD", "NUMBEROFPERIODS=2", "BUSDAYADJ=-2", "CDR=GQ", "CDR=P9")</f>
        <v>45602</v>
      </c>
      <c r="C491" s="15" cm="1">
        <f t="array" ref="C491">_xll.BDH("XAU Curncy","PX_LAST",A491,A491)</f>
        <v>2736.78</v>
      </c>
      <c r="D491" s="15" t="str" cm="1">
        <f t="array" ref="D491">_xll.BDP("GCz4 Comdty",$M$32)</f>
        <v>02/12/2024</v>
      </c>
      <c r="E491" s="15">
        <f t="shared" si="250"/>
        <v>26</v>
      </c>
      <c r="F491" s="23">
        <v>4.7500000000000001E-2</v>
      </c>
      <c r="G491" s="28">
        <f t="shared" si="244"/>
        <v>9.3886758333333322</v>
      </c>
      <c r="H491" s="12">
        <v>9.6</v>
      </c>
      <c r="I491" s="76">
        <f t="shared" si="217"/>
        <v>0.21132416666666742</v>
      </c>
      <c r="J491" s="26">
        <v>4</v>
      </c>
      <c r="K491" s="26">
        <v>6</v>
      </c>
      <c r="L491" s="26">
        <v>8</v>
      </c>
      <c r="N491" s="71">
        <v>45600</v>
      </c>
      <c r="O491" s="16" cm="1">
        <f t="array" ref="O491">_xll.BADDPERIODS(N491, "PER=WD", "NUMBEROFPERIODS=2", "BUSDAYADJ=-2", "CDR=GQ", "CDR=P9")</f>
        <v>45602</v>
      </c>
      <c r="P491" s="15" cm="1">
        <f t="array" ref="P491">_xll.BDH("XAG Curncy","PX_LAST",N491,N491)</f>
        <v>32.450499999999998</v>
      </c>
      <c r="Q491" s="15" t="str" cm="1">
        <f t="array" ref="Q491">_xll.BDP("SIz4 Comdty",$M$32)</f>
        <v>02/12/2024</v>
      </c>
      <c r="R491" s="15">
        <f t="shared" si="233"/>
        <v>26</v>
      </c>
      <c r="S491" s="23">
        <v>4.9000000000000002E-2</v>
      </c>
      <c r="T491" s="21">
        <f t="shared" si="242"/>
        <v>0.11483871388888887</v>
      </c>
      <c r="U491" s="12">
        <v>0.13</v>
      </c>
      <c r="V491" s="77">
        <f t="shared" si="243"/>
        <v>1.516128611111113</v>
      </c>
      <c r="W491" s="15">
        <v>15</v>
      </c>
      <c r="X491" s="15">
        <v>20</v>
      </c>
      <c r="Y491" s="15">
        <v>25</v>
      </c>
      <c r="Z491" s="18">
        <f t="shared" si="239"/>
        <v>11.483871388888888</v>
      </c>
      <c r="AA491" s="18">
        <f t="shared" si="240"/>
        <v>13</v>
      </c>
      <c r="AB491" s="18">
        <f t="shared" si="241"/>
        <v>1.516128611111113</v>
      </c>
      <c r="AE491" s="44" cm="1">
        <f t="array" ref="AE491">_xll.BDH("COMXGOLD Comdty","PX_Last", N491)</f>
        <v>17133368.991999999</v>
      </c>
      <c r="AF491" s="15" t="s">
        <v>45</v>
      </c>
      <c r="AG491" s="44" cm="1">
        <f t="array" ref="AG491">_xll.BDH(AF491,"FUT_AGGTE_OPEN_INT",A491)</f>
        <v>558125</v>
      </c>
      <c r="AH491" s="44">
        <f t="shared" si="245"/>
        <v>55812500</v>
      </c>
      <c r="AI491" s="48">
        <f t="shared" si="246"/>
        <v>0.30698085539977599</v>
      </c>
      <c r="AK491" s="44" cm="1">
        <f t="array" ref="AK491">_xll.BDH("COMXSILV Comdty","PX_Last", N491)</f>
        <v>308516.69</v>
      </c>
      <c r="AL491" s="15" t="s">
        <v>46</v>
      </c>
      <c r="AM491" s="47" cm="1">
        <f t="array" ref="AM491">_xll.BDH(AL491,"FUT_AGGTE_OPEN_INT",A491)</f>
        <v>151397</v>
      </c>
      <c r="AN491" s="45">
        <f t="shared" si="247"/>
        <v>407.55984596788579</v>
      </c>
      <c r="AO491" s="46">
        <f t="shared" si="248"/>
        <v>30851669000</v>
      </c>
      <c r="AP491" s="46">
        <f t="shared" si="249"/>
        <v>756985</v>
      </c>
    </row>
    <row r="492" spans="1:42" x14ac:dyDescent="0.2">
      <c r="A492" s="71">
        <v>45601</v>
      </c>
      <c r="B492" s="16" cm="1">
        <f t="array" ref="B492">_xll.BADDPERIODS(A492, "PER=WD", "NUMBEROFPERIODS=2", "BUSDAYADJ=-2", "CDR=GQ", "CDR=P9")</f>
        <v>45603</v>
      </c>
      <c r="C492" s="15" cm="1">
        <f t="array" ref="C492">_xll.BDH("XAU Curncy","PX_LAST",A492,A492)</f>
        <v>2743.99</v>
      </c>
      <c r="D492" s="15" t="str" cm="1">
        <f t="array" ref="D492">_xll.BDP("GCz4 Comdty",$M$32)</f>
        <v>02/12/2024</v>
      </c>
      <c r="E492" s="15">
        <f t="shared" si="250"/>
        <v>25</v>
      </c>
      <c r="F492" s="23">
        <v>4.7500000000000001E-2</v>
      </c>
      <c r="G492" s="28">
        <f t="shared" si="244"/>
        <v>9.051355902777777</v>
      </c>
      <c r="H492" s="12">
        <v>9.5</v>
      </c>
      <c r="I492" s="76">
        <f t="shared" si="217"/>
        <v>0.44864409722222298</v>
      </c>
      <c r="J492" s="26">
        <v>4</v>
      </c>
      <c r="K492" s="26">
        <v>6</v>
      </c>
      <c r="L492" s="26">
        <v>8</v>
      </c>
      <c r="N492" s="71">
        <v>45601</v>
      </c>
      <c r="O492" s="16" cm="1">
        <f t="array" ref="O492">_xll.BADDPERIODS(N492, "PER=WD", "NUMBEROFPERIODS=2", "BUSDAYADJ=-2", "CDR=GQ", "CDR=P9")</f>
        <v>45603</v>
      </c>
      <c r="P492" s="15" cm="1">
        <f t="array" ref="P492">_xll.BDH("XAG Curncy","PX_LAST",N492,N492)</f>
        <v>32.656999999999996</v>
      </c>
      <c r="Q492" s="15" t="str" cm="1">
        <f t="array" ref="Q492">_xll.BDP("SIz4 Comdty",$M$32)</f>
        <v>02/12/2024</v>
      </c>
      <c r="R492" s="15">
        <f t="shared" si="233"/>
        <v>25</v>
      </c>
      <c r="S492" s="23">
        <v>4.9000000000000002E-2</v>
      </c>
      <c r="T492" s="21">
        <f t="shared" si="242"/>
        <v>0.11112451388888889</v>
      </c>
      <c r="U492" s="12">
        <v>0.125</v>
      </c>
      <c r="V492" s="77">
        <f t="shared" si="243"/>
        <v>1.3875486111111113</v>
      </c>
      <c r="W492" s="15">
        <v>15</v>
      </c>
      <c r="X492" s="15">
        <v>20</v>
      </c>
      <c r="Y492" s="15">
        <v>25</v>
      </c>
      <c r="Z492" s="18">
        <f t="shared" si="239"/>
        <v>11.112451388888889</v>
      </c>
      <c r="AA492" s="18">
        <f t="shared" si="240"/>
        <v>12.5</v>
      </c>
      <c r="AB492" s="18">
        <f t="shared" si="241"/>
        <v>1.3875486111111113</v>
      </c>
      <c r="AE492" s="44" cm="1">
        <f t="array" ref="AE492">_xll.BDH("COMXGOLD Comdty","PX_Last", N492)</f>
        <v>17133368.991999999</v>
      </c>
      <c r="AF492" s="15" t="s">
        <v>45</v>
      </c>
      <c r="AG492" s="44" cm="1">
        <f t="array" ref="AG492">_xll.BDH(AF492,"FUT_AGGTE_OPEN_INT",A492)</f>
        <v>558034</v>
      </c>
      <c r="AH492" s="44">
        <f t="shared" si="245"/>
        <v>55803400</v>
      </c>
      <c r="AI492" s="48">
        <f t="shared" si="246"/>
        <v>0.30703091553561251</v>
      </c>
      <c r="AK492" s="44" cm="1">
        <f t="array" ref="AK492">_xll.BDH("COMXSILV Comdty","PX_Last", N492)</f>
        <v>309117.13</v>
      </c>
      <c r="AL492" s="15" t="s">
        <v>46</v>
      </c>
      <c r="AM492" s="47" cm="1">
        <f t="array" ref="AM492">_xll.BDH(AL492,"FUT_AGGTE_OPEN_INT",A492)</f>
        <v>151126</v>
      </c>
      <c r="AN492" s="45">
        <f t="shared" si="247"/>
        <v>409.08530630070271</v>
      </c>
      <c r="AO492" s="46">
        <f t="shared" si="248"/>
        <v>30911713000</v>
      </c>
      <c r="AP492" s="46">
        <f t="shared" si="249"/>
        <v>755630</v>
      </c>
    </row>
    <row r="493" spans="1:42" x14ac:dyDescent="0.2">
      <c r="A493" s="71">
        <v>45602</v>
      </c>
      <c r="B493" s="16" cm="1">
        <f t="array" ref="B493">_xll.BADDPERIODS(A493, "PER=WD", "NUMBEROFPERIODS=2", "BUSDAYADJ=-2", "CDR=GQ", "CDR=P9")</f>
        <v>45604</v>
      </c>
      <c r="C493" s="15" cm="1">
        <f t="array" ref="C493">_xll.BDH("XAU Curncy","PX_LAST",A493,A493)</f>
        <v>2659.06</v>
      </c>
      <c r="D493" s="15" t="str" cm="1">
        <f t="array" ref="D493">_xll.BDP("GCz4 Comdty",$M$32)</f>
        <v>02/12/2024</v>
      </c>
      <c r="E493" s="15">
        <f t="shared" si="250"/>
        <v>24</v>
      </c>
      <c r="F493" s="23">
        <v>4.7E-2</v>
      </c>
      <c r="G493" s="28">
        <f t="shared" si="244"/>
        <v>8.3317213333333342</v>
      </c>
      <c r="H493" s="12">
        <v>8.6999999999999993</v>
      </c>
      <c r="I493" s="76">
        <f t="shared" si="217"/>
        <v>0.36827866666666509</v>
      </c>
      <c r="J493" s="26">
        <v>4</v>
      </c>
      <c r="K493" s="26">
        <v>6</v>
      </c>
      <c r="L493" s="26">
        <v>8</v>
      </c>
      <c r="N493" s="71">
        <v>45602</v>
      </c>
      <c r="O493" s="16" cm="1">
        <f t="array" ref="O493">_xll.BADDPERIODS(N493, "PER=WD", "NUMBEROFPERIODS=2", "BUSDAYADJ=-2", "CDR=GQ", "CDR=P9")</f>
        <v>45604</v>
      </c>
      <c r="P493" s="15" cm="1">
        <f t="array" ref="P493">_xll.BDH("XAG Curncy","PX_LAST",N493,N493)</f>
        <v>31.177800000000001</v>
      </c>
      <c r="Q493" s="15" t="str" cm="1">
        <f t="array" ref="Q493">_xll.BDP("SIz4 Comdty",$M$32)</f>
        <v>02/12/2024</v>
      </c>
      <c r="R493" s="15">
        <f t="shared" si="233"/>
        <v>24</v>
      </c>
      <c r="S493" s="23">
        <v>4.9000000000000002E-2</v>
      </c>
      <c r="T493" s="21">
        <f t="shared" si="242"/>
        <v>0.10184748</v>
      </c>
      <c r="U493" s="12">
        <v>0.125</v>
      </c>
      <c r="V493" s="77">
        <f t="shared" si="243"/>
        <v>2.3152519999999996</v>
      </c>
      <c r="W493" s="15">
        <v>15</v>
      </c>
      <c r="X493" s="15">
        <v>20</v>
      </c>
      <c r="Y493" s="15">
        <v>25</v>
      </c>
      <c r="Z493" s="18">
        <f t="shared" si="239"/>
        <v>10.184748000000001</v>
      </c>
      <c r="AA493" s="18">
        <f t="shared" si="240"/>
        <v>12.5</v>
      </c>
      <c r="AB493" s="18">
        <f t="shared" si="241"/>
        <v>2.3152519999999996</v>
      </c>
      <c r="AE493" s="44" cm="1">
        <f t="array" ref="AE493">_xll.BDH("COMXGOLD Comdty","PX_Last", N493)</f>
        <v>17133368.991999999</v>
      </c>
      <c r="AF493" s="15" t="s">
        <v>45</v>
      </c>
      <c r="AG493" s="44" cm="1">
        <f t="array" ref="AG493">_xll.BDH(AF493,"FUT_AGGTE_OPEN_INT",A493)</f>
        <v>547625</v>
      </c>
      <c r="AH493" s="44">
        <f t="shared" si="245"/>
        <v>54762500</v>
      </c>
      <c r="AI493" s="48">
        <f t="shared" si="246"/>
        <v>0.31286681564939511</v>
      </c>
      <c r="AK493" s="44" cm="1">
        <f t="array" ref="AK493">_xll.BDH("COMXSILV Comdty","PX_Last", N493)</f>
        <v>310913.28000000003</v>
      </c>
      <c r="AL493" s="15" t="s">
        <v>46</v>
      </c>
      <c r="AM493" s="47" cm="1">
        <f t="array" ref="AM493">_xll.BDH(AL493,"FUT_AGGTE_OPEN_INT",A493)</f>
        <v>149205</v>
      </c>
      <c r="AN493" s="45">
        <f t="shared" si="247"/>
        <v>416.75986729667238</v>
      </c>
      <c r="AO493" s="46">
        <f t="shared" si="248"/>
        <v>31091328000.000004</v>
      </c>
      <c r="AP493" s="46">
        <f t="shared" si="249"/>
        <v>746025</v>
      </c>
    </row>
    <row r="494" spans="1:42" x14ac:dyDescent="0.2">
      <c r="A494" s="71">
        <v>45603</v>
      </c>
      <c r="B494" s="16" cm="1">
        <f t="array" ref="B494">_xll.BADDPERIODS(A494, "PER=WD", "NUMBEROFPERIODS=2", "BUSDAYADJ=-2", "CDR=GQ", "CDR=P9")</f>
        <v>45607</v>
      </c>
      <c r="C494" s="15" cm="1">
        <f t="array" ref="C494">_xll.BDH("XAU Curncy","PX_LAST",A494,A494)</f>
        <v>2706.71</v>
      </c>
      <c r="D494" s="15" t="str" cm="1">
        <f t="array" ref="D494">_xll.BDP("GCz4 Comdty",$M$32)</f>
        <v>02/12/2024</v>
      </c>
      <c r="E494" s="15">
        <f t="shared" si="250"/>
        <v>21</v>
      </c>
      <c r="F494" s="23">
        <v>4.65E-2</v>
      </c>
      <c r="G494" s="28">
        <f t="shared" si="244"/>
        <v>7.3419508749999993</v>
      </c>
      <c r="H494" s="12">
        <v>7.6</v>
      </c>
      <c r="I494" s="76">
        <f t="shared" si="217"/>
        <v>0.25804912500000032</v>
      </c>
      <c r="J494" s="26">
        <v>4</v>
      </c>
      <c r="K494" s="26">
        <v>6</v>
      </c>
      <c r="L494" s="26">
        <v>8</v>
      </c>
      <c r="N494" s="71">
        <v>45603</v>
      </c>
      <c r="O494" s="16" cm="1">
        <f t="array" ref="O494">_xll.BADDPERIODS(N494, "PER=WD", "NUMBEROFPERIODS=2", "BUSDAYADJ=-2", "CDR=GQ", "CDR=P9")</f>
        <v>45607</v>
      </c>
      <c r="P494" s="15" cm="1">
        <f t="array" ref="P494">_xll.BDH("XAG Curncy","PX_LAST",N494,N494)</f>
        <v>32.027700000000003</v>
      </c>
      <c r="Q494" s="15" t="str" cm="1">
        <f t="array" ref="Q494">_xll.BDP("SIz4 Comdty",$M$32)</f>
        <v>02/12/2024</v>
      </c>
      <c r="R494" s="15">
        <f t="shared" si="233"/>
        <v>21</v>
      </c>
      <c r="S494" s="23">
        <v>4.8899999999999999E-2</v>
      </c>
      <c r="T494" s="21">
        <f t="shared" si="242"/>
        <v>9.1359014250000009E-2</v>
      </c>
      <c r="U494" s="12">
        <v>0.11</v>
      </c>
      <c r="V494" s="77">
        <f t="shared" si="243"/>
        <v>1.8640985749999992</v>
      </c>
      <c r="W494" s="15">
        <v>15</v>
      </c>
      <c r="X494" s="15">
        <v>20</v>
      </c>
      <c r="Y494" s="15">
        <v>25</v>
      </c>
      <c r="Z494" s="18">
        <f t="shared" si="239"/>
        <v>9.1359014250000001</v>
      </c>
      <c r="AA494" s="18">
        <f t="shared" si="240"/>
        <v>11</v>
      </c>
      <c r="AB494" s="18">
        <f t="shared" si="241"/>
        <v>1.8640985749999992</v>
      </c>
      <c r="AE494" s="44" cm="1">
        <f t="array" ref="AE494">_xll.BDH("COMXGOLD Comdty","PX_Last", N494)</f>
        <v>17134174.442000002</v>
      </c>
      <c r="AF494" s="15" t="s">
        <v>45</v>
      </c>
      <c r="AG494" s="44" cm="1">
        <f t="array" ref="AG494">_xll.BDH(AF494,"FUT_AGGTE_OPEN_INT",A494)</f>
        <v>553566</v>
      </c>
      <c r="AH494" s="44">
        <f t="shared" si="245"/>
        <v>55356600</v>
      </c>
      <c r="AI494" s="48">
        <f t="shared" si="246"/>
        <v>0.30952360589342559</v>
      </c>
      <c r="AK494" s="44" cm="1">
        <f t="array" ref="AK494">_xll.BDH("COMXSILV Comdty","PX_Last", N494)</f>
        <v>311809.21999999997</v>
      </c>
      <c r="AL494" s="15" t="s">
        <v>46</v>
      </c>
      <c r="AM494" s="47" cm="1">
        <f t="array" ref="AM494">_xll.BDH(AL494,"FUT_AGGTE_OPEN_INT",A494)</f>
        <v>149652</v>
      </c>
      <c r="AN494" s="45">
        <f t="shared" si="247"/>
        <v>416.71239943335195</v>
      </c>
      <c r="AO494" s="46">
        <f t="shared" si="248"/>
        <v>31180921999.999996</v>
      </c>
      <c r="AP494" s="46">
        <f t="shared" si="249"/>
        <v>748260</v>
      </c>
    </row>
    <row r="495" spans="1:42" x14ac:dyDescent="0.2">
      <c r="A495" s="71">
        <v>45604</v>
      </c>
      <c r="B495" s="16" cm="1">
        <f t="array" ref="B495">_xll.BADDPERIODS(A495, "PER=WD", "NUMBEROFPERIODS=2", "BUSDAYADJ=-2", "CDR=GQ", "CDR=P9")</f>
        <v>45608</v>
      </c>
      <c r="C495" s="15" cm="1">
        <f t="array" ref="C495">_xll.BDH("XAU Curncy","PX_LAST",A495,A495)</f>
        <v>2684.77</v>
      </c>
      <c r="D495" s="15" t="str" cm="1">
        <f t="array" ref="D495">_xll.BDP("GCz4 Comdty",$M$32)</f>
        <v>02/12/2024</v>
      </c>
      <c r="E495" s="15">
        <f t="shared" si="250"/>
        <v>20</v>
      </c>
      <c r="F495" s="23">
        <v>4.7E-2</v>
      </c>
      <c r="G495" s="28">
        <f t="shared" si="244"/>
        <v>7.0102327777777766</v>
      </c>
      <c r="H495" s="12">
        <v>7.4</v>
      </c>
      <c r="I495" s="76">
        <f t="shared" si="217"/>
        <v>0.38976722222222371</v>
      </c>
      <c r="J495" s="26">
        <v>4</v>
      </c>
      <c r="K495" s="26">
        <v>6</v>
      </c>
      <c r="L495" s="26">
        <v>8</v>
      </c>
      <c r="N495" s="71">
        <v>45604</v>
      </c>
      <c r="O495" s="16" cm="1">
        <f t="array" ref="O495">_xll.BADDPERIODS(N495, "PER=WD", "NUMBEROFPERIODS=2", "BUSDAYADJ=-2", "CDR=GQ", "CDR=P9")</f>
        <v>45608</v>
      </c>
      <c r="P495" s="15" cm="1">
        <f t="array" ref="P495">_xll.BDH("XAG Curncy","PX_LAST",N495,N495)</f>
        <v>31.306999999999999</v>
      </c>
      <c r="Q495" s="15" t="str" cm="1">
        <f t="array" ref="Q495">_xll.BDP("SIz4 Comdty",$M$32)</f>
        <v>02/12/2024</v>
      </c>
      <c r="R495" s="15">
        <f t="shared" si="233"/>
        <v>20</v>
      </c>
      <c r="S495" s="23">
        <v>4.8500000000000001E-2</v>
      </c>
      <c r="T495" s="21">
        <f t="shared" si="242"/>
        <v>8.4354972222222227E-2</v>
      </c>
      <c r="U495" s="12">
        <v>0.11</v>
      </c>
      <c r="V495" s="77">
        <f t="shared" si="243"/>
        <v>2.5645027777777774</v>
      </c>
      <c r="W495" s="15">
        <v>15</v>
      </c>
      <c r="X495" s="15">
        <v>20</v>
      </c>
      <c r="Y495" s="15">
        <v>25</v>
      </c>
      <c r="Z495" s="18">
        <f t="shared" ref="Z495:Z499" si="251">100*T495</f>
        <v>8.4354972222222226</v>
      </c>
      <c r="AA495" s="18">
        <f t="shared" ref="AA495:AA523" si="252">U495*100</f>
        <v>11</v>
      </c>
      <c r="AB495" s="18">
        <f t="shared" ref="AB495:AB509" si="253">V495</f>
        <v>2.5645027777777774</v>
      </c>
      <c r="AC495" s="15"/>
      <c r="AD495" s="15"/>
      <c r="AE495" s="44" cm="1">
        <f t="array" ref="AE495">_xll.BDH("COMXGOLD Comdty","PX_Last", N495)</f>
        <v>17199115.603</v>
      </c>
      <c r="AF495" s="15" t="s">
        <v>45</v>
      </c>
      <c r="AG495" s="44" cm="1">
        <f t="array" ref="AG495">_xll.BDH(AF495,"FUT_AGGTE_OPEN_INT",A495)</f>
        <v>552706</v>
      </c>
      <c r="AH495" s="44">
        <f t="shared" ref="AH495:AH499" si="254">AG495*$AG$17</f>
        <v>55270600</v>
      </c>
      <c r="AI495" s="48">
        <f t="shared" ref="AI495:AI499" si="255">AE495/AH495</f>
        <v>0.31118018626539246</v>
      </c>
      <c r="AK495" s="44" cm="1">
        <f t="array" ref="AK495">_xll.BDH("COMXSILV Comdty","PX_Last", N495)</f>
        <v>312280.31</v>
      </c>
      <c r="AL495" s="15" t="s">
        <v>46</v>
      </c>
      <c r="AM495" s="47" cm="1">
        <f t="array" ref="AM495">_xll.BDH(AL495,"FUT_AGGTE_OPEN_INT",A495)</f>
        <v>147277</v>
      </c>
      <c r="AN495" s="45">
        <f t="shared" ref="AN495:AN499" si="256">(AO495/AP495)/100</f>
        <v>424.07206827950051</v>
      </c>
      <c r="AO495" s="46">
        <f t="shared" ref="AO495:AO499" si="257">AK495*100000</f>
        <v>31228031000</v>
      </c>
      <c r="AP495" s="46">
        <f t="shared" ref="AP495:AP499" si="258">(AM495*5000)/1000</f>
        <v>736385</v>
      </c>
    </row>
    <row r="496" spans="1:42" x14ac:dyDescent="0.2">
      <c r="A496" s="71">
        <v>45608</v>
      </c>
      <c r="B496" s="16" cm="1">
        <f t="array" ref="B496">_xll.BADDPERIODS(A496, "PER=WD", "NUMBEROFPERIODS=2", "BUSDAYADJ=-2", "CDR=GQ", "CDR=P9")</f>
        <v>45610</v>
      </c>
      <c r="C496" s="15" cm="1">
        <f t="array" ref="C496">_xll.BDH("XAU Curncy","PX_LAST",A496,A496)</f>
        <v>2598.39</v>
      </c>
      <c r="D496" s="15" t="str" cm="1">
        <f t="array" ref="D496">_xll.BDP("GCz4 Comdty",$M$32)</f>
        <v>02/12/2024</v>
      </c>
      <c r="E496" s="15">
        <f t="shared" si="250"/>
        <v>18</v>
      </c>
      <c r="F496" s="23">
        <v>4.65E-2</v>
      </c>
      <c r="G496" s="28">
        <f t="shared" si="244"/>
        <v>6.0412567499999996</v>
      </c>
      <c r="H496" s="12">
        <v>6.7</v>
      </c>
      <c r="I496" s="78">
        <f t="shared" si="217"/>
        <v>0.65874325000000056</v>
      </c>
      <c r="J496" s="26">
        <v>4</v>
      </c>
      <c r="K496" s="26">
        <v>6</v>
      </c>
      <c r="L496" s="26">
        <v>8</v>
      </c>
      <c r="N496" s="71">
        <v>45608</v>
      </c>
      <c r="O496" s="16" cm="1">
        <f t="array" ref="O496">_xll.BADDPERIODS(N496, "PER=WD", "NUMBEROFPERIODS=2", "BUSDAYADJ=-2", "CDR=GQ", "CDR=P9")</f>
        <v>45610</v>
      </c>
      <c r="P496" s="15" cm="1">
        <f t="array" ref="P496">_xll.BDH("XAG Curncy","PX_LAST",N496,N496)</f>
        <v>30.722000000000001</v>
      </c>
      <c r="Q496" s="15" t="str" cm="1">
        <f t="array" ref="Q496">_xll.BDP("SIz4 Comdty",$M$32)</f>
        <v>02/12/2024</v>
      </c>
      <c r="R496" s="15">
        <f t="shared" ref="R496:R499" si="259">_xlfn.DAYS(Q496,O496)</f>
        <v>18</v>
      </c>
      <c r="S496" s="23">
        <v>4.8500000000000001E-2</v>
      </c>
      <c r="T496" s="21">
        <f t="shared" si="242"/>
        <v>7.4500850000000007E-2</v>
      </c>
      <c r="U496" s="12">
        <v>0.11</v>
      </c>
      <c r="V496" s="77">
        <f t="shared" si="243"/>
        <v>3.5499149999999995</v>
      </c>
      <c r="W496" s="15">
        <v>15</v>
      </c>
      <c r="X496" s="15">
        <v>20</v>
      </c>
      <c r="Y496" s="15">
        <v>25</v>
      </c>
      <c r="Z496" s="18">
        <f t="shared" si="251"/>
        <v>7.4500850000000005</v>
      </c>
      <c r="AA496" s="18">
        <f t="shared" si="252"/>
        <v>11</v>
      </c>
      <c r="AB496" s="18">
        <f t="shared" si="253"/>
        <v>3.5499149999999995</v>
      </c>
      <c r="AC496" s="15"/>
      <c r="AD496" s="15"/>
      <c r="AE496" s="44" cm="1">
        <f t="array" ref="AE496">_xll.BDH("COMXGOLD Comdty","PX_Last", N496)</f>
        <v>17344329.862</v>
      </c>
      <c r="AF496" s="15" t="s">
        <v>45</v>
      </c>
      <c r="AG496" s="44" cm="1">
        <f t="array" ref="AG496">_xll.BDH(AF496,"FUT_AGGTE_OPEN_INT",A496)</f>
        <v>535981</v>
      </c>
      <c r="AH496" s="44">
        <f t="shared" si="254"/>
        <v>53598100</v>
      </c>
      <c r="AI496" s="48">
        <f t="shared" si="255"/>
        <v>0.32359971457943471</v>
      </c>
      <c r="AK496" s="44" cm="1">
        <f t="array" ref="AK496">_xll.BDH("COMXSILV Comdty","PX_Last", N496)</f>
        <v>312688.15999999997</v>
      </c>
      <c r="AL496" s="15" t="s">
        <v>46</v>
      </c>
      <c r="AM496" s="47" cm="1">
        <f t="array" ref="AM496">_xll.BDH(AL496,"FUT_AGGTE_OPEN_INT",A496)</f>
        <v>147526</v>
      </c>
      <c r="AN496" s="45">
        <f t="shared" si="256"/>
        <v>423.90922278106905</v>
      </c>
      <c r="AO496" s="46">
        <f t="shared" si="257"/>
        <v>31268815999.999996</v>
      </c>
      <c r="AP496" s="46">
        <f t="shared" si="258"/>
        <v>737630</v>
      </c>
    </row>
    <row r="497" spans="1:42" x14ac:dyDescent="0.2">
      <c r="A497" s="71">
        <v>45609</v>
      </c>
      <c r="B497" s="16" cm="1">
        <f t="array" ref="B497">_xll.BADDPERIODS(A497, "PER=WD", "NUMBEROFPERIODS=2", "BUSDAYADJ=-2", "CDR=GQ", "CDR=P9")</f>
        <v>45611</v>
      </c>
      <c r="C497" s="15" cm="1">
        <f t="array" ref="C497">_xll.BDH("XAU Curncy","PX_LAST",A497,A497)</f>
        <v>2572.98</v>
      </c>
      <c r="D497" s="15" t="str" cm="1">
        <f t="array" ref="D497">_xll.BDP("GCz4 Comdty",$M$32)</f>
        <v>02/12/2024</v>
      </c>
      <c r="E497" s="15">
        <f t="shared" si="250"/>
        <v>17</v>
      </c>
      <c r="F497" s="23">
        <v>4.6300000000000001E-2</v>
      </c>
      <c r="G497" s="28">
        <f t="shared" si="244"/>
        <v>5.6255348833333336</v>
      </c>
      <c r="H497" s="12">
        <v>6</v>
      </c>
      <c r="I497" s="78">
        <f t="shared" si="217"/>
        <v>0.37446511666666638</v>
      </c>
      <c r="J497" s="26">
        <v>4</v>
      </c>
      <c r="K497" s="26">
        <v>6</v>
      </c>
      <c r="L497" s="26">
        <v>8</v>
      </c>
      <c r="N497" s="71">
        <v>45609</v>
      </c>
      <c r="O497" s="16" cm="1">
        <f t="array" ref="O497">_xll.BADDPERIODS(N497, "PER=WD", "NUMBEROFPERIODS=2", "BUSDAYADJ=-2", "CDR=GQ", "CDR=P9")</f>
        <v>45611</v>
      </c>
      <c r="P497" s="15" cm="1">
        <f t="array" ref="P497">_xll.BDH("XAG Curncy","PX_LAST",N497,N497)</f>
        <v>30.305499999999999</v>
      </c>
      <c r="Q497" s="15" t="str" cm="1">
        <f t="array" ref="Q497">_xll.BDP("SIz4 Comdty",$M$32)</f>
        <v>02/12/2024</v>
      </c>
      <c r="R497" s="15">
        <f t="shared" si="259"/>
        <v>17</v>
      </c>
      <c r="S497" s="23">
        <v>4.8300000000000003E-2</v>
      </c>
      <c r="T497" s="21">
        <f t="shared" si="242"/>
        <v>6.9121794583333326E-2</v>
      </c>
      <c r="U497" s="12">
        <v>0.11</v>
      </c>
      <c r="V497" s="77">
        <f t="shared" si="243"/>
        <v>4.0878205416666678</v>
      </c>
      <c r="W497" s="15">
        <v>15</v>
      </c>
      <c r="X497" s="15">
        <v>20</v>
      </c>
      <c r="Y497" s="15">
        <v>25</v>
      </c>
      <c r="Z497" s="18">
        <f t="shared" si="251"/>
        <v>6.9121794583333322</v>
      </c>
      <c r="AA497" s="18">
        <f t="shared" si="252"/>
        <v>11</v>
      </c>
      <c r="AB497" s="18">
        <f t="shared" si="253"/>
        <v>4.0878205416666678</v>
      </c>
      <c r="AC497" s="15"/>
      <c r="AD497" s="15"/>
      <c r="AE497" s="44" cm="1">
        <f t="array" ref="AE497">_xll.BDH("COMXGOLD Comdty","PX_Last", N497)</f>
        <v>17417876.337000001</v>
      </c>
      <c r="AF497" s="15" t="s">
        <v>45</v>
      </c>
      <c r="AG497" s="44" cm="1">
        <f t="array" ref="AG497">_xll.BDH(AF497,"FUT_AGGTE_OPEN_INT",A497)</f>
        <v>541243</v>
      </c>
      <c r="AH497" s="44">
        <f t="shared" si="254"/>
        <v>54124300</v>
      </c>
      <c r="AI497" s="48">
        <f t="shared" si="255"/>
        <v>0.32181250079908658</v>
      </c>
      <c r="AK497" s="44" cm="1">
        <f t="array" ref="AK497">_xll.BDH("COMXSILV Comdty","PX_Last", N497)</f>
        <v>311292.38</v>
      </c>
      <c r="AL497" s="15" t="s">
        <v>46</v>
      </c>
      <c r="AM497" s="47" cm="1">
        <f t="array" ref="AM497">_xll.BDH(AL497,"FUT_AGGTE_OPEN_INT",A497)</f>
        <v>147227</v>
      </c>
      <c r="AN497" s="45">
        <f t="shared" si="256"/>
        <v>422.87403805008597</v>
      </c>
      <c r="AO497" s="46">
        <f t="shared" si="257"/>
        <v>31129238000</v>
      </c>
      <c r="AP497" s="46">
        <f t="shared" si="258"/>
        <v>736135</v>
      </c>
    </row>
    <row r="498" spans="1:42" x14ac:dyDescent="0.2">
      <c r="A498" s="71">
        <v>45610</v>
      </c>
      <c r="B498" s="16" cm="1">
        <f t="array" ref="B498">_xll.BADDPERIODS(A498, "PER=WD", "NUMBEROFPERIODS=2", "BUSDAYADJ=-2", "CDR=GQ", "CDR=P9")</f>
        <v>45614</v>
      </c>
      <c r="C498" s="15" cm="1">
        <f t="array" ref="C498">_xll.BDH("XAU Curncy","PX_LAST",A498,A498)</f>
        <v>2564.85</v>
      </c>
      <c r="D498" s="15" t="str" cm="1">
        <f t="array" ref="D498">_xll.BDP("GCz4 Comdty",$M$32)</f>
        <v>02/12/2024</v>
      </c>
      <c r="E498" s="15">
        <f t="shared" si="250"/>
        <v>14</v>
      </c>
      <c r="F498" s="23">
        <v>4.65E-2</v>
      </c>
      <c r="G498" s="28">
        <f t="shared" si="244"/>
        <v>4.63810375</v>
      </c>
      <c r="H498" s="12">
        <v>5.2</v>
      </c>
      <c r="I498" s="78">
        <f t="shared" si="217"/>
        <v>0.56189625000000021</v>
      </c>
      <c r="J498" s="26">
        <v>4</v>
      </c>
      <c r="K498" s="26">
        <v>6</v>
      </c>
      <c r="L498" s="26">
        <v>8</v>
      </c>
      <c r="N498" s="71">
        <v>45610</v>
      </c>
      <c r="O498" s="16" cm="1">
        <f t="array" ref="O498">_xll.BADDPERIODS(N498, "PER=WD", "NUMBEROFPERIODS=2", "BUSDAYADJ=-2", "CDR=GQ", "CDR=P9")</f>
        <v>45614</v>
      </c>
      <c r="P498" s="15" cm="1">
        <f t="array" ref="P498">_xll.BDH("XAG Curncy","PX_LAST",N498,N498)</f>
        <v>30.4497</v>
      </c>
      <c r="Q498" s="15" t="str" cm="1">
        <f t="array" ref="Q498">_xll.BDP("SIz4 Comdty",$M$32)</f>
        <v>02/12/2024</v>
      </c>
      <c r="R498" s="15">
        <f t="shared" si="259"/>
        <v>14</v>
      </c>
      <c r="S498" s="23">
        <v>4.8500000000000001E-2</v>
      </c>
      <c r="T498" s="21">
        <f t="shared" si="242"/>
        <v>5.7431517500000008E-2</v>
      </c>
      <c r="U498" s="12">
        <v>0.09</v>
      </c>
      <c r="V498" s="77">
        <f t="shared" si="243"/>
        <v>3.2568482499999987</v>
      </c>
      <c r="W498" s="15">
        <v>15</v>
      </c>
      <c r="X498" s="15">
        <v>20</v>
      </c>
      <c r="Y498" s="15">
        <v>25</v>
      </c>
      <c r="Z498" s="18">
        <f t="shared" si="251"/>
        <v>5.7431517500000009</v>
      </c>
      <c r="AA498" s="18">
        <f t="shared" si="252"/>
        <v>9</v>
      </c>
      <c r="AB498" s="18">
        <f t="shared" si="253"/>
        <v>3.2568482499999987</v>
      </c>
      <c r="AC498" s="15"/>
      <c r="AD498" s="15"/>
      <c r="AE498" s="44" cm="1">
        <f t="array" ref="AE498">_xll.BDH("COMXGOLD Comdty","PX_Last", N498)</f>
        <v>17488407.642000001</v>
      </c>
      <c r="AF498" s="15" t="s">
        <v>45</v>
      </c>
      <c r="AG498" s="44" cm="1">
        <f t="array" ref="AG498">_xll.BDH(AF498,"FUT_AGGTE_OPEN_INT",A498)</f>
        <v>535891</v>
      </c>
      <c r="AH498" s="44">
        <f t="shared" si="254"/>
        <v>53589100</v>
      </c>
      <c r="AI498" s="48">
        <f t="shared" si="255"/>
        <v>0.32634262642962841</v>
      </c>
      <c r="AK498" s="44" cm="1">
        <f t="array" ref="AK498">_xll.BDH("COMXSILV Comdty","PX_Last", N498)</f>
        <v>311321.81</v>
      </c>
      <c r="AL498" s="15" t="s">
        <v>46</v>
      </c>
      <c r="AM498" s="47" cm="1">
        <f t="array" ref="AM498">_xll.BDH(AL498,"FUT_AGGTE_OPEN_INT",A498)</f>
        <v>144947</v>
      </c>
      <c r="AN498" s="45">
        <f t="shared" si="256"/>
        <v>429.56640703153562</v>
      </c>
      <c r="AO498" s="46">
        <f t="shared" si="257"/>
        <v>31132181000</v>
      </c>
      <c r="AP498" s="46">
        <f t="shared" si="258"/>
        <v>724735</v>
      </c>
    </row>
    <row r="499" spans="1:42" x14ac:dyDescent="0.2">
      <c r="A499" s="71">
        <v>45611</v>
      </c>
      <c r="B499" s="16" cm="1">
        <f t="array" ref="B499">_xll.BADDPERIODS(A499, "PER=WD", "NUMBEROFPERIODS=2", "BUSDAYADJ=-2", "CDR=GQ", "CDR=P9")</f>
        <v>45615</v>
      </c>
      <c r="C499" s="15" cm="1">
        <f t="array" ref="C499">_xll.BDH("XAU Curncy","PX_LAST",A499,A499)</f>
        <v>2563.25</v>
      </c>
      <c r="D499" s="15" t="str" cm="1">
        <f t="array" ref="D499">_xll.BDP("GCz4 Comdty",$M$32)</f>
        <v>02/12/2024</v>
      </c>
      <c r="E499" s="15">
        <f t="shared" si="250"/>
        <v>13</v>
      </c>
      <c r="F499" s="23">
        <v>4.65E-2</v>
      </c>
      <c r="G499" s="28">
        <f t="shared" si="244"/>
        <v>4.3041239583333333</v>
      </c>
      <c r="H499" s="12">
        <v>4.7</v>
      </c>
      <c r="I499" s="78">
        <f t="shared" si="217"/>
        <v>0.3958760416666669</v>
      </c>
      <c r="J499" s="26">
        <v>4</v>
      </c>
      <c r="K499" s="26">
        <v>6</v>
      </c>
      <c r="L499" s="26">
        <v>8</v>
      </c>
      <c r="N499" s="71">
        <v>45611</v>
      </c>
      <c r="O499" s="16" cm="1">
        <f t="array" ref="O499">_xll.BADDPERIODS(N499, "PER=WD", "NUMBEROFPERIODS=2", "BUSDAYADJ=-2", "CDR=GQ", "CDR=P9")</f>
        <v>45615</v>
      </c>
      <c r="P499" s="15" cm="1">
        <f t="array" ref="P499">_xll.BDH("XAG Curncy","PX_LAST",N499,N499)</f>
        <v>30.270800000000001</v>
      </c>
      <c r="Q499" s="15" t="str" cm="1">
        <f t="array" ref="Q499">_xll.BDP("SIz4 Comdty",$M$32)</f>
        <v>02/12/2024</v>
      </c>
      <c r="R499" s="15">
        <f t="shared" si="259"/>
        <v>13</v>
      </c>
      <c r="S499" s="23">
        <v>4.8500000000000001E-2</v>
      </c>
      <c r="T499" s="21">
        <f t="shared" si="242"/>
        <v>5.3015942777777783E-2</v>
      </c>
      <c r="U499" s="12">
        <v>0.09</v>
      </c>
      <c r="V499" s="77">
        <f t="shared" si="243"/>
        <v>3.6984057222222213</v>
      </c>
      <c r="W499" s="15">
        <v>15</v>
      </c>
      <c r="X499" s="15">
        <v>20</v>
      </c>
      <c r="Y499" s="15">
        <v>25</v>
      </c>
      <c r="Z499" s="18">
        <f t="shared" si="251"/>
        <v>5.3015942777777783</v>
      </c>
      <c r="AA499" s="18">
        <f t="shared" si="252"/>
        <v>9</v>
      </c>
      <c r="AB499" s="18">
        <f t="shared" si="253"/>
        <v>3.6984057222222213</v>
      </c>
      <c r="AC499" s="15"/>
      <c r="AD499" s="15"/>
      <c r="AE499" s="44" cm="1">
        <f t="array" ref="AE499">_xll.BDH("COMXGOLD Comdty","PX_Last", N500)</f>
        <v>17488407.642000001</v>
      </c>
      <c r="AF499" s="15" t="s">
        <v>45</v>
      </c>
      <c r="AG499" s="44" cm="1">
        <f t="array" ref="AG499">_xll.BDH(AF499,"FUT_AGGTE_OPEN_INT",A500)</f>
        <v>515181</v>
      </c>
      <c r="AH499" s="44">
        <f t="shared" si="254"/>
        <v>51518100</v>
      </c>
      <c r="AI499" s="48">
        <f t="shared" si="255"/>
        <v>0.33946142505255439</v>
      </c>
      <c r="AK499" s="44" cm="1">
        <f t="array" ref="AK499">_xll.BDH("COMXSILV Comdty","PX_Last", N499)</f>
        <v>310038.94</v>
      </c>
      <c r="AL499" s="15" t="s">
        <v>46</v>
      </c>
      <c r="AM499" s="47" cm="1">
        <f t="array" ref="AM499">_xll.BDH(AL499,"FUT_AGGTE_OPEN_INT",A500)</f>
        <v>143693</v>
      </c>
      <c r="AN499" s="45">
        <f t="shared" si="256"/>
        <v>431.52963609918368</v>
      </c>
      <c r="AO499" s="46">
        <f t="shared" si="257"/>
        <v>31003894000</v>
      </c>
      <c r="AP499" s="46">
        <f t="shared" si="258"/>
        <v>718465</v>
      </c>
    </row>
    <row r="500" spans="1:42" x14ac:dyDescent="0.2">
      <c r="A500" s="71">
        <v>45614</v>
      </c>
      <c r="B500" s="16" cm="1">
        <f t="array" ref="B500">_xll.BADDPERIODS(A500, "PER=WD", "NUMBEROFPERIODS=2", "BUSDAYADJ=-2", "CDR=GQ", "CDR=P9")</f>
        <v>45616</v>
      </c>
      <c r="C500" s="15" cm="1">
        <f t="array" ref="C500">_xll.BDH("XAU Curncy","PX_LAST",A500,A500)</f>
        <v>2611.83</v>
      </c>
      <c r="D500" s="15" t="str" cm="1">
        <f t="array" ref="D500">_xll.BDP("GCz4 Comdty",$M$32)</f>
        <v>02/12/2024</v>
      </c>
      <c r="E500" s="15">
        <f t="shared" ref="E500:E504" si="260">_xlfn.DAYS(D500,B500)</f>
        <v>12</v>
      </c>
      <c r="F500" s="23">
        <v>4.7500000000000001E-2</v>
      </c>
      <c r="G500" s="28">
        <f t="shared" si="244"/>
        <v>4.1353974999999998</v>
      </c>
      <c r="H500" s="12">
        <v>4.5999999999999996</v>
      </c>
      <c r="I500" s="79">
        <f t="shared" si="217"/>
        <v>0.46460249999999981</v>
      </c>
      <c r="J500" s="26">
        <v>4</v>
      </c>
      <c r="K500" s="26">
        <v>6</v>
      </c>
      <c r="L500" s="26">
        <v>8</v>
      </c>
      <c r="N500" s="71">
        <v>45614</v>
      </c>
      <c r="O500" s="16" cm="1">
        <f t="array" ref="O500">_xll.BADDPERIODS(N500, "PER=WD", "NUMBEROFPERIODS=2", "BUSDAYADJ=-2", "CDR=GQ", "CDR=P9")</f>
        <v>45616</v>
      </c>
      <c r="P500" s="15" cm="1">
        <f t="array" ref="P500">_xll.BDH("XAG Curncy","PX_LAST",N500,N500)</f>
        <v>31.173300000000001</v>
      </c>
      <c r="Q500" s="15" t="str" cm="1">
        <f t="array" ref="Q500">_xll.BDP("SIz4 Comdty",$M$32)</f>
        <v>02/12/2024</v>
      </c>
      <c r="R500" s="15">
        <f t="shared" ref="R500:R512" si="261">_xlfn.DAYS(Q500,O500)</f>
        <v>12</v>
      </c>
      <c r="S500" s="23">
        <v>4.8500000000000001E-2</v>
      </c>
      <c r="T500" s="21">
        <f t="shared" si="242"/>
        <v>5.0396835000000001E-2</v>
      </c>
      <c r="U500" s="12">
        <v>9.5000000000000001E-2</v>
      </c>
      <c r="V500" s="80">
        <f t="shared" si="243"/>
        <v>4.4603165000000002</v>
      </c>
      <c r="W500" s="15">
        <v>15</v>
      </c>
      <c r="X500" s="15">
        <v>20</v>
      </c>
      <c r="Y500" s="15">
        <v>25</v>
      </c>
      <c r="Z500" s="18">
        <f t="shared" ref="Z500:Z509" si="262">100*T500</f>
        <v>5.0396834999999998</v>
      </c>
      <c r="AA500" s="18">
        <f t="shared" si="252"/>
        <v>9.5</v>
      </c>
      <c r="AB500" s="18">
        <f t="shared" si="253"/>
        <v>4.4603165000000002</v>
      </c>
      <c r="AE500" s="44" cm="1">
        <f t="array" ref="AE500">_xll.BDH("COMXGOLD Comdty","PX_Last", N500)</f>
        <v>17488407.642000001</v>
      </c>
      <c r="AF500" s="15" t="s">
        <v>45</v>
      </c>
      <c r="AG500" s="44" cm="1">
        <f t="array" ref="AG500">_xll.BDH(AF500,"FUT_AGGTE_OPEN_INT",A500)</f>
        <v>515181</v>
      </c>
      <c r="AH500" s="44">
        <f t="shared" ref="AH500:AH504" si="263">AG500*$AG$17</f>
        <v>51518100</v>
      </c>
      <c r="AI500" s="48">
        <f t="shared" ref="AI500:AI504" si="264">AE500/AH500</f>
        <v>0.33946142505255439</v>
      </c>
      <c r="AK500" s="44" cm="1">
        <f t="array" ref="AK500">_xll.BDH("COMXSILV Comdty","PX_Last", N500)</f>
        <v>308821.19</v>
      </c>
      <c r="AL500" s="15" t="s">
        <v>46</v>
      </c>
      <c r="AM500" s="47" cm="1">
        <f t="array" ref="AM500">_xll.BDH(AL500,"FUT_AGGTE_OPEN_INT",A500)</f>
        <v>143693</v>
      </c>
      <c r="AN500" s="45">
        <f t="shared" ref="AN500:AN504" si="265">(AO500/AP500)/100</f>
        <v>429.83470315185849</v>
      </c>
      <c r="AO500" s="46">
        <f t="shared" ref="AO500:AO504" si="266">AK500*100000</f>
        <v>30882119000</v>
      </c>
      <c r="AP500" s="46">
        <f t="shared" ref="AP500:AP504" si="267">(AM500*5000)/1000</f>
        <v>718465</v>
      </c>
    </row>
    <row r="501" spans="1:42" x14ac:dyDescent="0.2">
      <c r="A501" s="71">
        <v>45615</v>
      </c>
      <c r="B501" s="16" cm="1">
        <f t="array" ref="B501">_xll.BADDPERIODS(A501, "PER=WD", "NUMBEROFPERIODS=2", "BUSDAYADJ=-2", "CDR=GQ", "CDR=P9")</f>
        <v>45617</v>
      </c>
      <c r="C501" s="15" cm="1">
        <f t="array" ref="C501">_xll.BDH("XAU Curncy","PX_LAST",A501,A501)</f>
        <v>2632.08</v>
      </c>
      <c r="D501" s="15" t="str" cm="1">
        <f t="array" ref="D501">_xll.BDP("GCz4 Comdty",$M$32)</f>
        <v>02/12/2024</v>
      </c>
      <c r="E501" s="15">
        <f t="shared" si="260"/>
        <v>11</v>
      </c>
      <c r="F501" s="23">
        <v>4.7300000000000002E-2</v>
      </c>
      <c r="G501" s="28">
        <f t="shared" si="244"/>
        <v>3.8040867333333335</v>
      </c>
      <c r="H501" s="12">
        <v>4</v>
      </c>
      <c r="I501" s="79">
        <f t="shared" si="217"/>
        <v>0.19591326666666653</v>
      </c>
      <c r="J501" s="26">
        <v>4</v>
      </c>
      <c r="K501" s="26">
        <v>6</v>
      </c>
      <c r="L501" s="26">
        <v>8</v>
      </c>
      <c r="N501" s="71">
        <v>45615</v>
      </c>
      <c r="O501" s="16" cm="1">
        <f t="array" ref="O501">_xll.BADDPERIODS(N501, "PER=WD", "NUMBEROFPERIODS=2", "BUSDAYADJ=-2", "CDR=GQ", "CDR=P9")</f>
        <v>45617</v>
      </c>
      <c r="P501" s="15" cm="1">
        <f t="array" ref="P501">_xll.BDH("XAG Curncy","PX_LAST",N501,N501)</f>
        <v>31.211500000000001</v>
      </c>
      <c r="Q501" s="15" t="str" cm="1">
        <f t="array" ref="Q501">_xll.BDP("SIz4 Comdty",$M$32)</f>
        <v>02/12/2024</v>
      </c>
      <c r="R501" s="15">
        <f t="shared" si="261"/>
        <v>11</v>
      </c>
      <c r="S501" s="23">
        <v>4.9000000000000002E-2</v>
      </c>
      <c r="T501" s="21">
        <f t="shared" si="242"/>
        <v>4.6730551388888888E-2</v>
      </c>
      <c r="U501" s="12">
        <v>8.7499999999999994E-2</v>
      </c>
      <c r="V501" s="80">
        <f t="shared" si="243"/>
        <v>4.0769448611111105</v>
      </c>
      <c r="W501" s="15">
        <v>15</v>
      </c>
      <c r="X501" s="15">
        <v>20</v>
      </c>
      <c r="Y501" s="15">
        <v>25</v>
      </c>
      <c r="Z501" s="18">
        <f t="shared" si="262"/>
        <v>4.6730551388888886</v>
      </c>
      <c r="AA501" s="18">
        <f t="shared" si="252"/>
        <v>8.75</v>
      </c>
      <c r="AB501" s="18">
        <f t="shared" si="253"/>
        <v>4.0769448611111105</v>
      </c>
      <c r="AE501" s="44" cm="1">
        <f t="array" ref="AE501">_xll.BDH("COMXGOLD Comdty","PX_Last", N501)</f>
        <v>17481147.870999999</v>
      </c>
      <c r="AF501" s="15" t="s">
        <v>45</v>
      </c>
      <c r="AG501" s="44" cm="1">
        <f t="array" ref="AG501">_xll.BDH(AF501,"FUT_AGGTE_OPEN_INT",A501)</f>
        <v>502952</v>
      </c>
      <c r="AH501" s="44">
        <f t="shared" si="263"/>
        <v>50295200</v>
      </c>
      <c r="AI501" s="48">
        <f t="shared" si="264"/>
        <v>0.34757089883328823</v>
      </c>
      <c r="AK501" s="44" cm="1">
        <f t="array" ref="AK501">_xll.BDH("COMXSILV Comdty","PX_Last", N501)</f>
        <v>309988.38</v>
      </c>
      <c r="AL501" s="15" t="s">
        <v>46</v>
      </c>
      <c r="AM501" s="47" cm="1">
        <f t="array" ref="AM501">_xll.BDH(AL501,"FUT_AGGTE_OPEN_INT",A501)</f>
        <v>141287</v>
      </c>
      <c r="AN501" s="45">
        <f t="shared" si="265"/>
        <v>438.80665595560805</v>
      </c>
      <c r="AO501" s="46">
        <f t="shared" si="266"/>
        <v>30998838000</v>
      </c>
      <c r="AP501" s="46">
        <f t="shared" si="267"/>
        <v>706435</v>
      </c>
    </row>
    <row r="502" spans="1:42" x14ac:dyDescent="0.2">
      <c r="A502" s="71">
        <v>45616</v>
      </c>
      <c r="B502" s="16" cm="1">
        <f t="array" ref="B502">_xll.BADDPERIODS(A502, "PER=WD", "NUMBEROFPERIODS=2", "BUSDAYADJ=-2", "CDR=GQ", "CDR=P9")</f>
        <v>45618</v>
      </c>
      <c r="C502" s="15" cm="1">
        <f t="array" ref="C502">_xll.BDH("XAU Curncy","PX_LAST",A502,A502)</f>
        <v>2650.6</v>
      </c>
      <c r="D502" s="15" t="str" cm="1">
        <f t="array" ref="D502">_xll.BDP("GCz4 Comdty",$M$32)</f>
        <v>02/12/2024</v>
      </c>
      <c r="E502" s="15">
        <f t="shared" si="260"/>
        <v>10</v>
      </c>
      <c r="F502" s="23">
        <v>4.8000000000000001E-2</v>
      </c>
      <c r="G502" s="28">
        <f t="shared" si="244"/>
        <v>3.5341333333333327</v>
      </c>
      <c r="H502" s="12">
        <v>3.7</v>
      </c>
      <c r="I502" s="79">
        <f t="shared" si="217"/>
        <v>0.16586666666666749</v>
      </c>
      <c r="J502" s="26">
        <v>4</v>
      </c>
      <c r="K502" s="26">
        <v>6</v>
      </c>
      <c r="L502" s="26">
        <v>8</v>
      </c>
      <c r="N502" s="71">
        <v>45616</v>
      </c>
      <c r="O502" s="16" cm="1">
        <f t="array" ref="O502">_xll.BADDPERIODS(N502, "PER=WD", "NUMBEROFPERIODS=2", "BUSDAYADJ=-2", "CDR=GQ", "CDR=P9")</f>
        <v>45618</v>
      </c>
      <c r="P502" s="15" cm="1">
        <f t="array" ref="P502">_xll.BDH("XAG Curncy","PX_LAST",N502,N502)</f>
        <v>30.853200000000001</v>
      </c>
      <c r="Q502" s="15" t="str" cm="1">
        <f t="array" ref="Q502">_xll.BDP("SIz4 Comdty",$M$32)</f>
        <v>02/12/2024</v>
      </c>
      <c r="R502" s="15">
        <f t="shared" si="261"/>
        <v>10</v>
      </c>
      <c r="S502" s="23">
        <v>4.87E-2</v>
      </c>
      <c r="T502" s="21">
        <f t="shared" si="242"/>
        <v>4.1737523333333332E-2</v>
      </c>
      <c r="U502" s="12">
        <v>0.09</v>
      </c>
      <c r="V502" s="80">
        <f t="shared" si="243"/>
        <v>4.8262476666666663</v>
      </c>
      <c r="W502" s="15">
        <v>15</v>
      </c>
      <c r="X502" s="15">
        <v>20</v>
      </c>
      <c r="Y502" s="15">
        <v>25</v>
      </c>
      <c r="Z502" s="18">
        <f t="shared" si="262"/>
        <v>4.1737523333333328</v>
      </c>
      <c r="AA502" s="18">
        <f t="shared" si="252"/>
        <v>9</v>
      </c>
      <c r="AB502" s="18">
        <f t="shared" si="253"/>
        <v>4.8262476666666663</v>
      </c>
      <c r="AE502" s="44" cm="1">
        <f t="array" ref="AE502">_xll.BDH("COMXGOLD Comdty","PX_Last", N502)</f>
        <v>17529175.260000002</v>
      </c>
      <c r="AF502" s="15" t="s">
        <v>45</v>
      </c>
      <c r="AG502" s="44" cm="1">
        <f t="array" ref="AG502">_xll.BDH(AF502,"FUT_AGGTE_OPEN_INT",A502)</f>
        <v>501315</v>
      </c>
      <c r="AH502" s="44">
        <f t="shared" si="263"/>
        <v>50131500</v>
      </c>
      <c r="AI502" s="48">
        <f t="shared" si="264"/>
        <v>0.34966388917147906</v>
      </c>
      <c r="AK502" s="44" cm="1">
        <f t="array" ref="AK502">_xll.BDH("COMXSILV Comdty","PX_Last", N502)</f>
        <v>309389.65999999997</v>
      </c>
      <c r="AL502" s="15" t="s">
        <v>46</v>
      </c>
      <c r="AM502" s="47" cm="1">
        <f t="array" ref="AM502">_xll.BDH(AL502,"FUT_AGGTE_OPEN_INT",A502)</f>
        <v>141112</v>
      </c>
      <c r="AN502" s="45">
        <f t="shared" si="265"/>
        <v>438.50226770225061</v>
      </c>
      <c r="AO502" s="46">
        <f t="shared" si="266"/>
        <v>30938965999.999996</v>
      </c>
      <c r="AP502" s="46">
        <f t="shared" si="267"/>
        <v>705560</v>
      </c>
    </row>
    <row r="503" spans="1:42" x14ac:dyDescent="0.2">
      <c r="A503" s="71">
        <v>45617</v>
      </c>
      <c r="B503" s="16" cm="1">
        <f t="array" ref="B503">_xll.BADDPERIODS(A503, "PER=WD", "NUMBEROFPERIODS=2", "BUSDAYADJ=-2", "CDR=GQ", "CDR=P9")</f>
        <v>45621</v>
      </c>
      <c r="C503" s="15" cm="1">
        <f t="array" ref="C503">_xll.BDH("XAU Curncy","PX_LAST",A503,A503)</f>
        <v>2669.72</v>
      </c>
      <c r="D503" s="15" t="str" cm="1">
        <f t="array" ref="D503">_xll.BDP("GCz4 Comdty",$M$32)</f>
        <v>02/12/2024</v>
      </c>
      <c r="E503" s="15">
        <f t="shared" si="260"/>
        <v>7</v>
      </c>
      <c r="F503" s="23">
        <v>4.87E-2</v>
      </c>
      <c r="G503" s="28">
        <f t="shared" si="244"/>
        <v>2.5280765222222223</v>
      </c>
      <c r="H503" s="12">
        <v>2.8</v>
      </c>
      <c r="I503" s="79">
        <f t="shared" si="217"/>
        <v>0.27192347777777748</v>
      </c>
      <c r="J503" s="26">
        <v>4</v>
      </c>
      <c r="K503" s="26">
        <v>6</v>
      </c>
      <c r="L503" s="26">
        <v>8</v>
      </c>
      <c r="N503" s="71">
        <v>45617</v>
      </c>
      <c r="O503" s="16" cm="1">
        <f t="array" ref="O503">_xll.BADDPERIODS(N503, "PER=WD", "NUMBEROFPERIODS=2", "BUSDAYADJ=-2", "CDR=GQ", "CDR=P9")</f>
        <v>45621</v>
      </c>
      <c r="P503" s="15" cm="1">
        <f t="array" ref="P503">_xll.BDH("XAG Curncy","PX_LAST",N503,N503)</f>
        <v>30.788</v>
      </c>
      <c r="Q503" s="15" t="str" cm="1">
        <f t="array" ref="Q503">_xll.BDP("SIz4 Comdty",$M$32)</f>
        <v>02/12/2024</v>
      </c>
      <c r="R503" s="15">
        <f t="shared" si="261"/>
        <v>7</v>
      </c>
      <c r="S503" s="23">
        <v>4.9500000000000002E-2</v>
      </c>
      <c r="T503" s="21">
        <f t="shared" si="242"/>
        <v>2.9633450000000006E-2</v>
      </c>
      <c r="U503" s="12">
        <v>0.08</v>
      </c>
      <c r="V503" s="80">
        <f t="shared" si="243"/>
        <v>5.0366549999999997</v>
      </c>
      <c r="W503" s="15">
        <v>15</v>
      </c>
      <c r="X503" s="15">
        <v>20</v>
      </c>
      <c r="Y503" s="15">
        <v>25</v>
      </c>
      <c r="Z503" s="18">
        <f t="shared" si="262"/>
        <v>2.9633450000000003</v>
      </c>
      <c r="AA503" s="18">
        <f t="shared" si="252"/>
        <v>8</v>
      </c>
      <c r="AB503" s="18">
        <f t="shared" si="253"/>
        <v>5.0366549999999997</v>
      </c>
      <c r="AE503" s="44" cm="1">
        <f t="array" ref="AE503">_xll.BDH("COMXGOLD Comdty","PX_Last", N503)</f>
        <v>17561684.25</v>
      </c>
      <c r="AF503" s="15" t="s">
        <v>45</v>
      </c>
      <c r="AG503" s="44" cm="1">
        <f t="array" ref="AG503">_xll.BDH(AF503,"FUT_AGGTE_OPEN_INT",A503)</f>
        <v>496192</v>
      </c>
      <c r="AH503" s="44">
        <f t="shared" si="263"/>
        <v>49619200</v>
      </c>
      <c r="AI503" s="48">
        <f t="shared" si="264"/>
        <v>0.35392920986231136</v>
      </c>
      <c r="AK503" s="44" cm="1">
        <f t="array" ref="AK503">_xll.BDH("COMXSILV Comdty","PX_Last", N503)</f>
        <v>308188.90999999997</v>
      </c>
      <c r="AL503" s="15" t="s">
        <v>46</v>
      </c>
      <c r="AM503" s="47" cm="1">
        <f t="array" ref="AM503">_xll.BDH(AL503,"FUT_AGGTE_OPEN_INT",A503)</f>
        <v>140508</v>
      </c>
      <c r="AN503" s="45">
        <f t="shared" si="265"/>
        <v>438.67809662083295</v>
      </c>
      <c r="AO503" s="46">
        <f t="shared" si="266"/>
        <v>30818890999.999996</v>
      </c>
      <c r="AP503" s="46">
        <f t="shared" si="267"/>
        <v>702540</v>
      </c>
    </row>
    <row r="504" spans="1:42" x14ac:dyDescent="0.2">
      <c r="A504" s="71">
        <v>45618</v>
      </c>
      <c r="B504" s="16" cm="1">
        <f t="array" ref="B504">_xll.BADDPERIODS(A504, "PER=WD", "NUMBEROFPERIODS=2", "BUSDAYADJ=-2", "CDR=GQ", "CDR=P9")</f>
        <v>45622</v>
      </c>
      <c r="C504" s="15" cm="1">
        <f t="array" ref="C504">_xll.BDH("XAU Curncy","PX_LAST",A504,A504)</f>
        <v>2716.19</v>
      </c>
      <c r="D504" s="15" t="str" cm="1">
        <f t="array" ref="D504">_xll.BDP("GCz4 Comdty",$M$32)</f>
        <v>02/12/2024</v>
      </c>
      <c r="E504" s="15">
        <f t="shared" si="260"/>
        <v>6</v>
      </c>
      <c r="F504" s="23">
        <v>4.87E-2</v>
      </c>
      <c r="G504" s="28">
        <f t="shared" si="244"/>
        <v>2.2046408833333331</v>
      </c>
      <c r="H504" s="12">
        <v>2.4</v>
      </c>
      <c r="I504" s="79">
        <f t="shared" si="217"/>
        <v>0.19535911666666683</v>
      </c>
      <c r="J504" s="26">
        <v>4</v>
      </c>
      <c r="K504" s="26">
        <v>6</v>
      </c>
      <c r="L504" s="26">
        <v>8</v>
      </c>
      <c r="N504" s="71">
        <v>45618</v>
      </c>
      <c r="O504" s="16" cm="1">
        <f t="array" ref="O504">_xll.BADDPERIODS(N504, "PER=WD", "NUMBEROFPERIODS=2", "BUSDAYADJ=-2", "CDR=GQ", "CDR=P9")</f>
        <v>45622</v>
      </c>
      <c r="P504" s="15" cm="1">
        <f t="array" ref="P504">_xll.BDH("XAG Curncy","PX_LAST",N504,N504)</f>
        <v>31.345800000000001</v>
      </c>
      <c r="Q504" s="15" t="str" cm="1">
        <f t="array" ref="Q504">_xll.BDP("SIz4 Comdty",$M$32)</f>
        <v>02/12/2024</v>
      </c>
      <c r="R504" s="15">
        <f t="shared" si="261"/>
        <v>6</v>
      </c>
      <c r="S504" s="23">
        <v>4.9500000000000002E-2</v>
      </c>
      <c r="T504" s="21">
        <f t="shared" si="242"/>
        <v>2.5860285E-2</v>
      </c>
      <c r="U504" s="12">
        <v>7.4999999999999997E-2</v>
      </c>
      <c r="V504" s="80">
        <f t="shared" si="243"/>
        <v>4.9139714999999997</v>
      </c>
      <c r="W504" s="15">
        <v>15</v>
      </c>
      <c r="X504" s="15">
        <v>20</v>
      </c>
      <c r="Y504" s="15">
        <v>25</v>
      </c>
      <c r="Z504" s="18">
        <f t="shared" si="262"/>
        <v>2.5860284999999998</v>
      </c>
      <c r="AA504" s="18">
        <f t="shared" si="252"/>
        <v>7.5</v>
      </c>
      <c r="AB504" s="18">
        <f t="shared" si="253"/>
        <v>4.9139714999999997</v>
      </c>
      <c r="AE504" s="44" cm="1">
        <f t="array" ref="AE504">_xll.BDH("COMXGOLD Comdty","PX_Last", N504)</f>
        <v>17547216.300000001</v>
      </c>
      <c r="AF504" s="15" t="s">
        <v>45</v>
      </c>
      <c r="AG504" s="44" cm="1">
        <f t="array" ref="AG504">_xll.BDH(AF504,"FUT_AGGTE_OPEN_INT",A504)</f>
        <v>503904</v>
      </c>
      <c r="AH504" s="44">
        <f t="shared" si="263"/>
        <v>50390400</v>
      </c>
      <c r="AI504" s="48">
        <f t="shared" si="264"/>
        <v>0.34822538221566013</v>
      </c>
      <c r="AK504" s="44" cm="1">
        <f t="array" ref="AK504">_xll.BDH("COMXSILV Comdty","PX_Last", N504)</f>
        <v>307548.15999999997</v>
      </c>
      <c r="AL504" s="15" t="s">
        <v>46</v>
      </c>
      <c r="AM504" s="47" cm="1">
        <f t="array" ref="AM504">_xll.BDH(AL504,"FUT_AGGTE_OPEN_INT",A504)</f>
        <v>139104</v>
      </c>
      <c r="AN504" s="45">
        <f t="shared" si="265"/>
        <v>442.18449505406022</v>
      </c>
      <c r="AO504" s="46">
        <f t="shared" si="266"/>
        <v>30754815999.999996</v>
      </c>
      <c r="AP504" s="46">
        <f t="shared" si="267"/>
        <v>695520</v>
      </c>
    </row>
    <row r="505" spans="1:42" x14ac:dyDescent="0.2">
      <c r="A505" s="71">
        <v>45621</v>
      </c>
      <c r="B505" s="16" cm="1">
        <f t="array" ref="B505">_xll.BADDPERIODS(A505, "PER=WD", "NUMBEROFPERIODS=2", "BUSDAYADJ=-2", "CDR=GQ", "CDR=P9")</f>
        <v>45623</v>
      </c>
      <c r="C505" s="15" cm="1">
        <f t="array" ref="C505">_xll.BDH("XAU Curncy","PX_LAST",A505,A505)</f>
        <v>2625.01</v>
      </c>
      <c r="D505" s="15" t="str" cm="1">
        <f t="array" ref="D505">_xll.BDP("GCz4 Comdty",$M$32)</f>
        <v>02/12/2024</v>
      </c>
      <c r="E505" s="15">
        <f t="shared" ref="E505:E509" si="268">_xlfn.DAYS(D505,B505)</f>
        <v>5</v>
      </c>
      <c r="F505" s="23">
        <v>4.8000000000000001E-2</v>
      </c>
      <c r="G505" s="28">
        <f t="shared" si="244"/>
        <v>1.7500066666666665</v>
      </c>
      <c r="H505" s="12">
        <v>1.6</v>
      </c>
      <c r="I505" s="81">
        <f t="shared" si="217"/>
        <v>-0.1500066666666664</v>
      </c>
      <c r="J505" s="26">
        <v>4</v>
      </c>
      <c r="K505" s="26">
        <v>6</v>
      </c>
      <c r="L505" s="26">
        <v>8</v>
      </c>
      <c r="N505" s="71">
        <v>45621</v>
      </c>
      <c r="O505" s="16" cm="1">
        <f t="array" ref="O505">_xll.BADDPERIODS(N505, "PER=WD", "NUMBEROFPERIODS=2", "BUSDAYADJ=-2", "CDR=GQ", "CDR=P9")</f>
        <v>45623</v>
      </c>
      <c r="P505" s="15" cm="1">
        <f t="array" ref="P505">_xll.BDH("XAG Curncy","PX_LAST",N505,N505)</f>
        <v>30.298500000000001</v>
      </c>
      <c r="Q505" s="15" t="str" cm="1">
        <f t="array" ref="Q505">_xll.BDP("SIz4 Comdty",$M$32)</f>
        <v>02/12/2024</v>
      </c>
      <c r="R505" s="15">
        <f t="shared" si="261"/>
        <v>5</v>
      </c>
      <c r="S505" s="23">
        <v>4.9500000000000002E-2</v>
      </c>
      <c r="T505" s="21">
        <f t="shared" si="242"/>
        <v>2.0830218750000001E-2</v>
      </c>
      <c r="U505" s="12">
        <v>0.06</v>
      </c>
      <c r="V505" s="82">
        <f t="shared" si="243"/>
        <v>3.9169781249999995</v>
      </c>
      <c r="W505" s="15">
        <v>15</v>
      </c>
      <c r="X505" s="15">
        <v>20</v>
      </c>
      <c r="Y505" s="15">
        <v>25</v>
      </c>
      <c r="Z505" s="18">
        <f t="shared" si="262"/>
        <v>2.083021875</v>
      </c>
      <c r="AA505" s="18">
        <f t="shared" si="252"/>
        <v>6</v>
      </c>
      <c r="AB505" s="18">
        <f t="shared" si="253"/>
        <v>3.9169781249999995</v>
      </c>
      <c r="AE505" s="44" cm="1">
        <f t="array" ref="AE505">_xll.BDH("COMXGOLD Comdty","PX_Last", N505)</f>
        <v>17546991.243000001</v>
      </c>
      <c r="AF505" s="15" t="s">
        <v>45</v>
      </c>
      <c r="AG505" s="44" cm="1">
        <f t="array" ref="AG505">_xll.BDH(AF505,"FUT_AGGTE_OPEN_INT",A505)</f>
        <v>481161</v>
      </c>
      <c r="AH505" s="44">
        <f t="shared" ref="AH505:AH509" si="269">AG505*$AG$17</f>
        <v>48116100</v>
      </c>
      <c r="AI505" s="48">
        <f t="shared" ref="AI505:AI509" si="270">AE505/AH505</f>
        <v>0.36468024721454984</v>
      </c>
      <c r="AK505" s="44" cm="1">
        <f t="array" ref="AK505">_xll.BDH("COMXSILV Comdty","PX_Last", N505)</f>
        <v>307548.5</v>
      </c>
      <c r="AL505" s="15" t="s">
        <v>46</v>
      </c>
      <c r="AM505" s="47" cm="1">
        <f t="array" ref="AM505">_xll.BDH(AL505,"FUT_AGGTE_OPEN_INT",A505)</f>
        <v>139295</v>
      </c>
      <c r="AN505" s="45">
        <f t="shared" ref="AN505:AN509" si="271">(AO505/AP505)/100</f>
        <v>441.57866398650344</v>
      </c>
      <c r="AO505" s="46">
        <f t="shared" ref="AO505:AO509" si="272">AK505*100000</f>
        <v>30754850000</v>
      </c>
      <c r="AP505" s="46">
        <f t="shared" ref="AP505:AP509" si="273">(AM505*5000)/1000</f>
        <v>696475</v>
      </c>
    </row>
    <row r="506" spans="1:42" x14ac:dyDescent="0.2">
      <c r="A506" s="71">
        <v>45622</v>
      </c>
      <c r="B506" s="16" cm="1">
        <f t="array" ref="B506">_xll.BADDPERIODS(A506, "PER=WD", "NUMBEROFPERIODS=2", "BUSDAYADJ=-2", "CDR=GQ", "CDR=P9")</f>
        <v>45624</v>
      </c>
      <c r="C506" s="15" cm="1">
        <f t="array" ref="C506">_xll.BDH("XAU Curncy","PX_LAST",A506,A506)</f>
        <v>2633.15</v>
      </c>
      <c r="D506" s="15" t="str" cm="1">
        <f t="array" ref="D506">_xll.BDP("GCz4 Comdty",$M$32)</f>
        <v>02/12/2024</v>
      </c>
      <c r="E506" s="15">
        <f t="shared" si="268"/>
        <v>4</v>
      </c>
      <c r="F506" s="23">
        <v>4.7500000000000001E-2</v>
      </c>
      <c r="G506" s="28">
        <f t="shared" si="244"/>
        <v>1.3897180555555557</v>
      </c>
      <c r="H506" s="12">
        <v>0.5</v>
      </c>
      <c r="I506" s="81">
        <f t="shared" si="217"/>
        <v>-0.88971805555555572</v>
      </c>
      <c r="J506" s="26">
        <v>4</v>
      </c>
      <c r="K506" s="26">
        <v>6</v>
      </c>
      <c r="L506" s="26">
        <v>8</v>
      </c>
      <c r="N506" s="71">
        <v>45622</v>
      </c>
      <c r="O506" s="16" cm="1">
        <f t="array" ref="O506">_xll.BADDPERIODS(N506, "PER=WD", "NUMBEROFPERIODS=2", "BUSDAYADJ=-2", "CDR=GQ", "CDR=P9")</f>
        <v>45624</v>
      </c>
      <c r="P506" s="15" cm="1">
        <f t="array" ref="P506">_xll.BDH("XAG Curncy","PX_LAST",N506,N506)</f>
        <v>30.441199999999998</v>
      </c>
      <c r="Q506" s="15" t="str" cm="1">
        <f t="array" ref="Q506">_xll.BDP("SIz4 Comdty",$M$32)</f>
        <v>02/12/2024</v>
      </c>
      <c r="R506" s="15">
        <f t="shared" si="261"/>
        <v>4</v>
      </c>
      <c r="S506" s="23">
        <v>4.9500000000000002E-2</v>
      </c>
      <c r="T506" s="21">
        <f t="shared" si="242"/>
        <v>1.6742660000000003E-2</v>
      </c>
      <c r="U506" s="12">
        <v>0.05</v>
      </c>
      <c r="V506" s="82">
        <f>100*(U506-T506)</f>
        <v>3.3257339999999997</v>
      </c>
      <c r="W506" s="15">
        <v>15</v>
      </c>
      <c r="X506" s="15">
        <v>20</v>
      </c>
      <c r="Y506" s="15">
        <v>25</v>
      </c>
      <c r="Z506" s="18">
        <f t="shared" si="262"/>
        <v>1.6742660000000003</v>
      </c>
      <c r="AA506" s="18">
        <f t="shared" si="252"/>
        <v>5</v>
      </c>
      <c r="AB506" s="18">
        <f t="shared" si="253"/>
        <v>3.3257339999999997</v>
      </c>
      <c r="AE506" s="44" cm="1">
        <f t="array" ref="AE506">_xll.BDH("COMXGOLD Comdty","PX_Last", N506)</f>
        <v>17757437.162</v>
      </c>
      <c r="AF506" s="15" t="s">
        <v>45</v>
      </c>
      <c r="AG506" s="44" cm="1">
        <f t="array" ref="AG506">_xll.BDH(AF506,"FUT_AGGTE_OPEN_INT",A506)</f>
        <v>472660</v>
      </c>
      <c r="AH506" s="44">
        <f t="shared" si="269"/>
        <v>47266000</v>
      </c>
      <c r="AI506" s="48">
        <f t="shared" si="270"/>
        <v>0.37569155761012146</v>
      </c>
      <c r="AK506" s="44" cm="1">
        <f t="array" ref="AK506">_xll.BDH("COMXSILV Comdty","PX_Last", N506)</f>
        <v>307859.78000000003</v>
      </c>
      <c r="AL506" s="15" t="s">
        <v>46</v>
      </c>
      <c r="AM506" s="47" cm="1">
        <f t="array" ref="AM506">_xll.BDH(AL506,"FUT_AGGTE_OPEN_INT",A506)</f>
        <v>134590</v>
      </c>
      <c r="AN506" s="45">
        <f t="shared" si="271"/>
        <v>457.47794041162052</v>
      </c>
      <c r="AO506" s="46">
        <f t="shared" si="272"/>
        <v>30785978000.000004</v>
      </c>
      <c r="AP506" s="46">
        <f t="shared" si="273"/>
        <v>672950</v>
      </c>
    </row>
    <row r="507" spans="1:42" x14ac:dyDescent="0.2">
      <c r="A507" s="71">
        <v>45623</v>
      </c>
      <c r="B507" s="16" cm="1">
        <f t="array" ref="B507">_xll.BADDPERIODS(A507, "PER=WD", "NUMBEROFPERIODS=2", "BUSDAYADJ=-2", "CDR=GQ", "CDR=P9")</f>
        <v>45625</v>
      </c>
      <c r="C507" s="15" cm="1">
        <f t="array" ref="C507">_xll.BDH("XAU Curncy","PX_LAST",A507,A507)</f>
        <v>2636.02</v>
      </c>
      <c r="D507" s="15" t="str" cm="1">
        <f t="array" ref="D507">_xll.BDP("GCz4 Comdty",$M$32)</f>
        <v>02/12/2024</v>
      </c>
      <c r="E507" s="15">
        <f t="shared" si="268"/>
        <v>3</v>
      </c>
      <c r="F507" s="23">
        <v>4.7E-2</v>
      </c>
      <c r="G507" s="28">
        <f t="shared" si="244"/>
        <v>1.0324411666666666</v>
      </c>
      <c r="H507" s="12">
        <v>0.5</v>
      </c>
      <c r="I507" s="81">
        <f t="shared" ref="I507:I508" si="274">H507-G507</f>
        <v>-0.53244116666666663</v>
      </c>
      <c r="J507" s="26">
        <v>4</v>
      </c>
      <c r="K507" s="26">
        <v>6</v>
      </c>
      <c r="L507" s="26">
        <v>8</v>
      </c>
      <c r="M507" s="15"/>
      <c r="N507" s="71">
        <v>45623</v>
      </c>
      <c r="O507" s="16" cm="1">
        <f t="array" ref="O507">_xll.BADDPERIODS(N507, "PER=WD", "NUMBEROFPERIODS=2", "BUSDAYADJ=-2", "CDR=GQ", "CDR=P9")</f>
        <v>45625</v>
      </c>
      <c r="P507" s="15" cm="1">
        <f t="array" ref="P507">_xll.BDH("XAG Curncy","PX_LAST",N507,N507)</f>
        <v>30.099599999999999</v>
      </c>
      <c r="Q507" s="15" t="str" cm="1">
        <f t="array" ref="Q507">_xll.BDP("SIz4 Comdty",$M$32)</f>
        <v>02/12/2024</v>
      </c>
      <c r="R507" s="15">
        <f t="shared" si="261"/>
        <v>3</v>
      </c>
      <c r="S507" s="23">
        <v>4.9500000000000002E-2</v>
      </c>
      <c r="T507" s="21">
        <f t="shared" si="242"/>
        <v>1.2416085E-2</v>
      </c>
      <c r="U507" s="12">
        <v>4.4999999999999998E-2</v>
      </c>
      <c r="V507" s="82">
        <f t="shared" si="243"/>
        <v>3.2583914999999997</v>
      </c>
      <c r="W507" s="15">
        <v>15</v>
      </c>
      <c r="X507" s="15">
        <v>20</v>
      </c>
      <c r="Y507" s="15">
        <v>25</v>
      </c>
      <c r="Z507" s="18">
        <f t="shared" si="262"/>
        <v>1.2416085000000001</v>
      </c>
      <c r="AA507" s="18">
        <f t="shared" si="252"/>
        <v>4.5</v>
      </c>
      <c r="AB507" s="18">
        <f t="shared" si="253"/>
        <v>3.2583914999999997</v>
      </c>
      <c r="AE507" s="44" cm="1">
        <f t="array" ref="AE507">_xll.BDH("COMXGOLD Comdty","PX_Last", N507)</f>
        <v>17789832.140999999</v>
      </c>
      <c r="AF507" s="15" t="s">
        <v>45</v>
      </c>
      <c r="AG507" s="44" cm="1">
        <f t="array" ref="AG507">_xll.BDH(AF507,"FUT_AGGTE_OPEN_INT",A507)</f>
        <v>468423</v>
      </c>
      <c r="AH507" s="44">
        <f t="shared" si="269"/>
        <v>46842300</v>
      </c>
      <c r="AI507" s="48">
        <f t="shared" si="270"/>
        <v>0.37978135448088585</v>
      </c>
      <c r="AK507" s="44" cm="1">
        <f t="array" ref="AK507">_xll.BDH("COMXSILV Comdty","PX_Last", N507)</f>
        <v>307976.03000000003</v>
      </c>
      <c r="AL507" s="15" t="s">
        <v>46</v>
      </c>
      <c r="AM507" s="47" cm="1">
        <f t="array" ref="AM507">_xll.BDH(AL507,"FUT_AGGTE_OPEN_INT",A507)</f>
        <v>137633</v>
      </c>
      <c r="AN507" s="45">
        <f t="shared" si="271"/>
        <v>447.53224880660889</v>
      </c>
      <c r="AO507" s="46">
        <f t="shared" si="272"/>
        <v>30797603000.000004</v>
      </c>
      <c r="AP507" s="46">
        <f t="shared" si="273"/>
        <v>688165</v>
      </c>
    </row>
    <row r="508" spans="1:42" x14ac:dyDescent="0.2">
      <c r="A508" s="71">
        <v>45624</v>
      </c>
      <c r="B508" s="16" cm="1">
        <f t="array" ref="B508">_xll.BADDPERIODS(A508, "PER=WD", "NUMBEROFPERIODS=2", "BUSDAYADJ=-2", "CDR=GQ", "CDR=P9")</f>
        <v>45628</v>
      </c>
      <c r="C508" s="15" cm="1">
        <f t="array" ref="C508">_xll.BDH("XAU Curncy","PX_LAST",A508,A508)</f>
        <v>2637.92</v>
      </c>
      <c r="D508" s="15" t="str" cm="1">
        <f t="array" ref="D508">_xll.BDP("GCG5 Comdty",$M$32)</f>
        <v>03/02/2025</v>
      </c>
      <c r="E508" s="15">
        <f t="shared" si="268"/>
        <v>63</v>
      </c>
      <c r="F508" s="23">
        <v>4.8000000000000001E-2</v>
      </c>
      <c r="G508" s="28">
        <f t="shared" si="244"/>
        <v>22.158528</v>
      </c>
      <c r="H508" s="12">
        <v>23</v>
      </c>
      <c r="I508" s="81">
        <f t="shared" si="274"/>
        <v>0.84147199999999955</v>
      </c>
      <c r="J508" s="26">
        <v>4</v>
      </c>
      <c r="K508" s="26">
        <v>6</v>
      </c>
      <c r="L508" s="26">
        <v>8</v>
      </c>
      <c r="M508" s="15"/>
      <c r="N508" s="71">
        <v>45624</v>
      </c>
      <c r="O508" s="16" cm="1">
        <f t="array" ref="O508">_xll.BADDPERIODS(N508, "PER=WD", "NUMBEROFPERIODS=2", "BUSDAYADJ=-2", "CDR=GQ", "CDR=P9")</f>
        <v>45628</v>
      </c>
      <c r="P508" s="15" cm="1">
        <f t="array" ref="P508">_xll.BDH("XAG Curncy","PX_LAST",N508,N508)</f>
        <v>30.222000000000001</v>
      </c>
      <c r="Q508" s="15" t="str" cm="1">
        <f t="array" ref="Q508">_xll.BDP("SIH5 Comdty",$M$32)</f>
        <v>03/03/2025</v>
      </c>
      <c r="R508" s="15">
        <f t="shared" si="261"/>
        <v>91</v>
      </c>
      <c r="S508" s="23">
        <v>4.8000000000000001E-2</v>
      </c>
      <c r="T508" s="21">
        <f t="shared" si="242"/>
        <v>0.36669360000000001</v>
      </c>
      <c r="U508" s="12">
        <v>0.47</v>
      </c>
      <c r="V508" s="82">
        <f t="shared" si="243"/>
        <v>10.330639999999997</v>
      </c>
      <c r="W508" s="15">
        <v>15</v>
      </c>
      <c r="X508" s="15">
        <v>20</v>
      </c>
      <c r="Y508" s="15">
        <v>25</v>
      </c>
      <c r="Z508" s="18">
        <f t="shared" si="262"/>
        <v>36.669359999999998</v>
      </c>
      <c r="AA508" s="18">
        <f t="shared" si="252"/>
        <v>47</v>
      </c>
      <c r="AB508" s="18">
        <f t="shared" si="253"/>
        <v>10.330639999999997</v>
      </c>
      <c r="AE508" s="44">
        <v>17789832.140999999</v>
      </c>
      <c r="AF508" s="15" t="s">
        <v>47</v>
      </c>
      <c r="AG508" s="44">
        <v>468423</v>
      </c>
      <c r="AH508" s="44">
        <v>46842300</v>
      </c>
      <c r="AI508" s="48">
        <v>0.37978135448088585</v>
      </c>
      <c r="AK508" s="44">
        <v>307976.03000000003</v>
      </c>
      <c r="AL508" s="15" t="s">
        <v>48</v>
      </c>
      <c r="AM508" s="47">
        <v>137633</v>
      </c>
      <c r="AN508" s="45">
        <v>447.53224880660889</v>
      </c>
      <c r="AO508" s="46">
        <v>30797603000.000004</v>
      </c>
      <c r="AP508" s="46">
        <v>688165</v>
      </c>
    </row>
    <row r="509" spans="1:42" x14ac:dyDescent="0.2">
      <c r="A509" s="71">
        <v>45625</v>
      </c>
      <c r="B509" s="16" cm="1">
        <f t="array" ref="B509">_xll.BADDPERIODS(A509, "PER=WD", "NUMBEROFPERIODS=2", "BUSDAYADJ=-2", "CDR=GQ", "CDR=P9")</f>
        <v>45629</v>
      </c>
      <c r="C509" s="15" cm="1">
        <f t="array" ref="C509">_xll.BDH("XAU Curncy","PX_LAST",A509,A509)</f>
        <v>2643.15</v>
      </c>
      <c r="D509" s="15" t="str" cm="1">
        <f t="array" ref="D509">_xll.BDP("GCG5 Comdty",$M$32)</f>
        <v>03/02/2025</v>
      </c>
      <c r="E509" s="15">
        <f t="shared" si="268"/>
        <v>62</v>
      </c>
      <c r="F509" s="23">
        <v>4.8000000000000001E-2</v>
      </c>
      <c r="G509" s="28">
        <f t="shared" si="244"/>
        <v>21.850040000000003</v>
      </c>
      <c r="H509" s="12">
        <v>23.95</v>
      </c>
      <c r="I509" s="81">
        <f t="shared" ref="I509:I543" si="275">H509-G509</f>
        <v>2.0999599999999958</v>
      </c>
      <c r="J509" s="26">
        <v>4</v>
      </c>
      <c r="K509" s="26">
        <v>6</v>
      </c>
      <c r="L509" s="26">
        <v>8</v>
      </c>
      <c r="M509" s="15"/>
      <c r="N509" s="71">
        <v>45625</v>
      </c>
      <c r="O509" s="16" cm="1">
        <f t="array" ref="O509">_xll.BADDPERIODS(N509, "PER=WD", "NUMBEROFPERIODS=2", "BUSDAYADJ=-2", "CDR=GQ", "CDR=P9")</f>
        <v>45629</v>
      </c>
      <c r="P509" s="15" cm="1">
        <f t="array" ref="P509">_xll.BDH("XAG Curncy","PX_LAST",N509,N509)</f>
        <v>30.625</v>
      </c>
      <c r="Q509" s="15" t="str" cm="1">
        <f t="array" ref="Q509">_xll.BDP("SIH5 Comdty",$M$32)</f>
        <v>03/03/2025</v>
      </c>
      <c r="R509" s="15">
        <f t="shared" si="261"/>
        <v>90</v>
      </c>
      <c r="S509" s="23">
        <v>4.7800000000000002E-2</v>
      </c>
      <c r="T509" s="21">
        <f t="shared" si="242"/>
        <v>0.36596875000000001</v>
      </c>
      <c r="U509" s="83">
        <v>0.46</v>
      </c>
      <c r="V509" s="82">
        <f>100*(U509-T509)</f>
        <v>9.4031250000000011</v>
      </c>
      <c r="W509" s="15">
        <v>15</v>
      </c>
      <c r="X509" s="15">
        <v>20</v>
      </c>
      <c r="Y509" s="15">
        <v>25</v>
      </c>
      <c r="Z509" s="18">
        <f t="shared" si="262"/>
        <v>36.596875000000004</v>
      </c>
      <c r="AA509" s="18">
        <f t="shared" si="252"/>
        <v>46</v>
      </c>
      <c r="AB509" s="18">
        <f t="shared" si="253"/>
        <v>9.4031250000000011</v>
      </c>
      <c r="AE509" s="44" cm="1">
        <f t="array" ref="AE509">_xll.BDH("COMXGOLD Comdty","PX_Last", N509)</f>
        <v>17940748.934999999</v>
      </c>
      <c r="AF509" s="15" t="s">
        <v>47</v>
      </c>
      <c r="AG509" s="44" cm="1">
        <f t="array" ref="AG509">_xll.BDH(AF509,"FUT_AGGTE_OPEN_INT",A509)</f>
        <v>457765</v>
      </c>
      <c r="AH509" s="44">
        <f t="shared" si="269"/>
        <v>45776500</v>
      </c>
      <c r="AI509" s="48">
        <f t="shared" si="270"/>
        <v>0.39192050364269876</v>
      </c>
      <c r="AK509" s="44" cm="1">
        <f t="array" ref="AK509">_xll.BDH("COMXSILV Comdty","PX_Last", N509)</f>
        <v>307976.03000000003</v>
      </c>
      <c r="AL509" s="15" t="s">
        <v>48</v>
      </c>
      <c r="AM509" s="47" cm="1">
        <f t="array" ref="AM509">_xll.BDH(AL509,"FUT_AGGTE_OPEN_INT",A509)</f>
        <v>132898</v>
      </c>
      <c r="AN509" s="45">
        <f t="shared" si="271"/>
        <v>463.47729837920815</v>
      </c>
      <c r="AO509" s="46">
        <f t="shared" si="272"/>
        <v>30797603000.000004</v>
      </c>
      <c r="AP509" s="46">
        <f t="shared" si="273"/>
        <v>664490</v>
      </c>
    </row>
    <row r="510" spans="1:42" x14ac:dyDescent="0.2">
      <c r="A510" s="71">
        <v>45628</v>
      </c>
      <c r="B510" s="16" cm="1">
        <f t="array" ref="B510">_xll.BADDPERIODS(A510, "PER=WD", "NUMBEROFPERIODS=2", "BUSDAYADJ=-2", "CDR=GQ", "CDR=P9")</f>
        <v>45630</v>
      </c>
      <c r="C510" s="15" cm="1">
        <f t="array" ref="C510">_xll.BDH("XAU Curncy","PX_LAST",A510,A510)</f>
        <v>2639.13</v>
      </c>
      <c r="D510" s="15" t="str" cm="1">
        <f t="array" ref="D510">_xll.BDP("GCG5 Comdty",$M$32)</f>
        <v>03/02/2025</v>
      </c>
      <c r="E510" s="15">
        <f t="shared" ref="E510:E512" si="276">_xlfn.DAYS(D510,B510)</f>
        <v>61</v>
      </c>
      <c r="F510" s="23">
        <v>4.7600000000000003E-2</v>
      </c>
      <c r="G510" s="28">
        <f t="shared" si="244"/>
        <v>21.286049633333334</v>
      </c>
      <c r="H510" s="12">
        <v>23.4</v>
      </c>
      <c r="I510" s="84">
        <f t="shared" si="275"/>
        <v>2.1139503666666641</v>
      </c>
      <c r="J510" s="26">
        <v>4</v>
      </c>
      <c r="K510" s="26">
        <v>6</v>
      </c>
      <c r="L510" s="26">
        <v>8</v>
      </c>
      <c r="M510" s="15"/>
      <c r="N510" s="71">
        <v>45628</v>
      </c>
      <c r="O510" s="16" cm="1">
        <f t="array" ref="O510">_xll.BADDPERIODS(N510, "PER=WD", "NUMBEROFPERIODS=2", "BUSDAYADJ=-2", "CDR=GQ", "CDR=P9")</f>
        <v>45630</v>
      </c>
      <c r="P510" s="15" cm="1">
        <f t="array" ref="P510">_xll.BDH("XAG Curncy","PX_LAST",N510,N510)</f>
        <v>30.512499999999999</v>
      </c>
      <c r="Q510" s="15" t="str" cm="1">
        <f t="array" ref="Q510">_xll.BDP("SIH5 Comdty",$M$32)</f>
        <v>03/03/2025</v>
      </c>
      <c r="R510" s="15">
        <f t="shared" si="261"/>
        <v>89</v>
      </c>
      <c r="S510" s="23">
        <v>4.82E-2</v>
      </c>
      <c r="T510" s="21">
        <f t="shared" si="242"/>
        <v>0.36359034027777781</v>
      </c>
      <c r="U510" s="12">
        <v>0.46500000000000002</v>
      </c>
      <c r="V510" s="82">
        <f t="shared" ref="V510:V511" si="277">100*(U510-T510)</f>
        <v>10.140965972222221</v>
      </c>
      <c r="W510" s="15">
        <v>15</v>
      </c>
      <c r="X510" s="15">
        <v>20</v>
      </c>
      <c r="Y510" s="15">
        <v>25</v>
      </c>
      <c r="Z510" s="18">
        <f t="shared" ref="Z510:Z523" si="278">100*T510</f>
        <v>36.359034027777781</v>
      </c>
      <c r="AA510" s="18">
        <f t="shared" si="252"/>
        <v>46.5</v>
      </c>
      <c r="AB510" s="18">
        <f t="shared" ref="AB510:AB523" si="279">V510</f>
        <v>10.140965972222221</v>
      </c>
      <c r="AC510" s="15"/>
      <c r="AD510" s="15"/>
      <c r="AE510" s="44" cm="1">
        <f t="array" ref="AE510">_xll.BDH("COMXGOLD Comdty","PX_Last", N510)</f>
        <v>17940748.934999999</v>
      </c>
      <c r="AF510" s="15" t="s">
        <v>47</v>
      </c>
      <c r="AG510" s="44" cm="1">
        <f t="array" ref="AG510">_xll.BDH(AF510,"FUT_AGGTE_OPEN_INT",A510)</f>
        <v>459383</v>
      </c>
      <c r="AH510" s="44">
        <f t="shared" ref="AH510:AH512" si="280">AG510*$AG$17</f>
        <v>45938300</v>
      </c>
      <c r="AI510" s="48">
        <f t="shared" ref="AI510:AI512" si="281">AE510/AH510</f>
        <v>0.39054011434902902</v>
      </c>
      <c r="AK510" s="44" cm="1">
        <f t="array" ref="AK510">_xll.BDH("COMXSILV Comdty","PX_Last", N510)</f>
        <v>307975.03000000003</v>
      </c>
      <c r="AL510" s="15" t="s">
        <v>48</v>
      </c>
      <c r="AM510" s="47" cm="1">
        <f t="array" ref="AM510">_xll.BDH(AL510,"FUT_AGGTE_OPEN_INT",A510)</f>
        <v>132565</v>
      </c>
      <c r="AN510" s="45">
        <f t="shared" ref="AN510:AN512" si="282">(AO510/AP510)/100</f>
        <v>464.64003319126476</v>
      </c>
      <c r="AO510" s="46">
        <f t="shared" ref="AO510:AO512" si="283">AK510*100000</f>
        <v>30797503000.000004</v>
      </c>
      <c r="AP510" s="46">
        <f t="shared" ref="AP510:AP512" si="284">(AM510*5000)/1000</f>
        <v>662825</v>
      </c>
    </row>
    <row r="511" spans="1:42" x14ac:dyDescent="0.2">
      <c r="A511" s="71">
        <v>45629</v>
      </c>
      <c r="B511" s="16" cm="1">
        <f t="array" ref="B511">_xll.BADDPERIODS(A511, "PER=WD", "NUMBEROFPERIODS=2", "BUSDAYADJ=-2", "CDR=GQ", "CDR=P9")</f>
        <v>45631</v>
      </c>
      <c r="C511" s="15" cm="1">
        <f t="array" ref="C511">_xll.BDH("XAU Curncy","PX_LAST",A511,A511)</f>
        <v>2643.49</v>
      </c>
      <c r="D511" s="15" t="str" cm="1">
        <f t="array" ref="D511">_xll.BDP("GCG5 Comdty",$M$32)</f>
        <v>03/02/2025</v>
      </c>
      <c r="E511" s="15">
        <f t="shared" si="276"/>
        <v>60</v>
      </c>
      <c r="F511" s="23">
        <v>4.7500000000000001E-2</v>
      </c>
      <c r="G511" s="28">
        <f t="shared" si="244"/>
        <v>20.927629166666662</v>
      </c>
      <c r="H511" s="12">
        <v>22.5</v>
      </c>
      <c r="I511" s="84">
        <f t="shared" si="275"/>
        <v>1.5723708333333377</v>
      </c>
      <c r="J511" s="26">
        <v>4</v>
      </c>
      <c r="K511" s="26">
        <v>6</v>
      </c>
      <c r="L511" s="26">
        <v>8</v>
      </c>
      <c r="M511" s="15"/>
      <c r="N511" s="71">
        <v>45629</v>
      </c>
      <c r="O511" s="16" cm="1">
        <f t="array" ref="O511">_xll.BADDPERIODS(N511, "PER=WD", "NUMBEROFPERIODS=2", "BUSDAYADJ=-2", "CDR=GQ", "CDR=P9")</f>
        <v>45631</v>
      </c>
      <c r="P511" s="15" cm="1">
        <f t="array" ref="P511">_xll.BDH("XAG Curncy","PX_LAST",N511,N511)</f>
        <v>31.0365</v>
      </c>
      <c r="Q511" s="15" t="str" cm="1">
        <f t="array" ref="Q511">_xll.BDP("SIH5 Comdty",$M$32)</f>
        <v>03/03/2025</v>
      </c>
      <c r="R511" s="15">
        <f t="shared" si="261"/>
        <v>88</v>
      </c>
      <c r="S511" s="23">
        <v>4.8000000000000001E-2</v>
      </c>
      <c r="T511" s="21">
        <f t="shared" si="242"/>
        <v>0.36416159999999997</v>
      </c>
      <c r="U511" s="12">
        <v>0.47499999999999998</v>
      </c>
      <c r="V511" s="82">
        <f t="shared" si="277"/>
        <v>11.08384</v>
      </c>
      <c r="W511" s="15">
        <v>15</v>
      </c>
      <c r="X511" s="15">
        <v>20</v>
      </c>
      <c r="Y511" s="15">
        <v>25</v>
      </c>
      <c r="Z511" s="18">
        <f t="shared" si="278"/>
        <v>36.416159999999998</v>
      </c>
      <c r="AA511" s="18">
        <f t="shared" si="252"/>
        <v>47.5</v>
      </c>
      <c r="AB511" s="18">
        <f t="shared" si="279"/>
        <v>11.08384</v>
      </c>
      <c r="AC511" s="15"/>
      <c r="AD511" s="15"/>
      <c r="AE511" s="44" cm="1">
        <f t="array" ref="AE511">_xll.BDH("COMXGOLD Comdty","PX_Last", N511)</f>
        <v>17874357.120000001</v>
      </c>
      <c r="AF511" s="15" t="s">
        <v>47</v>
      </c>
      <c r="AG511" s="44" cm="1">
        <f t="array" ref="AG511">_xll.BDH(AF511,"FUT_AGGTE_OPEN_INT",A511)</f>
        <v>462040</v>
      </c>
      <c r="AH511" s="44">
        <f t="shared" si="280"/>
        <v>46204000</v>
      </c>
      <c r="AI511" s="48">
        <f t="shared" si="281"/>
        <v>0.38685735261016363</v>
      </c>
      <c r="AK511" s="44" cm="1">
        <f t="array" ref="AK511">_xll.BDH("COMXSILV Comdty","PX_Last", N511)</f>
        <v>306719.65999999997</v>
      </c>
      <c r="AL511" s="15" t="s">
        <v>48</v>
      </c>
      <c r="AM511" s="47" cm="1">
        <f t="array" ref="AM511">_xll.BDH(AL511,"FUT_AGGTE_OPEN_INT",A511)</f>
        <v>134074</v>
      </c>
      <c r="AN511" s="45">
        <f t="shared" si="282"/>
        <v>457.53786714799287</v>
      </c>
      <c r="AO511" s="46">
        <f t="shared" si="283"/>
        <v>30671965999.999996</v>
      </c>
      <c r="AP511" s="46">
        <f t="shared" si="284"/>
        <v>670370</v>
      </c>
    </row>
    <row r="512" spans="1:42" x14ac:dyDescent="0.2">
      <c r="A512" s="71">
        <v>45630</v>
      </c>
      <c r="B512" s="16" cm="1">
        <f t="array" ref="B512">_xll.BADDPERIODS(A512, "PER=WD", "NUMBEROFPERIODS=2", "BUSDAYADJ=-2", "CDR=GQ", "CDR=P9")</f>
        <v>45632</v>
      </c>
      <c r="C512" s="15" cm="1">
        <f t="array" ref="C512">_xll.BDH("XAU Curncy","PX_LAST",A512,A512)</f>
        <v>2649.9</v>
      </c>
      <c r="D512" s="15" t="str" cm="1">
        <f t="array" ref="D512">_xll.BDP("GCG5 Comdty",$M$32)</f>
        <v>03/02/2025</v>
      </c>
      <c r="E512" s="15">
        <f t="shared" si="276"/>
        <v>59</v>
      </c>
      <c r="F512" s="23">
        <v>4.7E-2</v>
      </c>
      <c r="G512" s="28">
        <f t="shared" si="244"/>
        <v>20.411590833333335</v>
      </c>
      <c r="H512" s="12">
        <v>25</v>
      </c>
      <c r="I512" s="84">
        <f t="shared" si="275"/>
        <v>4.5884091666666649</v>
      </c>
      <c r="J512" s="26">
        <v>4</v>
      </c>
      <c r="K512" s="26">
        <v>6</v>
      </c>
      <c r="L512" s="26">
        <v>8</v>
      </c>
      <c r="M512" s="15"/>
      <c r="N512" s="71">
        <v>45630</v>
      </c>
      <c r="O512" s="16" cm="1">
        <f t="array" ref="O512">_xll.BADDPERIODS(N512, "PER=WD", "NUMBEROFPERIODS=2", "BUSDAYADJ=-2", "CDR=GQ", "CDR=P9")</f>
        <v>45632</v>
      </c>
      <c r="P512" s="15" cm="1">
        <f t="array" ref="P512">_xll.BDH("XAG Curncy","PX_LAST",N512,N512)</f>
        <v>31.302199999999999</v>
      </c>
      <c r="Q512" s="15" t="str" cm="1">
        <f t="array" ref="Q512">_xll.BDP("SIH5 Comdty",$M$32)</f>
        <v>03/03/2025</v>
      </c>
      <c r="R512" s="15">
        <f t="shared" si="261"/>
        <v>87</v>
      </c>
      <c r="S512" s="23">
        <v>4.7699999999999999E-2</v>
      </c>
      <c r="T512" s="21">
        <f t="shared" si="242"/>
        <v>0.36083611049999997</v>
      </c>
      <c r="U512" s="12">
        <v>0.64</v>
      </c>
      <c r="V512" s="82">
        <f t="shared" ref="V512:V575" si="285">100*(U512-T512)</f>
        <v>27.916388950000005</v>
      </c>
      <c r="W512" s="15">
        <v>15</v>
      </c>
      <c r="X512" s="15">
        <v>20</v>
      </c>
      <c r="Y512" s="15">
        <v>25</v>
      </c>
      <c r="Z512" s="18">
        <f t="shared" si="278"/>
        <v>36.083611049999995</v>
      </c>
      <c r="AA512" s="18">
        <f t="shared" si="252"/>
        <v>64</v>
      </c>
      <c r="AB512" s="18">
        <f t="shared" si="279"/>
        <v>27.916388950000005</v>
      </c>
      <c r="AC512" s="15"/>
      <c r="AD512" s="15"/>
      <c r="AE512" s="44" cm="1">
        <f t="array" ref="AE512">_xll.BDH("COMXGOLD Comdty","PX_Last", N512)</f>
        <v>17829095.605</v>
      </c>
      <c r="AF512" s="15" t="s">
        <v>47</v>
      </c>
      <c r="AG512" s="44" cm="1">
        <f t="array" ref="AG512">_xll.BDH(AF512,"FUT_AGGTE_OPEN_INT",A512)</f>
        <v>468864</v>
      </c>
      <c r="AH512" s="44">
        <f t="shared" si="280"/>
        <v>46886400</v>
      </c>
      <c r="AI512" s="48">
        <f t="shared" si="281"/>
        <v>0.3802615599619506</v>
      </c>
      <c r="AK512" s="44" cm="1">
        <f t="array" ref="AK512">_xll.BDH("COMXSILV Comdty","PX_Last", N512)</f>
        <v>306541.09000000003</v>
      </c>
      <c r="AL512" s="15" t="s">
        <v>48</v>
      </c>
      <c r="AM512" s="47" cm="1">
        <f t="array" ref="AM512">_xll.BDH(AL512,"FUT_AGGTE_OPEN_INT",A512)</f>
        <v>136849</v>
      </c>
      <c r="AN512" s="45">
        <f t="shared" si="282"/>
        <v>447.99902081856652</v>
      </c>
      <c r="AO512" s="46">
        <f t="shared" si="283"/>
        <v>30654109000.000004</v>
      </c>
      <c r="AP512" s="46">
        <f t="shared" si="284"/>
        <v>684245</v>
      </c>
    </row>
    <row r="513" spans="1:42" x14ac:dyDescent="0.2">
      <c r="A513" s="71">
        <v>45631</v>
      </c>
      <c r="B513" s="16" cm="1">
        <f t="array" ref="B513">_xll.BADDPERIODS(A513, "PER=WD", "NUMBEROFPERIODS=2", "BUSDAYADJ=-2", "CDR=GQ", "CDR=P9")</f>
        <v>45635</v>
      </c>
      <c r="C513" s="15" cm="1">
        <f t="array" ref="C513">_xll.BDH("XAU Curncy","PX_LAST",A513,A513)</f>
        <v>2631.67</v>
      </c>
      <c r="D513" s="15" t="str" cm="1">
        <f t="array" ref="D513">_xll.BDP("GCG5 Comdty",$M$32)</f>
        <v>03/02/2025</v>
      </c>
      <c r="E513" s="15">
        <f t="shared" ref="E513" si="286">_xlfn.DAYS(D513,B513)</f>
        <v>56</v>
      </c>
      <c r="F513" s="23">
        <v>4.6699999999999998E-2</v>
      </c>
      <c r="G513" s="28">
        <f t="shared" si="244"/>
        <v>19.117620511111109</v>
      </c>
      <c r="H513" s="12">
        <v>23.3</v>
      </c>
      <c r="I513" s="84">
        <f t="shared" si="275"/>
        <v>4.1823794888888912</v>
      </c>
      <c r="J513" s="26">
        <v>4</v>
      </c>
      <c r="K513" s="26">
        <v>6</v>
      </c>
      <c r="L513" s="26">
        <v>8</v>
      </c>
      <c r="M513" s="15"/>
      <c r="N513" s="71">
        <v>45631</v>
      </c>
      <c r="O513" s="16" cm="1">
        <f t="array" ref="O513">_xll.BADDPERIODS(N513, "PER=WD", "NUMBEROFPERIODS=2", "BUSDAYADJ=-2", "CDR=GQ", "CDR=P9")</f>
        <v>45635</v>
      </c>
      <c r="P513" s="15" cm="1">
        <f t="array" ref="P513">_xll.BDH("XAG Curncy","PX_LAST",N513,N513)</f>
        <v>31.3095</v>
      </c>
      <c r="Q513" s="15" t="str" cm="1">
        <f t="array" ref="Q513">_xll.BDP("SIH5 Comdty",$M$32)</f>
        <v>03/03/2025</v>
      </c>
      <c r="R513" s="15">
        <f t="shared" ref="R513" si="287">_xlfn.DAYS(Q513,O513)</f>
        <v>84</v>
      </c>
      <c r="S513" s="23">
        <v>4.6899999999999997E-2</v>
      </c>
      <c r="T513" s="21">
        <f t="shared" si="242"/>
        <v>0.34263029499999997</v>
      </c>
      <c r="U513" s="12">
        <v>0.53</v>
      </c>
      <c r="V513" s="85">
        <f t="shared" si="285"/>
        <v>18.736970500000005</v>
      </c>
      <c r="W513" s="15">
        <v>15</v>
      </c>
      <c r="X513" s="15">
        <v>20</v>
      </c>
      <c r="Y513" s="15">
        <v>25</v>
      </c>
      <c r="Z513" s="18">
        <f t="shared" si="278"/>
        <v>34.263029499999995</v>
      </c>
      <c r="AA513" s="18">
        <f t="shared" si="252"/>
        <v>53</v>
      </c>
      <c r="AB513" s="18">
        <f t="shared" si="279"/>
        <v>18.736970500000005</v>
      </c>
      <c r="AC513" s="15"/>
      <c r="AD513" s="15"/>
      <c r="AE513" s="44" cm="1">
        <f t="array" ref="AE513">_xll.BDH("COMXGOLD Comdty","PX_Last", N513)</f>
        <v>17833337.84</v>
      </c>
      <c r="AF513" s="15" t="s">
        <v>47</v>
      </c>
      <c r="AG513" s="44" cm="1">
        <f t="array" ref="AG513">_xll.BDH(AF513,"FUT_AGGTE_OPEN_INT",A513)</f>
        <v>469491</v>
      </c>
      <c r="AH513" s="44">
        <f t="shared" ref="AH513:AH522" si="288">AG513*$AG$17</f>
        <v>46949100</v>
      </c>
      <c r="AI513" s="48">
        <f t="shared" ref="AI513:AI522" si="289">AE513/AH513</f>
        <v>0.37984408306016515</v>
      </c>
      <c r="AK513" s="44" cm="1">
        <f t="array" ref="AK513">_xll.BDH("COMXSILV Comdty","PX_Last", N513)</f>
        <v>306557.56</v>
      </c>
      <c r="AL513" s="15" t="s">
        <v>48</v>
      </c>
      <c r="AM513" s="47" cm="1">
        <f t="array" ref="AM513">_xll.BDH(AL513,"FUT_AGGTE_OPEN_INT",A513)</f>
        <v>139356</v>
      </c>
      <c r="AN513" s="45">
        <f t="shared" ref="AN513" si="290">(AO513/AP513)/100</f>
        <v>439.96320215850051</v>
      </c>
      <c r="AO513" s="46">
        <f t="shared" ref="AO513" si="291">AK513*100000</f>
        <v>30655756000</v>
      </c>
      <c r="AP513" s="46">
        <f t="shared" ref="AP513" si="292">(AM513*5000)/1000</f>
        <v>696780</v>
      </c>
    </row>
    <row r="514" spans="1:42" x14ac:dyDescent="0.2">
      <c r="A514" s="71">
        <v>45632</v>
      </c>
      <c r="B514" s="16" cm="1">
        <f t="array" ref="B514">_xll.BADDPERIODS(A514, "PER=WD", "NUMBEROFPERIODS=2", "BUSDAYADJ=-2", "CDR=GQ", "CDR=P9")</f>
        <v>45636</v>
      </c>
      <c r="C514" s="15" cm="1">
        <f t="array" ref="C514">_xll.BDH("XAU Curncy","PX_LAST",A514,A514)</f>
        <v>2633.37</v>
      </c>
      <c r="D514" s="15" t="str" cm="1">
        <f t="array" ref="D514">_xll.BDP("GCG5 Comdty",$M$32)</f>
        <v>03/02/2025</v>
      </c>
      <c r="E514" s="15">
        <f t="shared" ref="E514" si="293">_xlfn.DAYS(D514,B514)</f>
        <v>55</v>
      </c>
      <c r="F514" s="23">
        <v>4.6300000000000001E-2</v>
      </c>
      <c r="G514" s="28">
        <f t="shared" si="244"/>
        <v>18.627435291666668</v>
      </c>
      <c r="H514" s="12">
        <v>21.9</v>
      </c>
      <c r="I514" s="84">
        <f t="shared" si="275"/>
        <v>3.2725647083333307</v>
      </c>
      <c r="J514" s="26">
        <v>4</v>
      </c>
      <c r="K514" s="26">
        <v>6</v>
      </c>
      <c r="L514" s="26">
        <v>8</v>
      </c>
      <c r="N514" s="71">
        <v>45632</v>
      </c>
      <c r="O514" s="16" cm="1">
        <f t="array" ref="O514">_xll.BADDPERIODS(N514, "PER=WD", "NUMBEROFPERIODS=2", "BUSDAYADJ=-2", "CDR=GQ", "CDR=P9")</f>
        <v>45636</v>
      </c>
      <c r="P514" s="15" cm="1">
        <f t="array" ref="P514">_xll.BDH("XAG Curncy","PX_LAST",N514,N514)</f>
        <v>30.967600000000001</v>
      </c>
      <c r="Q514" s="15" t="str" cm="1">
        <f t="array" ref="Q514">_xll.BDP("SIH5 Comdty",$M$32)</f>
        <v>03/03/2025</v>
      </c>
      <c r="R514" s="15">
        <f t="shared" ref="R514" si="294">_xlfn.DAYS(Q514,O514)</f>
        <v>83</v>
      </c>
      <c r="S514" s="23">
        <v>4.65E-2</v>
      </c>
      <c r="T514" s="21">
        <f t="shared" si="242"/>
        <v>0.33199847833333335</v>
      </c>
      <c r="U514" s="12">
        <v>0.52</v>
      </c>
      <c r="V514" s="85">
        <f t="shared" si="285"/>
        <v>18.800152166666667</v>
      </c>
      <c r="W514" s="15">
        <v>15</v>
      </c>
      <c r="X514" s="15">
        <v>20</v>
      </c>
      <c r="Y514" s="15">
        <v>25</v>
      </c>
      <c r="Z514" s="18">
        <f t="shared" si="278"/>
        <v>33.199847833333337</v>
      </c>
      <c r="AA514" s="18">
        <f t="shared" si="252"/>
        <v>52</v>
      </c>
      <c r="AB514" s="18">
        <f t="shared" si="279"/>
        <v>18.800152166666667</v>
      </c>
      <c r="AC514" s="15"/>
      <c r="AD514" s="15"/>
      <c r="AE514" s="44" cm="1">
        <f t="array" ref="AE514">_xll.BDH("COMXGOLD Comdty","PX_Last", N514)</f>
        <v>17845154.890000001</v>
      </c>
      <c r="AF514" s="15" t="s">
        <v>47</v>
      </c>
      <c r="AG514" s="44" cm="1">
        <f t="array" ref="AG514">_xll.BDH(AF514,"FUT_AGGTE_OPEN_INT",A514)</f>
        <v>467975</v>
      </c>
      <c r="AH514" s="44">
        <f t="shared" si="288"/>
        <v>46797500</v>
      </c>
      <c r="AI514" s="48">
        <f t="shared" si="289"/>
        <v>0.38132709845611412</v>
      </c>
      <c r="AK514" s="44" cm="1">
        <f t="array" ref="AK514">_xll.BDH("COMXSILV Comdty","PX_Last", N514)</f>
        <v>306673.65999999997</v>
      </c>
      <c r="AL514" s="15" t="s">
        <v>48</v>
      </c>
      <c r="AM514" s="47" cm="1">
        <f t="array" ref="AM514">_xll.BDH(AL514,"FUT_AGGTE_OPEN_INT",A514)</f>
        <v>140520</v>
      </c>
      <c r="AN514" s="45">
        <f t="shared" ref="AN514:AN522" si="295">(AO514/AP514)/100</f>
        <v>436.48400227725585</v>
      </c>
      <c r="AO514" s="46">
        <f t="shared" ref="AO514:AO522" si="296">AK514*100000</f>
        <v>30667365999.999996</v>
      </c>
      <c r="AP514" s="46">
        <f t="shared" ref="AP514:AP522" si="297">(AM514*5000)/1000</f>
        <v>702600</v>
      </c>
    </row>
    <row r="515" spans="1:42" x14ac:dyDescent="0.2">
      <c r="A515" s="71">
        <v>45635</v>
      </c>
      <c r="B515" s="16" cm="1">
        <f t="array" ref="B515">_xll.BADDPERIODS(A515, "PER=WD", "NUMBEROFPERIODS=2", "BUSDAYADJ=-2", "CDR=GQ", "CDR=P9")</f>
        <v>45637</v>
      </c>
      <c r="C515" s="15" cm="1">
        <f t="array" ref="C515">_xll.BDH("XAU Curncy","PX_LAST",A515,A515)</f>
        <v>2660.3</v>
      </c>
      <c r="D515" s="15" t="str" cm="1">
        <f t="array" ref="D515">_xll.BDP("GCG5 Comdty",$M$32)</f>
        <v>03/02/2025</v>
      </c>
      <c r="E515" s="15">
        <f t="shared" ref="E515:E517" si="298">_xlfn.DAYS(D515,B515)</f>
        <v>54</v>
      </c>
      <c r="F515" s="23">
        <v>4.5999999999999999E-2</v>
      </c>
      <c r="G515" s="28">
        <f t="shared" si="244"/>
        <v>18.356069999999999</v>
      </c>
      <c r="H515" s="12">
        <v>23.5</v>
      </c>
      <c r="I515" s="86">
        <f t="shared" si="275"/>
        <v>5.143930000000001</v>
      </c>
      <c r="J515" s="26">
        <v>4</v>
      </c>
      <c r="K515" s="26">
        <v>6</v>
      </c>
      <c r="L515" s="26">
        <v>8</v>
      </c>
      <c r="N515" s="71">
        <v>45635</v>
      </c>
      <c r="O515" s="16" cm="1">
        <f t="array" ref="O515">_xll.BADDPERIODS(N515, "PER=WD", "NUMBEROFPERIODS=2", "BUSDAYADJ=-2", "CDR=GQ", "CDR=P9")</f>
        <v>45637</v>
      </c>
      <c r="P515" s="15" cm="1">
        <f t="array" ref="P515">_xll.BDH("XAG Curncy","PX_LAST",N515,N515)</f>
        <v>31.835999999999999</v>
      </c>
      <c r="Q515" s="15" t="str" cm="1">
        <f t="array" ref="Q515">_xll.BDP("SIH5 Comdty",$M$32)</f>
        <v>03/03/2025</v>
      </c>
      <c r="R515" s="15">
        <f t="shared" ref="R515:R517" si="299">_xlfn.DAYS(Q515,O515)</f>
        <v>82</v>
      </c>
      <c r="S515" s="23">
        <v>4.65E-2</v>
      </c>
      <c r="T515" s="21">
        <f t="shared" si="242"/>
        <v>0.33719629999999995</v>
      </c>
      <c r="U515" s="12">
        <v>0.67</v>
      </c>
      <c r="V515" s="87">
        <f t="shared" si="285"/>
        <v>33.280370000000012</v>
      </c>
      <c r="W515" s="15">
        <v>15</v>
      </c>
      <c r="X515" s="15">
        <v>20</v>
      </c>
      <c r="Y515" s="15">
        <v>25</v>
      </c>
      <c r="Z515" s="18">
        <f t="shared" si="278"/>
        <v>33.719629999999995</v>
      </c>
      <c r="AA515" s="18">
        <f t="shared" si="252"/>
        <v>67</v>
      </c>
      <c r="AB515" s="18">
        <f t="shared" si="279"/>
        <v>33.280370000000012</v>
      </c>
      <c r="AE515" s="44" cm="1">
        <f t="array" ref="AE515">_xll.BDH("COMXGOLD Comdty","PX_Last", N515)</f>
        <v>17827841.789999999</v>
      </c>
      <c r="AF515" s="15" t="s">
        <v>47</v>
      </c>
      <c r="AG515" s="44" cm="1">
        <f t="array" ref="AG515">_xll.BDH(AF515,"FUT_AGGTE_OPEN_INT",A515)</f>
        <v>476119</v>
      </c>
      <c r="AH515" s="44">
        <f t="shared" si="288"/>
        <v>47611900</v>
      </c>
      <c r="AI515" s="48">
        <f t="shared" si="289"/>
        <v>0.37444088116626306</v>
      </c>
      <c r="AK515" s="44" cm="1">
        <f t="array" ref="AK515">_xll.BDH("COMXSILV Comdty","PX_Last", N515)</f>
        <v>307043.25</v>
      </c>
      <c r="AL515" s="15" t="s">
        <v>48</v>
      </c>
      <c r="AM515" s="47" cm="1">
        <f t="array" ref="AM515">_xll.BDH(AL515,"FUT_AGGTE_OPEN_INT",A515)</f>
        <v>147285</v>
      </c>
      <c r="AN515" s="45">
        <f t="shared" si="295"/>
        <v>416.93757001731336</v>
      </c>
      <c r="AO515" s="46">
        <f t="shared" si="296"/>
        <v>30704325000</v>
      </c>
      <c r="AP515" s="46">
        <f t="shared" si="297"/>
        <v>736425</v>
      </c>
    </row>
    <row r="516" spans="1:42" x14ac:dyDescent="0.2">
      <c r="A516" s="71">
        <v>45636</v>
      </c>
      <c r="B516" s="16" cm="1">
        <f t="array" ref="B516">_xll.BADDPERIODS(A516, "PER=WD", "NUMBEROFPERIODS=2", "BUSDAYADJ=-2", "CDR=GQ", "CDR=P9")</f>
        <v>45638</v>
      </c>
      <c r="C516" s="15" cm="1">
        <f t="array" ref="C516">_xll.BDH("XAU Curncy","PX_LAST",A516,A516)</f>
        <v>2694.25</v>
      </c>
      <c r="D516" s="15" t="str" cm="1">
        <f t="array" ref="D516">_xll.BDP("GCG5 Comdty",$M$32)</f>
        <v>03/02/2025</v>
      </c>
      <c r="E516" s="15">
        <f t="shared" si="298"/>
        <v>53</v>
      </c>
      <c r="F516" s="23">
        <v>4.58E-2</v>
      </c>
      <c r="G516" s="28">
        <f t="shared" si="244"/>
        <v>18.166729027777777</v>
      </c>
      <c r="H516" s="12">
        <v>25</v>
      </c>
      <c r="I516" s="86">
        <f t="shared" si="275"/>
        <v>6.8332709722222233</v>
      </c>
      <c r="J516" s="26">
        <v>4</v>
      </c>
      <c r="K516" s="26">
        <v>6</v>
      </c>
      <c r="L516" s="26">
        <v>8</v>
      </c>
      <c r="N516" s="71">
        <v>45636</v>
      </c>
      <c r="O516" s="16" cm="1">
        <f t="array" ref="O516">_xll.BADDPERIODS(N516, "PER=WD", "NUMBEROFPERIODS=2", "BUSDAYADJ=-2", "CDR=GQ", "CDR=P9")</f>
        <v>45638</v>
      </c>
      <c r="P516" s="15" cm="1">
        <f t="array" ref="P516">_xll.BDH("XAG Curncy","PX_LAST",N516,N516)</f>
        <v>31.9085</v>
      </c>
      <c r="Q516" s="15" t="str" cm="1">
        <f t="array" ref="Q516">_xll.BDP("SIH5 Comdty",$M$32)</f>
        <v>03/03/2025</v>
      </c>
      <c r="R516" s="15">
        <f t="shared" si="299"/>
        <v>81</v>
      </c>
      <c r="S516" s="23">
        <v>4.4999999999999998E-2</v>
      </c>
      <c r="T516" s="21">
        <f t="shared" si="242"/>
        <v>0.32307356249999997</v>
      </c>
      <c r="U516" s="12">
        <v>0.8</v>
      </c>
      <c r="V516" s="87">
        <f t="shared" si="285"/>
        <v>47.692643750000009</v>
      </c>
      <c r="W516" s="15">
        <v>15</v>
      </c>
      <c r="X516" s="15">
        <v>20</v>
      </c>
      <c r="Y516" s="15">
        <v>25</v>
      </c>
      <c r="Z516" s="18">
        <f t="shared" si="278"/>
        <v>32.307356249999998</v>
      </c>
      <c r="AA516" s="18">
        <f t="shared" si="252"/>
        <v>80</v>
      </c>
      <c r="AB516" s="18">
        <f t="shared" si="279"/>
        <v>47.692643750000009</v>
      </c>
      <c r="AE516" s="44" cm="1">
        <f t="array" ref="AE516">_xll.BDH("COMXGOLD Comdty","PX_Last", N516)</f>
        <v>18081802.539000001</v>
      </c>
      <c r="AF516" s="15" t="s">
        <v>47</v>
      </c>
      <c r="AG516" s="44" cm="1">
        <f t="array" ref="AG516">_xll.BDH(AF516,"FUT_AGGTE_OPEN_INT",A516)</f>
        <v>483346</v>
      </c>
      <c r="AH516" s="44">
        <f t="shared" si="288"/>
        <v>48334600</v>
      </c>
      <c r="AI516" s="48">
        <f t="shared" si="289"/>
        <v>0.37409645552047605</v>
      </c>
      <c r="AK516" s="44" cm="1">
        <f t="array" ref="AK516">_xll.BDH("COMXSILV Comdty","PX_Last", N516)</f>
        <v>307615.56</v>
      </c>
      <c r="AL516" s="15" t="s">
        <v>48</v>
      </c>
      <c r="AM516" s="47" cm="1">
        <f t="array" ref="AM516">_xll.BDH(AL516,"FUT_AGGTE_OPEN_INT",A516)</f>
        <v>151096</v>
      </c>
      <c r="AN516" s="45">
        <f t="shared" si="295"/>
        <v>407.17895907237784</v>
      </c>
      <c r="AO516" s="46">
        <f t="shared" si="296"/>
        <v>30761556000</v>
      </c>
      <c r="AP516" s="46">
        <f t="shared" si="297"/>
        <v>755480</v>
      </c>
    </row>
    <row r="517" spans="1:42" x14ac:dyDescent="0.2">
      <c r="A517" s="71">
        <v>45637</v>
      </c>
      <c r="B517" s="16" cm="1">
        <f t="array" ref="B517">_xll.BADDPERIODS(A517, "PER=WD", "NUMBEROFPERIODS=2", "BUSDAYADJ=-2", "CDR=GQ", "CDR=P9")</f>
        <v>45639</v>
      </c>
      <c r="C517" s="15" cm="1">
        <f t="array" ref="C517">_xll.BDH("XAU Curncy","PX_LAST",A517,A517)</f>
        <v>2718.23</v>
      </c>
      <c r="D517" s="15" t="str" cm="1">
        <f t="array" ref="D517">_xll.BDP("GCG5 Comdty",$M$32)</f>
        <v>03/02/2025</v>
      </c>
      <c r="E517" s="15">
        <f t="shared" si="298"/>
        <v>52</v>
      </c>
      <c r="F517" s="23">
        <v>3.5000000000000003E-2</v>
      </c>
      <c r="G517" s="28">
        <f t="shared" si="244"/>
        <v>13.742162777777777</v>
      </c>
      <c r="H517" s="12">
        <v>45</v>
      </c>
      <c r="I517" s="86">
        <f t="shared" si="275"/>
        <v>31.257837222222221</v>
      </c>
      <c r="J517" s="26">
        <v>4</v>
      </c>
      <c r="K517" s="26">
        <v>6</v>
      </c>
      <c r="L517" s="26">
        <v>8</v>
      </c>
      <c r="N517" s="71">
        <v>45637</v>
      </c>
      <c r="O517" s="16" cm="1">
        <f t="array" ref="O517">_xll.BADDPERIODS(N517, "PER=WD", "NUMBEROFPERIODS=2", "BUSDAYADJ=-2", "CDR=GQ", "CDR=P9")</f>
        <v>45639</v>
      </c>
      <c r="P517" s="15" cm="1">
        <f t="array" ref="P517">_xll.BDH("XAG Curncy","PX_LAST",N517,N517)</f>
        <v>31.900500000000001</v>
      </c>
      <c r="Q517" s="15" t="str" cm="1">
        <f t="array" ref="Q517">_xll.BDP("SIH5 Comdty",$M$32)</f>
        <v>03/03/2025</v>
      </c>
      <c r="R517" s="15">
        <f t="shared" si="299"/>
        <v>80</v>
      </c>
      <c r="S517" s="23">
        <v>0.04</v>
      </c>
      <c r="T517" s="21">
        <f t="shared" si="242"/>
        <v>0.28355999999999998</v>
      </c>
      <c r="U517" s="12">
        <v>0.92</v>
      </c>
      <c r="V517" s="87">
        <f t="shared" si="285"/>
        <v>63.644000000000013</v>
      </c>
      <c r="W517" s="15">
        <v>15</v>
      </c>
      <c r="X517" s="15">
        <v>20</v>
      </c>
      <c r="Y517" s="15">
        <v>25</v>
      </c>
      <c r="Z517" s="18">
        <f t="shared" si="278"/>
        <v>28.355999999999998</v>
      </c>
      <c r="AA517" s="18">
        <f t="shared" si="252"/>
        <v>92</v>
      </c>
      <c r="AB517" s="18">
        <f t="shared" si="279"/>
        <v>63.644000000000013</v>
      </c>
      <c r="AE517" s="44" cm="1">
        <f t="array" ref="AE517">_xll.BDH("COMXGOLD Comdty","PX_Last", N517)</f>
        <v>18339010.539000001</v>
      </c>
      <c r="AF517" s="15" t="s">
        <v>47</v>
      </c>
      <c r="AG517" s="44" cm="1">
        <f t="array" ref="AG517">_xll.BDH(AF517,"FUT_AGGTE_OPEN_INT",A517)</f>
        <v>495497</v>
      </c>
      <c r="AH517" s="44">
        <f t="shared" si="288"/>
        <v>49549700</v>
      </c>
      <c r="AI517" s="48">
        <f t="shared" si="289"/>
        <v>0.37011345253351685</v>
      </c>
      <c r="AK517" s="44" cm="1">
        <f t="array" ref="AK517">_xll.BDH("COMXSILV Comdty","PX_Last", N517)</f>
        <v>307822.40999999997</v>
      </c>
      <c r="AL517" s="15" t="s">
        <v>48</v>
      </c>
      <c r="AM517" s="47" cm="1">
        <f t="array" ref="AM517">_xll.BDH(AL517,"FUT_AGGTE_OPEN_INT",A517)</f>
        <v>151633</v>
      </c>
      <c r="AN517" s="45">
        <f t="shared" si="295"/>
        <v>406.00978678783633</v>
      </c>
      <c r="AO517" s="46">
        <f t="shared" si="296"/>
        <v>30782240999.999996</v>
      </c>
      <c r="AP517" s="46">
        <f t="shared" si="297"/>
        <v>758165</v>
      </c>
    </row>
    <row r="518" spans="1:42" x14ac:dyDescent="0.2">
      <c r="A518" s="71">
        <v>45638</v>
      </c>
      <c r="B518" s="16" cm="1">
        <f t="array" ref="B518">_xll.BADDPERIODS(A518, "PER=WD", "NUMBEROFPERIODS=2", "BUSDAYADJ=-2", "CDR=GQ", "CDR=P9")</f>
        <v>45642</v>
      </c>
      <c r="C518" s="15" cm="1">
        <f t="array" ref="C518">_xll.BDH("XAU Curncy","PX_LAST",A518,A518)</f>
        <v>2680.73</v>
      </c>
      <c r="D518" s="15" t="str" cm="1">
        <f t="array" ref="D518">_xll.BDP("GCG5 Comdty",$M$32)</f>
        <v>03/02/2025</v>
      </c>
      <c r="E518" s="15">
        <f t="shared" ref="E518" si="300">_xlfn.DAYS(D518,B518)</f>
        <v>49</v>
      </c>
      <c r="F518" s="23">
        <v>3.5000000000000003E-2</v>
      </c>
      <c r="G518" s="28">
        <f t="shared" si="244"/>
        <v>12.770699861111112</v>
      </c>
      <c r="H518" s="12">
        <v>24</v>
      </c>
      <c r="I518" s="86">
        <f t="shared" si="275"/>
        <v>11.229300138888888</v>
      </c>
      <c r="J518" s="26">
        <v>4</v>
      </c>
      <c r="K518" s="26">
        <v>6</v>
      </c>
      <c r="L518" s="26">
        <v>8</v>
      </c>
      <c r="M518" s="15"/>
      <c r="N518" s="71">
        <v>45638</v>
      </c>
      <c r="O518" s="16" cm="1">
        <f t="array" ref="O518">_xll.BADDPERIODS(N518, "PER=WD", "NUMBEROFPERIODS=2", "BUSDAYADJ=-2", "CDR=GQ", "CDR=P9")</f>
        <v>45642</v>
      </c>
      <c r="P518" s="15" cm="1">
        <f t="array" ref="P518">_xll.BDH("XAG Curncy","PX_LAST",N518,N518)</f>
        <v>30.995999999999999</v>
      </c>
      <c r="Q518" s="15" t="str" cm="1">
        <f t="array" ref="Q518">_xll.BDP("SIH5 Comdty",$M$32)</f>
        <v>03/03/2025</v>
      </c>
      <c r="R518" s="15">
        <f t="shared" ref="R518" si="301">_xlfn.DAYS(Q518,O518)</f>
        <v>77</v>
      </c>
      <c r="S518" s="23">
        <v>3.5000000000000003E-2</v>
      </c>
      <c r="T518" s="21">
        <f t="shared" si="242"/>
        <v>0.23203950000000001</v>
      </c>
      <c r="U518" s="12">
        <v>0.64</v>
      </c>
      <c r="V518" s="87">
        <f t="shared" si="285"/>
        <v>40.796050000000001</v>
      </c>
      <c r="W518" s="15">
        <v>15</v>
      </c>
      <c r="X518" s="15">
        <v>20</v>
      </c>
      <c r="Y518" s="15">
        <v>25</v>
      </c>
      <c r="Z518" s="18">
        <f t="shared" si="278"/>
        <v>23.203950000000003</v>
      </c>
      <c r="AA518" s="18">
        <f t="shared" si="252"/>
        <v>64</v>
      </c>
      <c r="AB518" s="18">
        <f t="shared" si="279"/>
        <v>40.796050000000001</v>
      </c>
      <c r="AE518" s="44" cm="1">
        <f t="array" ref="AE518">_xll.BDH("COMXGOLD Comdty","PX_Last", N518)</f>
        <v>18418939.929000001</v>
      </c>
      <c r="AF518" s="15" t="s">
        <v>47</v>
      </c>
      <c r="AG518" s="44" cm="1">
        <f t="array" ref="AG518">_xll.BDH(AF518,"FUT_AGGTE_OPEN_INT",A518)</f>
        <v>490589</v>
      </c>
      <c r="AH518" s="44">
        <f t="shared" si="288"/>
        <v>49058900</v>
      </c>
      <c r="AI518" s="48">
        <f t="shared" si="289"/>
        <v>0.37544543251071671</v>
      </c>
      <c r="AK518" s="44" cm="1">
        <f t="array" ref="AK518">_xll.BDH("COMXSILV Comdty","PX_Last", N518)</f>
        <v>307818.03000000003</v>
      </c>
      <c r="AL518" s="15" t="s">
        <v>48</v>
      </c>
      <c r="AM518" s="47" cm="1">
        <f t="array" ref="AM518">_xll.BDH(AL518,"FUT_AGGTE_OPEN_INT",A518)</f>
        <v>151713</v>
      </c>
      <c r="AN518" s="45">
        <f t="shared" si="295"/>
        <v>405.7899191236084</v>
      </c>
      <c r="AO518" s="46">
        <f t="shared" si="296"/>
        <v>30781803000.000004</v>
      </c>
      <c r="AP518" s="46">
        <f t="shared" si="297"/>
        <v>758565</v>
      </c>
    </row>
    <row r="519" spans="1:42" x14ac:dyDescent="0.2">
      <c r="A519" s="71">
        <v>45639</v>
      </c>
      <c r="B519" s="16" cm="1">
        <f t="array" ref="B519">_xll.BADDPERIODS(A519, "PER=WD", "NUMBEROFPERIODS=2", "BUSDAYADJ=-2", "CDR=GQ", "CDR=P9")</f>
        <v>45643</v>
      </c>
      <c r="C519" s="15" cm="1">
        <f t="array" ref="C519">_xll.BDH("XAU Curncy","PX_LAST",A519,A519)</f>
        <v>2648.23</v>
      </c>
      <c r="D519" s="15" t="str" cm="1">
        <f t="array" ref="D519">_xll.BDP("GCG5 Comdty",$M$32)</f>
        <v>03/02/2025</v>
      </c>
      <c r="E519" s="15">
        <f t="shared" ref="E519:E523" si="302">_xlfn.DAYS(D519,B519)</f>
        <v>48</v>
      </c>
      <c r="F519" s="23">
        <v>3.5000000000000003E-2</v>
      </c>
      <c r="G519" s="28">
        <f t="shared" si="244"/>
        <v>12.358406666666667</v>
      </c>
      <c r="H519" s="12">
        <v>20</v>
      </c>
      <c r="I519" s="88">
        <f t="shared" si="275"/>
        <v>7.6415933333333328</v>
      </c>
      <c r="J519" s="26">
        <v>4</v>
      </c>
      <c r="K519" s="26">
        <v>6</v>
      </c>
      <c r="L519" s="26">
        <v>8</v>
      </c>
      <c r="N519" s="71">
        <v>45639</v>
      </c>
      <c r="O519" s="16" cm="1">
        <f t="array" ref="O519">_xll.BADDPERIODS(N519, "PER=WD", "NUMBEROFPERIODS=2", "BUSDAYADJ=-2", "CDR=GQ", "CDR=P9")</f>
        <v>45643</v>
      </c>
      <c r="P519" s="15" cm="1">
        <f t="array" ref="P519">_xll.BDH("XAG Curncy","PX_LAST",N519,N519)</f>
        <v>30.553000000000001</v>
      </c>
      <c r="Q519" s="15" t="str" cm="1">
        <f t="array" ref="Q519">_xll.BDP("SIH5 Comdty",$M$32)</f>
        <v>03/03/2025</v>
      </c>
      <c r="R519" s="15">
        <f t="shared" ref="R519:R531" si="303">_xlfn.DAYS(Q519,O519)</f>
        <v>76</v>
      </c>
      <c r="S519" s="23">
        <v>4.65E-2</v>
      </c>
      <c r="T519" s="21">
        <f t="shared" si="242"/>
        <v>0.29992861666666665</v>
      </c>
      <c r="U519" s="12">
        <v>0.48</v>
      </c>
      <c r="V519" s="89">
        <f t="shared" si="285"/>
        <v>18.007138333333334</v>
      </c>
      <c r="W519" s="15">
        <v>15</v>
      </c>
      <c r="X519" s="15">
        <v>20</v>
      </c>
      <c r="Y519" s="15">
        <v>25</v>
      </c>
      <c r="Z519" s="18">
        <f t="shared" si="278"/>
        <v>29.992861666666666</v>
      </c>
      <c r="AA519" s="18">
        <f t="shared" si="252"/>
        <v>48</v>
      </c>
      <c r="AB519" s="18">
        <f t="shared" si="279"/>
        <v>18.007138333333334</v>
      </c>
      <c r="AE519" s="44" cm="1">
        <f t="array" ref="AE519">_xll.BDH("COMXGOLD Comdty","PX_Last", N519)</f>
        <v>18643966.778999999</v>
      </c>
      <c r="AF519" s="15" t="s">
        <v>47</v>
      </c>
      <c r="AG519" s="44" cm="1">
        <f t="array" ref="AG519">_xll.BDH(AF519,"FUT_AGGTE_OPEN_INT",A519)</f>
        <v>478067</v>
      </c>
      <c r="AH519" s="44">
        <f t="shared" si="288"/>
        <v>47806700</v>
      </c>
      <c r="AI519" s="48">
        <f t="shared" si="289"/>
        <v>0.3899864826269121</v>
      </c>
      <c r="AK519" s="44" cm="1">
        <f t="array" ref="AK519">_xll.BDH("COMXSILV Comdty","PX_Last", N519)</f>
        <v>308339.75</v>
      </c>
      <c r="AL519" s="15" t="s">
        <v>48</v>
      </c>
      <c r="AM519" s="47" cm="1">
        <f t="array" ref="AM519">_xll.BDH(AL519,"FUT_AGGTE_OPEN_INT",A519)</f>
        <v>149668</v>
      </c>
      <c r="AN519" s="45">
        <f t="shared" si="295"/>
        <v>412.03163000775049</v>
      </c>
      <c r="AO519" s="46">
        <f t="shared" si="296"/>
        <v>30833975000</v>
      </c>
      <c r="AP519" s="46">
        <f t="shared" si="297"/>
        <v>748340</v>
      </c>
    </row>
    <row r="520" spans="1:42" x14ac:dyDescent="0.2">
      <c r="A520" s="71">
        <v>45642</v>
      </c>
      <c r="B520" s="16" cm="1">
        <f t="array" ref="B520">_xll.BADDPERIODS(A520, "PER=WD", "NUMBEROFPERIODS=2", "BUSDAYADJ=-2", "CDR=GQ", "CDR=P9")</f>
        <v>45644</v>
      </c>
      <c r="C520" s="15" cm="1">
        <f t="array" ref="C520">_xll.BDH("XAU Curncy","PX_LAST",A520,A520)</f>
        <v>2652.72</v>
      </c>
      <c r="D520" s="15" t="str" cm="1">
        <f t="array" ref="D520">_xll.BDP("GCG5 Comdty",$M$32)</f>
        <v>03/02/2025</v>
      </c>
      <c r="E520" s="15">
        <f t="shared" si="302"/>
        <v>47</v>
      </c>
      <c r="F520" s="23">
        <v>3.6999999999999998E-2</v>
      </c>
      <c r="G520" s="28">
        <f t="shared" si="244"/>
        <v>12.814111333333333</v>
      </c>
      <c r="H520" s="12">
        <v>20</v>
      </c>
      <c r="I520" s="88">
        <f t="shared" si="275"/>
        <v>7.185888666666667</v>
      </c>
      <c r="J520" s="26">
        <v>4</v>
      </c>
      <c r="K520" s="26">
        <v>6</v>
      </c>
      <c r="L520" s="26">
        <v>8</v>
      </c>
      <c r="N520" s="71">
        <v>45642</v>
      </c>
      <c r="O520" s="16" cm="1">
        <f t="array" ref="O520">_xll.BADDPERIODS(N520, "PER=WD", "NUMBEROFPERIODS=2", "BUSDAYADJ=-2", "CDR=GQ", "CDR=P9")</f>
        <v>45644</v>
      </c>
      <c r="P520" s="15" cm="1">
        <f t="array" ref="P520">_xll.BDH("XAG Curncy","PX_LAST",N520,N520)</f>
        <v>30.549800000000001</v>
      </c>
      <c r="Q520" s="15" t="str" cm="1">
        <f t="array" ref="Q520">_xll.BDP("SIH5 Comdty",$M$32)</f>
        <v>03/03/2025</v>
      </c>
      <c r="R520" s="15">
        <f t="shared" si="303"/>
        <v>75</v>
      </c>
      <c r="S520" s="23">
        <v>4.5499999999999999E-2</v>
      </c>
      <c r="T520" s="21">
        <f t="shared" si="242"/>
        <v>0.28958664583333332</v>
      </c>
      <c r="U520" s="12">
        <v>0.5</v>
      </c>
      <c r="V520" s="89">
        <f t="shared" si="285"/>
        <v>21.041335416666669</v>
      </c>
      <c r="W520" s="15">
        <v>15</v>
      </c>
      <c r="X520" s="15">
        <v>20</v>
      </c>
      <c r="Y520" s="15">
        <v>25</v>
      </c>
      <c r="Z520" s="18">
        <f t="shared" si="278"/>
        <v>28.958664583333331</v>
      </c>
      <c r="AA520" s="18">
        <f t="shared" si="252"/>
        <v>50</v>
      </c>
      <c r="AB520" s="18">
        <f t="shared" si="279"/>
        <v>21.041335416666669</v>
      </c>
      <c r="AE520" s="44" cm="1">
        <f t="array" ref="AE520">_xll.BDH("COMXGOLD Comdty","PX_Last", N520)</f>
        <v>18675121.278000001</v>
      </c>
      <c r="AF520" s="15" t="s">
        <v>47</v>
      </c>
      <c r="AG520" s="44" cm="1">
        <f t="array" ref="AG520">_xll.BDH(AF520,"FUT_AGGTE_OPEN_INT",A520)</f>
        <v>471098</v>
      </c>
      <c r="AH520" s="44">
        <f t="shared" si="288"/>
        <v>47109800</v>
      </c>
      <c r="AI520" s="48">
        <f t="shared" si="289"/>
        <v>0.39641690854132261</v>
      </c>
      <c r="AK520" s="44" cm="1">
        <f t="array" ref="AK520">_xll.BDH("COMXSILV Comdty","PX_Last", N520)</f>
        <v>307725.19</v>
      </c>
      <c r="AL520" s="15" t="s">
        <v>48</v>
      </c>
      <c r="AM520" s="47" cm="1">
        <f t="array" ref="AM520">_xll.BDH(AL520,"FUT_AGGTE_OPEN_INT",A520)</f>
        <v>147750</v>
      </c>
      <c r="AN520" s="45">
        <f t="shared" si="295"/>
        <v>416.54848054145515</v>
      </c>
      <c r="AO520" s="46">
        <f t="shared" si="296"/>
        <v>30772519000</v>
      </c>
      <c r="AP520" s="46">
        <f t="shared" si="297"/>
        <v>738750</v>
      </c>
    </row>
    <row r="521" spans="1:42" x14ac:dyDescent="0.2">
      <c r="A521" s="71">
        <v>45643</v>
      </c>
      <c r="B521" s="16" cm="1">
        <f t="array" ref="B521">_xll.BADDPERIODS(A521, "PER=WD", "NUMBEROFPERIODS=2", "BUSDAYADJ=-2", "CDR=GQ", "CDR=P9")</f>
        <v>45645</v>
      </c>
      <c r="C521" s="15" cm="1">
        <f t="array" ref="C521">_xll.BDH("XAU Curncy","PX_LAST",A521,A521)</f>
        <v>2646.83</v>
      </c>
      <c r="D521" s="15" t="str" cm="1">
        <f t="array" ref="D521">_xll.BDP("GCG5 Comdty",$M$32)</f>
        <v>03/02/2025</v>
      </c>
      <c r="E521" s="15">
        <f t="shared" si="302"/>
        <v>46</v>
      </c>
      <c r="F521" s="23">
        <v>3.5000000000000003E-2</v>
      </c>
      <c r="G521" s="28">
        <f t="shared" si="244"/>
        <v>11.837211944444444</v>
      </c>
      <c r="H521" s="12">
        <v>15</v>
      </c>
      <c r="I521" s="88">
        <f t="shared" si="275"/>
        <v>3.1627880555555556</v>
      </c>
      <c r="J521" s="26">
        <v>4</v>
      </c>
      <c r="K521" s="26">
        <v>6</v>
      </c>
      <c r="L521" s="26">
        <v>8</v>
      </c>
      <c r="N521" s="71">
        <v>45643</v>
      </c>
      <c r="O521" s="16" cm="1">
        <f t="array" ref="O521">_xll.BADDPERIODS(N521, "PER=WD", "NUMBEROFPERIODS=2", "BUSDAYADJ=-2", "CDR=GQ", "CDR=P9")</f>
        <v>45645</v>
      </c>
      <c r="P521" s="15" cm="1">
        <f t="array" ref="P521">_xll.BDH("XAG Curncy","PX_LAST",N521,N521)</f>
        <v>30.541</v>
      </c>
      <c r="Q521" s="15" t="str" cm="1">
        <f t="array" ref="Q521">_xll.BDP("SIH5 Comdty",$M$32)</f>
        <v>03/03/2025</v>
      </c>
      <c r="R521" s="15">
        <f t="shared" si="303"/>
        <v>74</v>
      </c>
      <c r="S521" s="23">
        <v>4.4999999999999998E-2</v>
      </c>
      <c r="T521" s="21">
        <f t="shared" si="242"/>
        <v>0.28250425000000001</v>
      </c>
      <c r="U521" s="12">
        <v>0.48</v>
      </c>
      <c r="V521" s="89">
        <f t="shared" si="285"/>
        <v>19.749574999999997</v>
      </c>
      <c r="W521" s="15">
        <v>15</v>
      </c>
      <c r="X521" s="15">
        <v>20</v>
      </c>
      <c r="Y521" s="15">
        <v>25</v>
      </c>
      <c r="Z521" s="18">
        <f t="shared" si="278"/>
        <v>28.250425</v>
      </c>
      <c r="AA521" s="18">
        <f t="shared" si="252"/>
        <v>48</v>
      </c>
      <c r="AB521" s="18">
        <f t="shared" si="279"/>
        <v>19.749574999999997</v>
      </c>
      <c r="AE521" s="44" cm="1">
        <f t="array" ref="AE521">_xll.BDH("COMXGOLD Comdty","PX_Last", N521)</f>
        <v>18874135.967999998</v>
      </c>
      <c r="AF521" s="15" t="s">
        <v>47</v>
      </c>
      <c r="AG521" s="44" cm="1">
        <f t="array" ref="AG521">_xll.BDH(AF521,"FUT_AGGTE_OPEN_INT",A521)</f>
        <v>466571</v>
      </c>
      <c r="AH521" s="44">
        <f t="shared" si="288"/>
        <v>46657100</v>
      </c>
      <c r="AI521" s="48">
        <f t="shared" si="289"/>
        <v>0.404528699126178</v>
      </c>
      <c r="AK521" s="44" cm="1">
        <f t="array" ref="AK521">_xll.BDH("COMXSILV Comdty","PX_Last", N521)</f>
        <v>310025.38</v>
      </c>
      <c r="AL521" s="15" t="s">
        <v>48</v>
      </c>
      <c r="AM521" s="47" cm="1">
        <f t="array" ref="AM521">_xll.BDH(AL521,"FUT_AGGTE_OPEN_INT",A521)</f>
        <v>146938</v>
      </c>
      <c r="AN521" s="45">
        <f t="shared" si="295"/>
        <v>421.98121656753187</v>
      </c>
      <c r="AO521" s="46">
        <f t="shared" si="296"/>
        <v>31002538000</v>
      </c>
      <c r="AP521" s="46">
        <f t="shared" si="297"/>
        <v>734690</v>
      </c>
    </row>
    <row r="522" spans="1:42" x14ac:dyDescent="0.2">
      <c r="A522" s="71">
        <v>45644</v>
      </c>
      <c r="B522" s="16" cm="1">
        <f t="array" ref="B522">_xll.BADDPERIODS(A522, "PER=WD", "NUMBEROFPERIODS=2", "BUSDAYADJ=-2", "CDR=GQ", "CDR=P9")</f>
        <v>45646</v>
      </c>
      <c r="C522" s="15" cm="1">
        <f t="array" ref="C522">_xll.BDH("XAU Curncy","PX_LAST",A522,A522)</f>
        <v>2585.35</v>
      </c>
      <c r="D522" s="15" t="str" cm="1">
        <f t="array" ref="D522">_xll.BDP("GCG5 Comdty",$M$32)</f>
        <v>03/02/2025</v>
      </c>
      <c r="E522" s="15">
        <f t="shared" si="302"/>
        <v>45</v>
      </c>
      <c r="F522" s="23">
        <v>0.04</v>
      </c>
      <c r="G522" s="28">
        <f t="shared" si="244"/>
        <v>12.92675</v>
      </c>
      <c r="H522" s="12">
        <v>16.5</v>
      </c>
      <c r="I522" s="88">
        <f t="shared" si="275"/>
        <v>3.5732499999999998</v>
      </c>
      <c r="J522" s="26">
        <v>4</v>
      </c>
      <c r="K522" s="26">
        <v>6</v>
      </c>
      <c r="L522" s="26">
        <v>8</v>
      </c>
      <c r="N522" s="71">
        <v>45644</v>
      </c>
      <c r="O522" s="16" cm="1">
        <f t="array" ref="O522">_xll.BADDPERIODS(N522, "PER=WD", "NUMBEROFPERIODS=2", "BUSDAYADJ=-2", "CDR=GQ", "CDR=P9")</f>
        <v>45646</v>
      </c>
      <c r="P522" s="15" cm="1">
        <f t="array" ref="P522">_xll.BDH("XAG Curncy","PX_LAST",N522,N522)</f>
        <v>29.35</v>
      </c>
      <c r="Q522" s="15" t="str" cm="1">
        <f t="array" ref="Q522">_xll.BDP("SIH5 Comdty",$M$32)</f>
        <v>03/03/2025</v>
      </c>
      <c r="R522" s="15">
        <f t="shared" si="303"/>
        <v>73</v>
      </c>
      <c r="S522" s="23">
        <v>4.2000000000000003E-2</v>
      </c>
      <c r="T522" s="21">
        <f t="shared" si="242"/>
        <v>0.24996416666666668</v>
      </c>
      <c r="U522" s="12">
        <v>0.5</v>
      </c>
      <c r="V522" s="89">
        <f t="shared" si="285"/>
        <v>25.003583333333335</v>
      </c>
      <c r="W522" s="15">
        <v>15</v>
      </c>
      <c r="X522" s="15">
        <v>20</v>
      </c>
      <c r="Y522" s="15">
        <v>25</v>
      </c>
      <c r="Z522" s="18">
        <f t="shared" si="278"/>
        <v>24.996416666666669</v>
      </c>
      <c r="AA522" s="18">
        <f t="shared" si="252"/>
        <v>50</v>
      </c>
      <c r="AB522" s="18">
        <f t="shared" si="279"/>
        <v>25.003583333333335</v>
      </c>
      <c r="AE522" s="44" cm="1">
        <f t="array" ref="AE522">_xll.BDH("COMXGOLD Comdty","PX_Last", N522)</f>
        <v>19259947.967999998</v>
      </c>
      <c r="AF522" s="15" t="s">
        <v>47</v>
      </c>
      <c r="AG522" s="44" cm="1">
        <f t="array" ref="AG522">_xll.BDH(AF522,"FUT_AGGTE_OPEN_INT",A522)</f>
        <v>461876</v>
      </c>
      <c r="AH522" s="44">
        <f t="shared" si="288"/>
        <v>46187600</v>
      </c>
      <c r="AI522" s="48">
        <f t="shared" si="289"/>
        <v>0.41699391109302059</v>
      </c>
      <c r="AK522" s="44" cm="1">
        <f t="array" ref="AK522">_xll.BDH("COMXSILV Comdty","PX_Last", N522)</f>
        <v>310617.56</v>
      </c>
      <c r="AL522" s="15" t="s">
        <v>48</v>
      </c>
      <c r="AM522" s="47" cm="1">
        <f t="array" ref="AM522">_xll.BDH(AL522,"FUT_AGGTE_OPEN_INT",A522)</f>
        <v>147339</v>
      </c>
      <c r="AN522" s="45">
        <f t="shared" si="295"/>
        <v>421.63657958856783</v>
      </c>
      <c r="AO522" s="46">
        <f t="shared" si="296"/>
        <v>31061756000</v>
      </c>
      <c r="AP522" s="46">
        <f t="shared" si="297"/>
        <v>736695</v>
      </c>
    </row>
    <row r="523" spans="1:42" x14ac:dyDescent="0.2">
      <c r="A523" s="71">
        <v>45645</v>
      </c>
      <c r="B523" s="16" cm="1">
        <f t="array" ref="B523">_xll.BADDPERIODS(A523, "PER=WD", "NUMBEROFPERIODS=2", "BUSDAYADJ=-2", "CDR=GQ", "CDR=P9")</f>
        <v>45649</v>
      </c>
      <c r="C523" s="15" cm="1">
        <f t="array" ref="C523">_xll.BDH("XAU Curncy","PX_LAST",A523,A523)</f>
        <v>2594.0100000000002</v>
      </c>
      <c r="D523" s="15" t="str" cm="1">
        <f t="array" ref="D523">_xll.BDP("GCG5 Comdty",$M$32)</f>
        <v>03/02/2025</v>
      </c>
      <c r="E523" s="15">
        <f t="shared" si="302"/>
        <v>42</v>
      </c>
      <c r="F523" s="23">
        <v>4.3999999999999997E-2</v>
      </c>
      <c r="G523" s="28">
        <f t="shared" si="244"/>
        <v>13.315918</v>
      </c>
      <c r="H523" s="12">
        <v>14.5</v>
      </c>
      <c r="I523" s="88">
        <f t="shared" si="275"/>
        <v>1.1840820000000001</v>
      </c>
      <c r="J523" s="26">
        <v>4</v>
      </c>
      <c r="K523" s="26">
        <v>6</v>
      </c>
      <c r="L523" s="26">
        <v>8</v>
      </c>
      <c r="N523" s="71">
        <v>45645</v>
      </c>
      <c r="O523" s="16" cm="1">
        <f t="array" ref="O523">_xll.BADDPERIODS(N523, "PER=WD", "NUMBEROFPERIODS=2", "BUSDAYADJ=-2", "CDR=GQ", "CDR=P9")</f>
        <v>45649</v>
      </c>
      <c r="P523" s="15" cm="1">
        <f t="array" ref="P523">_xll.BDH("XAG Curncy","PX_LAST",N523,N523)</f>
        <v>29.048500000000001</v>
      </c>
      <c r="Q523" s="15" t="str" cm="1">
        <f t="array" ref="Q523">_xll.BDP("SIH5 Comdty",$M$32)</f>
        <v>03/03/2025</v>
      </c>
      <c r="R523" s="15">
        <f t="shared" si="303"/>
        <v>70</v>
      </c>
      <c r="S523" s="23">
        <v>4.2999999999999997E-2</v>
      </c>
      <c r="T523" s="21">
        <f t="shared" si="242"/>
        <v>0.2428777361111111</v>
      </c>
      <c r="U523" s="12">
        <v>0.45</v>
      </c>
      <c r="V523" s="89">
        <f t="shared" si="285"/>
        <v>20.71222638888889</v>
      </c>
      <c r="W523" s="15">
        <v>15</v>
      </c>
      <c r="X523" s="15">
        <v>20</v>
      </c>
      <c r="Y523" s="15">
        <v>25</v>
      </c>
      <c r="Z523" s="18">
        <f t="shared" si="278"/>
        <v>24.28777361111111</v>
      </c>
      <c r="AA523" s="18">
        <f t="shared" si="252"/>
        <v>45</v>
      </c>
      <c r="AB523" s="18">
        <f t="shared" si="279"/>
        <v>20.71222638888889</v>
      </c>
      <c r="AE523" s="44" cm="1">
        <f t="array" ref="AE523">_xll.BDH("COMXGOLD Comdty","PX_Last", N523)</f>
        <v>19266378.168000001</v>
      </c>
      <c r="AF523" s="15" t="s">
        <v>47</v>
      </c>
      <c r="AG523" s="44" cm="1">
        <f t="array" ref="AG523">_xll.BDH(AF523,"FUT_AGGTE_OPEN_INT",A523)</f>
        <v>457814</v>
      </c>
      <c r="AH523" s="44">
        <f t="shared" ref="AH523:AH528" si="304">AG523*$AG$17</f>
        <v>45781400</v>
      </c>
      <c r="AI523" s="48">
        <f t="shared" ref="AI523:AI528" si="305">AE523/AH523</f>
        <v>0.42083418523679927</v>
      </c>
      <c r="AK523" s="44" cm="1">
        <f t="array" ref="AK523">_xll.BDH("COMXSILV Comdty","PX_Last", N523)</f>
        <v>312399.40999999997</v>
      </c>
      <c r="AL523" s="15" t="s">
        <v>48</v>
      </c>
      <c r="AM523" s="47" cm="1">
        <f t="array" ref="AM523">_xll.BDH(AL523,"FUT_AGGTE_OPEN_INT",A523)</f>
        <v>147377</v>
      </c>
      <c r="AN523" s="45">
        <f t="shared" ref="AN523:AN528" si="306">(AO523/AP523)/100</f>
        <v>423.94594814659001</v>
      </c>
      <c r="AO523" s="46">
        <f t="shared" ref="AO523:AO528" si="307">AK523*100000</f>
        <v>31239940999.999996</v>
      </c>
      <c r="AP523" s="46">
        <f t="shared" ref="AP523:AP528" si="308">(AM523*5000)/1000</f>
        <v>736885</v>
      </c>
    </row>
    <row r="524" spans="1:42" x14ac:dyDescent="0.2">
      <c r="A524" s="71">
        <v>45646</v>
      </c>
      <c r="B524" s="16" cm="1">
        <f t="array" ref="B524">_xll.BADDPERIODS(A524, "PER=WD", "NUMBEROFPERIODS=2", "BUSDAYADJ=-2", "CDR=GQ", "CDR=P9")</f>
        <v>45650</v>
      </c>
      <c r="C524" s="15" cm="1">
        <f t="array" ref="C524">_xll.BDH("XAU Curncy","PX_LAST",A524,A524)</f>
        <v>2622.91</v>
      </c>
      <c r="D524" s="15" t="str" cm="1">
        <f t="array" ref="D524">_xll.BDP("GCG5 Comdty",$M$32)</f>
        <v>03/02/2025</v>
      </c>
      <c r="E524" s="15">
        <f t="shared" ref="E524:E529" si="309">_xlfn.DAYS(D524,B524)</f>
        <v>41</v>
      </c>
      <c r="F524" s="23">
        <v>4.3499999999999997E-2</v>
      </c>
      <c r="G524" s="28">
        <f t="shared" si="244"/>
        <v>12.994333291666663</v>
      </c>
      <c r="H524" s="12">
        <v>15.75</v>
      </c>
      <c r="I524" s="90">
        <f t="shared" si="275"/>
        <v>2.7556667083333366</v>
      </c>
      <c r="J524" s="26">
        <v>4</v>
      </c>
      <c r="K524" s="26">
        <v>6</v>
      </c>
      <c r="L524" s="26">
        <v>8</v>
      </c>
      <c r="N524" s="71">
        <v>45646</v>
      </c>
      <c r="O524" s="16" cm="1">
        <f t="array" ref="O524">_xll.BADDPERIODS(N524, "PER=WD", "NUMBEROFPERIODS=2", "BUSDAYADJ=-2", "CDR=GQ", "CDR=P9")</f>
        <v>45650</v>
      </c>
      <c r="P524" s="15" cm="1">
        <f t="array" ref="P524">_xll.BDH("XAG Curncy","PX_LAST",N524,N524)</f>
        <v>29.519500000000001</v>
      </c>
      <c r="Q524" s="15" t="str" cm="1">
        <f t="array" ref="Q524">_xll.BDP("SIH5 Comdty",$M$32)</f>
        <v>03/03/2025</v>
      </c>
      <c r="R524" s="15">
        <f t="shared" si="303"/>
        <v>69</v>
      </c>
      <c r="S524" s="23">
        <v>4.4999999999999998E-2</v>
      </c>
      <c r="T524" s="21">
        <f t="shared" si="242"/>
        <v>0.25460568750000001</v>
      </c>
      <c r="U524" s="12">
        <v>0.41</v>
      </c>
      <c r="V524" s="89">
        <f t="shared" si="285"/>
        <v>15.539431249999996</v>
      </c>
      <c r="W524" s="15">
        <v>15</v>
      </c>
      <c r="X524" s="15">
        <v>20</v>
      </c>
      <c r="Y524" s="15">
        <v>25</v>
      </c>
      <c r="Z524" s="18">
        <f t="shared" ref="Z524:Z531" si="310">100*T524</f>
        <v>25.46056875</v>
      </c>
      <c r="AA524" s="18">
        <f t="shared" ref="AA524:AA536" si="311">U524*100</f>
        <v>41</v>
      </c>
      <c r="AB524" s="18">
        <f t="shared" ref="AB524:AB536" si="312">V524</f>
        <v>15.539431249999996</v>
      </c>
      <c r="AE524" s="44" cm="1">
        <f t="array" ref="AE524">_xll.BDH("COMXGOLD Comdty","PX_Last", N524)</f>
        <v>19453100.013</v>
      </c>
      <c r="AF524" s="15" t="s">
        <v>47</v>
      </c>
      <c r="AG524" s="44" cm="1">
        <f t="array" ref="AG524">_xll.BDH(AF524,"FUT_AGGTE_OPEN_INT",A524)</f>
        <v>458644</v>
      </c>
      <c r="AH524" s="44">
        <f t="shared" si="304"/>
        <v>45864400</v>
      </c>
      <c r="AI524" s="48">
        <f t="shared" si="305"/>
        <v>0.42414378064468305</v>
      </c>
      <c r="AK524" s="44" cm="1">
        <f t="array" ref="AK524">_xll.BDH("COMXSILV Comdty","PX_Last", N524)</f>
        <v>313574.75</v>
      </c>
      <c r="AL524" s="15" t="s">
        <v>48</v>
      </c>
      <c r="AM524" s="47" cm="1">
        <f t="array" ref="AM524">_xll.BDH(AL524,"FUT_AGGTE_OPEN_INT",A524)</f>
        <v>145514</v>
      </c>
      <c r="AN524" s="45">
        <f t="shared" si="306"/>
        <v>430.98911444946879</v>
      </c>
      <c r="AO524" s="46">
        <f t="shared" si="307"/>
        <v>31357475000</v>
      </c>
      <c r="AP524" s="46">
        <f t="shared" si="308"/>
        <v>727570</v>
      </c>
    </row>
    <row r="525" spans="1:42" x14ac:dyDescent="0.2">
      <c r="A525" s="71">
        <v>45649</v>
      </c>
      <c r="B525" s="16" cm="1">
        <f t="array" ref="B525">_xll.BADDPERIODS(A525, "PER=WD", "NUMBEROFPERIODS=2", "BUSDAYADJ=-2", "CDR=GQ", "CDR=P9")</f>
        <v>45653</v>
      </c>
      <c r="C525" s="15" cm="1">
        <f t="array" ref="C525">_xll.BDH("XAU Curncy","PX_LAST",A525,A525)</f>
        <v>2612.56</v>
      </c>
      <c r="D525" s="15" t="str" cm="1">
        <f t="array" ref="D525">_xll.BDP("GCG5 Comdty",$M$32)</f>
        <v>03/02/2025</v>
      </c>
      <c r="E525" s="15">
        <f t="shared" si="309"/>
        <v>38</v>
      </c>
      <c r="F525" s="23">
        <v>4.3499999999999997E-2</v>
      </c>
      <c r="G525" s="28">
        <f t="shared" si="244"/>
        <v>11.996004666666666</v>
      </c>
      <c r="H525" s="12">
        <v>16</v>
      </c>
      <c r="I525" s="90">
        <f t="shared" si="275"/>
        <v>4.003995333333334</v>
      </c>
      <c r="J525" s="26">
        <v>4</v>
      </c>
      <c r="K525" s="26">
        <v>6</v>
      </c>
      <c r="L525" s="26">
        <v>8</v>
      </c>
      <c r="N525" s="71">
        <v>45649</v>
      </c>
      <c r="O525" s="16" cm="1">
        <f t="array" ref="O525">_xll.BADDPERIODS(N525, "PER=WD", "NUMBEROFPERIODS=2", "BUSDAYADJ=-2", "CDR=GQ", "CDR=P9")</f>
        <v>45653</v>
      </c>
      <c r="P525" s="15" cm="1">
        <f t="array" ref="P525">_xll.BDH("XAG Curncy","PX_LAST",N525,N525)</f>
        <v>29.650700000000001</v>
      </c>
      <c r="Q525" s="15" t="str" cm="1">
        <f t="array" ref="Q525">_xll.BDP("SIH5 Comdty",$M$32)</f>
        <v>03/03/2025</v>
      </c>
      <c r="R525" s="15">
        <f t="shared" si="303"/>
        <v>66</v>
      </c>
      <c r="S525" s="23">
        <v>4.4499999999999998E-2</v>
      </c>
      <c r="T525" s="21">
        <f t="shared" si="242"/>
        <v>0.24190029416666664</v>
      </c>
      <c r="U525" s="12">
        <v>0.6</v>
      </c>
      <c r="V525" s="89">
        <f t="shared" si="285"/>
        <v>35.809970583333332</v>
      </c>
      <c r="W525" s="15">
        <v>15</v>
      </c>
      <c r="X525" s="15">
        <v>20</v>
      </c>
      <c r="Y525" s="15">
        <v>25</v>
      </c>
      <c r="Z525" s="18">
        <f t="shared" si="310"/>
        <v>24.190029416666665</v>
      </c>
      <c r="AA525" s="18">
        <f t="shared" si="311"/>
        <v>60</v>
      </c>
      <c r="AB525" s="18">
        <f t="shared" si="312"/>
        <v>35.809970583333332</v>
      </c>
      <c r="AE525" s="44" cm="1">
        <f t="array" ref="AE525">_xll.BDH("COMXGOLD Comdty","PX_Last", N525)</f>
        <v>20034111.697000001</v>
      </c>
      <c r="AF525" s="15" t="s">
        <v>47</v>
      </c>
      <c r="AG525" s="44" cm="1">
        <f t="array" ref="AG525">_xll.BDH(AF525,"FUT_AGGTE_OPEN_INT",A525)</f>
        <v>455558</v>
      </c>
      <c r="AH525" s="44">
        <f t="shared" si="304"/>
        <v>45555800</v>
      </c>
      <c r="AI525" s="48">
        <f t="shared" si="305"/>
        <v>0.43977082384679889</v>
      </c>
      <c r="AK525" s="44" cm="1">
        <f t="array" ref="AK525">_xll.BDH("COMXSILV Comdty","PX_Last", N525)</f>
        <v>313338.40999999997</v>
      </c>
      <c r="AL525" s="15" t="s">
        <v>48</v>
      </c>
      <c r="AM525" s="47" cm="1">
        <f t="array" ref="AM525">_xll.BDH(AL525,"FUT_AGGTE_OPEN_INT",A525)</f>
        <v>145628</v>
      </c>
      <c r="AN525" s="45">
        <f t="shared" si="306"/>
        <v>430.32714862526433</v>
      </c>
      <c r="AO525" s="46">
        <f t="shared" si="307"/>
        <v>31333840999.999996</v>
      </c>
      <c r="AP525" s="46">
        <f t="shared" si="308"/>
        <v>728140</v>
      </c>
    </row>
    <row r="526" spans="1:42" x14ac:dyDescent="0.2">
      <c r="A526" s="71">
        <v>45650</v>
      </c>
      <c r="B526" s="16" cm="1">
        <f t="array" ref="B526">_xll.BADDPERIODS(A526, "PER=WD", "NUMBEROFPERIODS=2", "BUSDAYADJ=-2", "CDR=GQ", "CDR=P9")</f>
        <v>45656</v>
      </c>
      <c r="C526" s="15" cm="1">
        <f t="array" ref="C526">_xll.BDH("XAU Curncy","PX_LAST",A526,A526)</f>
        <v>2616.87</v>
      </c>
      <c r="D526" s="15" t="str" cm="1">
        <f t="array" ref="D526">_xll.BDP("GCG5 Comdty",$M$32)</f>
        <v>03/02/2025</v>
      </c>
      <c r="E526" s="15">
        <f t="shared" si="309"/>
        <v>35</v>
      </c>
      <c r="F526" s="23">
        <v>4.3499999999999997E-2</v>
      </c>
      <c r="G526" s="28">
        <f t="shared" si="244"/>
        <v>11.067179374999998</v>
      </c>
      <c r="H526" s="12">
        <v>16</v>
      </c>
      <c r="I526" s="90">
        <f t="shared" si="275"/>
        <v>4.9328206250000015</v>
      </c>
      <c r="J526" s="26">
        <v>4</v>
      </c>
      <c r="K526" s="26">
        <v>6</v>
      </c>
      <c r="L526" s="26">
        <v>8</v>
      </c>
      <c r="N526" s="71">
        <v>45650</v>
      </c>
      <c r="O526" s="16" cm="1">
        <f t="array" ref="O526">_xll.BADDPERIODS(N526, "PER=WD", "NUMBEROFPERIODS=2", "BUSDAYADJ=-2", "CDR=GQ", "CDR=P9")</f>
        <v>45656</v>
      </c>
      <c r="P526" s="15" cm="1">
        <f t="array" ref="P526">_xll.BDH("XAG Curncy","PX_LAST",N526,N526)</f>
        <v>29.661000000000001</v>
      </c>
      <c r="Q526" s="15" t="str" cm="1">
        <f t="array" ref="Q526">_xll.BDP("SIH5 Comdty",$M$32)</f>
        <v>03/03/2025</v>
      </c>
      <c r="R526" s="15">
        <f t="shared" si="303"/>
        <v>63</v>
      </c>
      <c r="S526" s="23">
        <v>4.4499999999999998E-2</v>
      </c>
      <c r="T526" s="21">
        <f t="shared" si="242"/>
        <v>0.23098503749999996</v>
      </c>
      <c r="U526" s="12">
        <v>0.6</v>
      </c>
      <c r="V526" s="89">
        <f t="shared" si="285"/>
        <v>36.901496250000001</v>
      </c>
      <c r="W526" s="15">
        <v>15</v>
      </c>
      <c r="X526" s="15">
        <v>20</v>
      </c>
      <c r="Y526" s="15">
        <v>25</v>
      </c>
      <c r="Z526" s="18">
        <f t="shared" si="310"/>
        <v>23.098503749999995</v>
      </c>
      <c r="AA526" s="18">
        <f t="shared" si="311"/>
        <v>60</v>
      </c>
      <c r="AB526" s="18">
        <f t="shared" si="312"/>
        <v>36.901496250000001</v>
      </c>
      <c r="AE526" s="44" cm="1">
        <f t="array" ref="AE526">_xll.BDH("COMXGOLD Comdty","PX_Last", N526)</f>
        <v>20583108.291000001</v>
      </c>
      <c r="AF526" s="15" t="s">
        <v>47</v>
      </c>
      <c r="AG526" s="44" cm="1">
        <f t="array" ref="AG526">_xll.BDH(AF526,"FUT_AGGTE_OPEN_INT",A526)</f>
        <v>454232</v>
      </c>
      <c r="AH526" s="44">
        <f t="shared" si="304"/>
        <v>45423200</v>
      </c>
      <c r="AI526" s="48">
        <f t="shared" si="305"/>
        <v>0.4531408683448106</v>
      </c>
      <c r="AK526" s="44" cm="1">
        <f t="array" ref="AK526">_xll.BDH("COMXSILV Comdty","PX_Last", N526)</f>
        <v>314826.65999999997</v>
      </c>
      <c r="AL526" s="15" t="s">
        <v>48</v>
      </c>
      <c r="AM526" s="47" cm="1">
        <f t="array" ref="AM526">_xll.BDH(AL526,"FUT_AGGTE_OPEN_INT",A526)</f>
        <v>145750</v>
      </c>
      <c r="AN526" s="45">
        <f t="shared" si="306"/>
        <v>432.00913893653507</v>
      </c>
      <c r="AO526" s="46">
        <f t="shared" si="307"/>
        <v>31482665999.999996</v>
      </c>
      <c r="AP526" s="46">
        <f t="shared" si="308"/>
        <v>728750</v>
      </c>
    </row>
    <row r="527" spans="1:42" x14ac:dyDescent="0.2">
      <c r="A527" s="71">
        <v>45653</v>
      </c>
      <c r="B527" s="16" cm="1">
        <f t="array" ref="B527">_xll.BADDPERIODS(A527, "PER=WD", "NUMBEROFPERIODS=2", "BUSDAYADJ=-2", "CDR=GQ", "CDR=P9")</f>
        <v>45657</v>
      </c>
      <c r="C527" s="15" cm="1">
        <f t="array" ref="C527">_xll.BDH("XAU Curncy","PX_LAST",A527,A527)</f>
        <v>2621.4</v>
      </c>
      <c r="D527" s="15" t="str" cm="1">
        <f t="array" ref="D527">_xll.BDP("GCG5 Comdty",$M$32)</f>
        <v>03/02/2025</v>
      </c>
      <c r="E527" s="15">
        <f t="shared" si="309"/>
        <v>34</v>
      </c>
      <c r="F527" s="23">
        <v>4.5499999999999999E-2</v>
      </c>
      <c r="G527" s="28">
        <f t="shared" si="244"/>
        <v>11.264738333333334</v>
      </c>
      <c r="H527" s="12">
        <v>15</v>
      </c>
      <c r="I527" s="90">
        <f t="shared" si="275"/>
        <v>3.7352616666666663</v>
      </c>
      <c r="J527" s="26">
        <v>4</v>
      </c>
      <c r="K527" s="26">
        <v>6</v>
      </c>
      <c r="L527" s="26">
        <v>8</v>
      </c>
      <c r="N527" s="71">
        <v>45653</v>
      </c>
      <c r="O527" s="16" cm="1">
        <f t="array" ref="O527">_xll.BADDPERIODS(N527, "PER=WD", "NUMBEROFPERIODS=2", "BUSDAYADJ=-2", "CDR=GQ", "CDR=P9")</f>
        <v>45657</v>
      </c>
      <c r="P527" s="15" cm="1">
        <f t="array" ref="P527">_xll.BDH("XAG Curncy","PX_LAST",N527,N527)</f>
        <v>29.385000000000002</v>
      </c>
      <c r="Q527" s="15" t="str" cm="1">
        <f t="array" ref="Q527">_xll.BDP("SIH5 Comdty",$M$32)</f>
        <v>03/03/2025</v>
      </c>
      <c r="R527" s="15">
        <f t="shared" si="303"/>
        <v>62</v>
      </c>
      <c r="S527" s="23">
        <v>4.65E-2</v>
      </c>
      <c r="T527" s="21">
        <f t="shared" si="242"/>
        <v>0.23532487500000002</v>
      </c>
      <c r="U527" s="12">
        <v>0.56999999999999995</v>
      </c>
      <c r="V527" s="89">
        <f t="shared" si="285"/>
        <v>33.467512499999998</v>
      </c>
      <c r="W527" s="15">
        <v>15</v>
      </c>
      <c r="X527" s="15">
        <v>20</v>
      </c>
      <c r="Y527" s="15">
        <v>25</v>
      </c>
      <c r="Z527" s="18">
        <f t="shared" si="310"/>
        <v>23.532487500000002</v>
      </c>
      <c r="AA527" s="18">
        <f t="shared" si="311"/>
        <v>56.999999999999993</v>
      </c>
      <c r="AB527" s="18">
        <f t="shared" si="312"/>
        <v>33.467512499999998</v>
      </c>
      <c r="AE527" s="44" cm="1">
        <f t="array" ref="AE527">_xll.BDH("COMXGOLD Comdty","PX_Last", N527)</f>
        <v>21372920.660999998</v>
      </c>
      <c r="AF527" s="15" t="s">
        <v>47</v>
      </c>
      <c r="AG527" s="44" cm="1">
        <f t="array" ref="AG527">_xll.BDH(AF527,"FUT_AGGTE_OPEN_INT",A527)</f>
        <v>448554</v>
      </c>
      <c r="AH527" s="44">
        <f t="shared" si="304"/>
        <v>44855400</v>
      </c>
      <c r="AI527" s="48">
        <f t="shared" si="305"/>
        <v>0.4764848972698939</v>
      </c>
      <c r="AK527" s="44" cm="1">
        <f t="array" ref="AK527">_xll.BDH("COMXSILV Comdty","PX_Last", N527)</f>
        <v>316032.90999999997</v>
      </c>
      <c r="AL527" s="15" t="s">
        <v>48</v>
      </c>
      <c r="AM527" s="47" cm="1">
        <f t="array" ref="AM527">_xll.BDH(AL527,"FUT_AGGTE_OPEN_INT",A527)</f>
        <v>146117</v>
      </c>
      <c r="AN527" s="45">
        <f t="shared" si="306"/>
        <v>432.57514183838975</v>
      </c>
      <c r="AO527" s="46">
        <f t="shared" si="307"/>
        <v>31603290999.999996</v>
      </c>
      <c r="AP527" s="46">
        <f t="shared" si="308"/>
        <v>730585</v>
      </c>
    </row>
    <row r="528" spans="1:42" x14ac:dyDescent="0.2">
      <c r="A528" s="71">
        <v>45656</v>
      </c>
      <c r="B528" s="16" cm="1">
        <f t="array" ref="B528">_xll.BADDPERIODS(A528, "PER=WD", "NUMBEROFPERIODS=2", "BUSDAYADJ=-2", "CDR=GQ", "CDR=P9")</f>
        <v>45659</v>
      </c>
      <c r="C528" s="15" cm="1">
        <f t="array" ref="C528">_xll.BDH("XAU Curncy","PX_LAST",A528,A528)</f>
        <v>2606.5</v>
      </c>
      <c r="D528" s="15" t="str" cm="1">
        <f t="array" ref="D528">_xll.BDP("GCG5 Comdty",$M$32)</f>
        <v>03/02/2025</v>
      </c>
      <c r="E528" s="15">
        <f t="shared" si="309"/>
        <v>32</v>
      </c>
      <c r="F528" s="23">
        <v>4.4999999999999998E-2</v>
      </c>
      <c r="G528" s="28">
        <f t="shared" si="244"/>
        <v>10.426</v>
      </c>
      <c r="H528" s="12">
        <v>12.75</v>
      </c>
      <c r="I528" s="90">
        <f t="shared" si="275"/>
        <v>2.3239999999999998</v>
      </c>
      <c r="J528" s="26">
        <v>4</v>
      </c>
      <c r="K528" s="26">
        <v>6</v>
      </c>
      <c r="L528" s="26">
        <v>8</v>
      </c>
      <c r="N528" s="71">
        <v>45656</v>
      </c>
      <c r="O528" s="16" cm="1">
        <f t="array" ref="O528">_xll.BADDPERIODS(N528, "PER=WD", "NUMBEROFPERIODS=2", "BUSDAYADJ=-2", "CDR=GQ", "CDR=P9")</f>
        <v>45659</v>
      </c>
      <c r="P528" s="15" cm="1">
        <f t="array" ref="P528">_xll.BDH("XAG Curncy","PX_LAST",N528,N528)</f>
        <v>28.950800000000001</v>
      </c>
      <c r="Q528" s="15" t="str" cm="1">
        <f t="array" ref="Q528">_xll.BDP("SIH5 Comdty",$M$32)</f>
        <v>03/03/2025</v>
      </c>
      <c r="R528" s="15">
        <f t="shared" si="303"/>
        <v>60</v>
      </c>
      <c r="S528" s="23">
        <v>4.6899999999999997E-2</v>
      </c>
      <c r="T528" s="21">
        <f t="shared" si="242"/>
        <v>0.22629875333333332</v>
      </c>
      <c r="U528" s="22">
        <v>0.53</v>
      </c>
      <c r="V528" s="89">
        <f t="shared" si="285"/>
        <v>30.370124666666669</v>
      </c>
      <c r="W528" s="15">
        <v>15</v>
      </c>
      <c r="X528" s="15">
        <v>20</v>
      </c>
      <c r="Y528" s="15">
        <v>25</v>
      </c>
      <c r="Z528" s="18">
        <f t="shared" si="310"/>
        <v>22.629875333333331</v>
      </c>
      <c r="AA528" s="18">
        <f t="shared" si="311"/>
        <v>53</v>
      </c>
      <c r="AB528" s="18">
        <f t="shared" si="312"/>
        <v>30.370124666666669</v>
      </c>
      <c r="AE528" s="44" cm="1">
        <f t="array" ref="AE528">_xll.BDH("COMXGOLD Comdty","PX_Last", N528)</f>
        <v>21739993.631999999</v>
      </c>
      <c r="AF528" s="15" t="s">
        <v>47</v>
      </c>
      <c r="AG528" s="44" cm="1">
        <f t="array" ref="AG528">_xll.BDH(AF528,"FUT_AGGTE_OPEN_INT",A528)</f>
        <v>450970</v>
      </c>
      <c r="AH528" s="44">
        <f t="shared" si="304"/>
        <v>45097000</v>
      </c>
      <c r="AI528" s="48">
        <f t="shared" si="305"/>
        <v>0.48207183697363459</v>
      </c>
      <c r="AK528" s="44" cm="1">
        <f t="array" ref="AK528">_xll.BDH("COMXSILV Comdty","PX_Last", N528)</f>
        <v>317295.59000000003</v>
      </c>
      <c r="AL528" s="15" t="s">
        <v>48</v>
      </c>
      <c r="AM528" s="47" cm="1">
        <f t="array" ref="AM528">_xll.BDH(AL528,"FUT_AGGTE_OPEN_INT",A528)</f>
        <v>148513</v>
      </c>
      <c r="AN528" s="45">
        <f t="shared" si="306"/>
        <v>427.29672149912813</v>
      </c>
      <c r="AO528" s="46">
        <f t="shared" si="307"/>
        <v>31729559000.000004</v>
      </c>
      <c r="AP528" s="46">
        <f t="shared" si="308"/>
        <v>742565</v>
      </c>
    </row>
    <row r="529" spans="1:42" x14ac:dyDescent="0.2">
      <c r="A529" s="71">
        <v>45657</v>
      </c>
      <c r="B529" s="16" cm="1">
        <f t="array" ref="B529">_xll.BADDPERIODS(A529, "PER=WD", "NUMBEROFPERIODS=2", "BUSDAYADJ=-2", "CDR=GQ", "CDR=P9")</f>
        <v>45660</v>
      </c>
      <c r="C529" s="15" cm="1">
        <f t="array" ref="C529">_xll.BDH("XAU Curncy","PX_LAST",A529,A529)</f>
        <v>2624.5</v>
      </c>
      <c r="D529" s="15" t="str" cm="1">
        <f t="array" ref="D529">_xll.BDP("GCG5 Comdty",$M$32)</f>
        <v>03/02/2025</v>
      </c>
      <c r="E529" s="15">
        <f t="shared" si="309"/>
        <v>31</v>
      </c>
      <c r="F529" s="23">
        <v>4.4999999999999998E-2</v>
      </c>
      <c r="G529" s="28">
        <f t="shared" si="244"/>
        <v>10.1699375</v>
      </c>
      <c r="H529" s="12">
        <v>14</v>
      </c>
      <c r="I529" s="90">
        <f t="shared" si="275"/>
        <v>3.8300625000000004</v>
      </c>
      <c r="J529" s="26">
        <v>4</v>
      </c>
      <c r="K529" s="26">
        <v>6</v>
      </c>
      <c r="L529" s="26">
        <v>8</v>
      </c>
      <c r="N529" s="71">
        <v>45657</v>
      </c>
      <c r="O529" s="16" cm="1">
        <f t="array" ref="O529">_xll.BADDPERIODS(N529, "PER=WD", "NUMBEROFPERIODS=2", "BUSDAYADJ=-2", "CDR=GQ", "CDR=P9")</f>
        <v>45660</v>
      </c>
      <c r="P529" s="15" cm="1">
        <f t="array" ref="P529">_xll.BDH("XAG Curncy","PX_LAST",N529,N529)</f>
        <v>28.902100000000001</v>
      </c>
      <c r="Q529" s="15" t="str" cm="1">
        <f t="array" ref="Q529">_xll.BDP("SIH5 Comdty",$M$32)</f>
        <v>03/03/2025</v>
      </c>
      <c r="R529" s="15">
        <f t="shared" si="303"/>
        <v>59</v>
      </c>
      <c r="S529" s="23">
        <v>4.5499999999999999E-2</v>
      </c>
      <c r="T529" s="21">
        <f t="shared" si="242"/>
        <v>0.21552135402777778</v>
      </c>
      <c r="U529" s="12">
        <v>0.41</v>
      </c>
      <c r="V529" s="89">
        <f t="shared" si="285"/>
        <v>19.447864597222221</v>
      </c>
      <c r="W529" s="15">
        <v>15</v>
      </c>
      <c r="X529" s="15">
        <v>20</v>
      </c>
      <c r="Y529" s="15">
        <v>25</v>
      </c>
      <c r="Z529" s="18">
        <f t="shared" si="310"/>
        <v>21.552135402777779</v>
      </c>
      <c r="AA529" s="18">
        <f t="shared" si="311"/>
        <v>41</v>
      </c>
      <c r="AB529" s="18">
        <f t="shared" si="312"/>
        <v>19.447864597222221</v>
      </c>
      <c r="AE529" s="44" cm="1">
        <f t="array" ref="AE529">_xll.BDH("COMXGOLD Comdty","PX_Last", N529)</f>
        <v>21900748.629000001</v>
      </c>
      <c r="AF529" s="15" t="s">
        <v>47</v>
      </c>
      <c r="AG529" s="44" cm="1">
        <f t="array" ref="AG529">_xll.BDH(AF529,"FUT_AGGTE_OPEN_INT",A529)</f>
        <v>459422</v>
      </c>
      <c r="AH529" s="44">
        <f t="shared" ref="AH529:AH531" si="313">AG529*$AG$17</f>
        <v>45942200</v>
      </c>
      <c r="AI529" s="48">
        <f t="shared" ref="AI529:AI531" si="314">AE529/AH529</f>
        <v>0.47670221776493071</v>
      </c>
      <c r="AK529" s="44" cm="1">
        <f t="array" ref="AK529">_xll.BDH("COMXSILV Comdty","PX_Last", N529)</f>
        <v>318618.63</v>
      </c>
      <c r="AL529" s="15" t="s">
        <v>48</v>
      </c>
      <c r="AM529" s="47" cm="1">
        <f t="array" ref="AM529">_xll.BDH(AL529,"FUT_AGGTE_OPEN_INT",A529)</f>
        <v>151091</v>
      </c>
      <c r="AN529" s="45">
        <f t="shared" ref="AN529:AN531" si="315">(AO529/AP529)/100</f>
        <v>421.75725887048202</v>
      </c>
      <c r="AO529" s="46">
        <f t="shared" ref="AO529:AO531" si="316">AK529*100000</f>
        <v>31861863000</v>
      </c>
      <c r="AP529" s="46">
        <f t="shared" ref="AP529:AP531" si="317">(AM529*5000)/1000</f>
        <v>755455</v>
      </c>
    </row>
    <row r="530" spans="1:42" x14ac:dyDescent="0.2">
      <c r="A530" s="71">
        <v>45659</v>
      </c>
      <c r="B530" s="16" cm="1">
        <f t="array" ref="B530">_xll.BADDPERIODS(A530, "PER=WD", "NUMBEROFPERIODS=2", "BUSDAYADJ=-2", "CDR=GQ", "CDR=P9")</f>
        <v>45663</v>
      </c>
      <c r="C530" s="15" cm="1">
        <f t="array" ref="C530">_xll.BDH("XAU Curncy","PX_LAST",A530,A530)</f>
        <v>2657.9</v>
      </c>
      <c r="D530" s="15" t="str" cm="1">
        <f t="array" ref="D530">_xll.BDP("GCG5 Comdty",$M$32)</f>
        <v>03/02/2025</v>
      </c>
      <c r="E530" s="15">
        <f t="shared" ref="E530" si="318">_xlfn.DAYS(D530,B530)</f>
        <v>28</v>
      </c>
      <c r="F530" s="23">
        <v>4.4499999999999998E-2</v>
      </c>
      <c r="G530" s="28">
        <f t="shared" si="244"/>
        <v>9.1992872222222211</v>
      </c>
      <c r="H530" s="12">
        <v>13.75</v>
      </c>
      <c r="I530" s="90">
        <f t="shared" si="275"/>
        <v>4.5507127777777789</v>
      </c>
      <c r="J530" s="26">
        <v>4</v>
      </c>
      <c r="K530" s="26">
        <v>6</v>
      </c>
      <c r="L530" s="26">
        <v>8</v>
      </c>
      <c r="N530" s="71">
        <v>45659</v>
      </c>
      <c r="O530" s="16" cm="1">
        <f t="array" ref="O530">_xll.BADDPERIODS(N530, "PER=WD", "NUMBEROFPERIODS=2", "BUSDAYADJ=-2", "CDR=GQ", "CDR=P9")</f>
        <v>45663</v>
      </c>
      <c r="P530" s="15" cm="1">
        <f t="array" ref="P530">_xll.BDH("XAG Curncy","PX_LAST",N530,N530)</f>
        <v>29.568999999999999</v>
      </c>
      <c r="Q530" s="15" t="str" cm="1">
        <f t="array" ref="Q530">_xll.BDP("SIH5 Comdty",$M$32)</f>
        <v>03/03/2025</v>
      </c>
      <c r="R530" s="15">
        <f t="shared" si="303"/>
        <v>56</v>
      </c>
      <c r="S530" s="23">
        <v>4.6199999999999998E-2</v>
      </c>
      <c r="T530" s="21">
        <f t="shared" si="242"/>
        <v>0.21250254666666665</v>
      </c>
      <c r="U530" s="12">
        <v>0.42</v>
      </c>
      <c r="V530" s="89">
        <f t="shared" si="285"/>
        <v>20.749745333333333</v>
      </c>
      <c r="W530" s="15">
        <v>15</v>
      </c>
      <c r="X530" s="15">
        <v>20</v>
      </c>
      <c r="Y530" s="15">
        <v>25</v>
      </c>
      <c r="Z530" s="18">
        <f t="shared" si="310"/>
        <v>21.250254666666667</v>
      </c>
      <c r="AA530" s="18">
        <f t="shared" si="311"/>
        <v>42</v>
      </c>
      <c r="AB530" s="18">
        <f t="shared" si="312"/>
        <v>20.749745333333333</v>
      </c>
      <c r="AE530" s="44" cm="1">
        <f t="array" ref="AE530">_xll.BDH("COMXGOLD Comdty","PX_Last", N530)</f>
        <v>21908776.258000001</v>
      </c>
      <c r="AF530" s="15" t="s">
        <v>47</v>
      </c>
      <c r="AG530" s="44" cm="1">
        <f t="array" ref="AG530">_xll.BDH(AF530,"FUT_AGGTE_OPEN_INT",A530)</f>
        <v>467335</v>
      </c>
      <c r="AH530" s="44">
        <f t="shared" si="313"/>
        <v>46733500</v>
      </c>
      <c r="AI530" s="48">
        <f t="shared" si="314"/>
        <v>0.46880238497009641</v>
      </c>
      <c r="AK530" s="44" cm="1">
        <f t="array" ref="AK530">_xll.BDH("COMXSILV Comdty","PX_Last", N530)</f>
        <v>318895.71999999997</v>
      </c>
      <c r="AL530" s="15" t="s">
        <v>48</v>
      </c>
      <c r="AM530" s="47" cm="1">
        <f t="array" ref="AM530">_xll.BDH(AL530,"FUT_AGGTE_OPEN_INT",A530)</f>
        <v>150988</v>
      </c>
      <c r="AN530" s="45">
        <f t="shared" si="315"/>
        <v>422.41200625215242</v>
      </c>
      <c r="AO530" s="46">
        <f t="shared" si="316"/>
        <v>31889571999.999996</v>
      </c>
      <c r="AP530" s="46">
        <f t="shared" si="317"/>
        <v>754940</v>
      </c>
    </row>
    <row r="531" spans="1:42" x14ac:dyDescent="0.2">
      <c r="A531" s="71">
        <v>45660</v>
      </c>
      <c r="B531" s="16" cm="1">
        <f t="array" ref="B531">_xll.BADDPERIODS(A531, "PER=WD", "NUMBEROFPERIODS=2", "BUSDAYADJ=-2", "CDR=GQ", "CDR=P9")</f>
        <v>45664</v>
      </c>
      <c r="C531" s="15" cm="1">
        <f t="array" ref="C531">_xll.BDH("XAU Curncy","PX_LAST",A531,A531)</f>
        <v>2640.22</v>
      </c>
      <c r="D531" s="15" t="str" cm="1">
        <f t="array" ref="D531">_xll.BDP("GCG5 Comdty",$M$32)</f>
        <v>03/02/2025</v>
      </c>
      <c r="E531" s="15">
        <f t="shared" ref="E531" si="319">_xlfn.DAYS(D531,B531)</f>
        <v>27</v>
      </c>
      <c r="F531" s="23">
        <v>4.3999999999999997E-2</v>
      </c>
      <c r="G531" s="28">
        <f t="shared" si="244"/>
        <v>8.7127259999999982</v>
      </c>
      <c r="H531" s="12">
        <v>14.75</v>
      </c>
      <c r="I531" s="90">
        <f t="shared" si="275"/>
        <v>6.0372740000000018</v>
      </c>
      <c r="J531" s="26">
        <v>4</v>
      </c>
      <c r="K531" s="26">
        <v>6</v>
      </c>
      <c r="L531" s="26">
        <v>8</v>
      </c>
      <c r="N531" s="71">
        <v>45660</v>
      </c>
      <c r="O531" s="16" cm="1">
        <f t="array" ref="O531">_xll.BADDPERIODS(N531, "PER=WD", "NUMBEROFPERIODS=2", "BUSDAYADJ=-2", "CDR=GQ", "CDR=P9")</f>
        <v>45664</v>
      </c>
      <c r="P531" s="15" cm="1">
        <f t="array" ref="P531">_xll.BDH("XAG Curncy","PX_LAST",N531,N531)</f>
        <v>29.623000000000001</v>
      </c>
      <c r="Q531" s="15" t="str" cm="1">
        <f t="array" ref="Q531">_xll.BDP("SIH5 Comdty",$M$32)</f>
        <v>03/03/2025</v>
      </c>
      <c r="R531" s="15">
        <f t="shared" si="303"/>
        <v>55</v>
      </c>
      <c r="S531" s="23">
        <v>4.5999999999999999E-2</v>
      </c>
      <c r="T531" s="21">
        <f t="shared" ref="T531:T632" si="320">P531*(R531/360)*S531</f>
        <v>0.20818386111111112</v>
      </c>
      <c r="U531" s="12">
        <v>0.47</v>
      </c>
      <c r="V531" s="89">
        <f t="shared" si="285"/>
        <v>26.18161388888889</v>
      </c>
      <c r="W531" s="15">
        <v>15</v>
      </c>
      <c r="X531" s="15">
        <v>20</v>
      </c>
      <c r="Y531" s="15">
        <v>25</v>
      </c>
      <c r="Z531" s="18">
        <f t="shared" si="310"/>
        <v>20.818386111111113</v>
      </c>
      <c r="AA531" s="18">
        <f t="shared" si="311"/>
        <v>47</v>
      </c>
      <c r="AB531" s="18">
        <f t="shared" si="312"/>
        <v>26.18161388888889</v>
      </c>
      <c r="AE531" s="44" cm="1">
        <f t="array" ref="AE531">_xll.BDH("COMXGOLD Comdty","PX_Last", N531)</f>
        <v>21940766.258000001</v>
      </c>
      <c r="AF531" s="15" t="s">
        <v>47</v>
      </c>
      <c r="AG531" s="44" cm="1">
        <f t="array" ref="AG531">_xll.BDH(AF531,"FUT_AGGTE_OPEN_INT",A531)</f>
        <v>467129</v>
      </c>
      <c r="AH531" s="44">
        <f t="shared" si="313"/>
        <v>46712900</v>
      </c>
      <c r="AI531" s="48">
        <f t="shared" si="314"/>
        <v>0.4696939444564564</v>
      </c>
      <c r="AK531" s="44" cm="1">
        <f t="array" ref="AK531">_xll.BDH("COMXSILV Comdty","PX_Last", N531)</f>
        <v>319008.13</v>
      </c>
      <c r="AL531" s="15" t="s">
        <v>48</v>
      </c>
      <c r="AM531" s="47" cm="1">
        <f t="array" ref="AM531">_xll.BDH(AL531,"FUT_AGGTE_OPEN_INT",A531)</f>
        <v>150746</v>
      </c>
      <c r="AN531" s="45">
        <f t="shared" si="315"/>
        <v>423.23926339670703</v>
      </c>
      <c r="AO531" s="46">
        <f t="shared" si="316"/>
        <v>31900813000</v>
      </c>
      <c r="AP531" s="46">
        <f t="shared" si="317"/>
        <v>753730</v>
      </c>
    </row>
    <row r="532" spans="1:42" x14ac:dyDescent="0.2">
      <c r="A532" s="71">
        <v>45663</v>
      </c>
      <c r="B532" s="16" cm="1">
        <f t="array" ref="B532">_xll.BADDPERIODS(A532, "PER=WD", "NUMBEROFPERIODS=2", "BUSDAYADJ=-2", "CDR=GQ", "CDR=P9")</f>
        <v>45665</v>
      </c>
      <c r="C532" s="15" cm="1">
        <f t="array" ref="C532">_xll.BDH("XAU Curncy","PX_LAST",A532,A532)</f>
        <v>2636.47</v>
      </c>
      <c r="D532" s="15" t="str" cm="1">
        <f t="array" ref="D532">_xll.BDP("GCG5 Comdty",$M$32)</f>
        <v>03/02/2025</v>
      </c>
      <c r="E532" s="15">
        <f t="shared" ref="E532:E535" si="321">_xlfn.DAYS(D532,B532)</f>
        <v>26</v>
      </c>
      <c r="F532" s="23">
        <v>4.3700000000000003E-2</v>
      </c>
      <c r="G532" s="28">
        <f t="shared" si="244"/>
        <v>8.32099226111111</v>
      </c>
      <c r="H532" s="12">
        <v>11.75</v>
      </c>
      <c r="I532" s="90">
        <f t="shared" si="275"/>
        <v>3.42900773888889</v>
      </c>
      <c r="J532" s="26">
        <v>4</v>
      </c>
      <c r="K532" s="26">
        <v>6</v>
      </c>
      <c r="L532" s="26">
        <v>8</v>
      </c>
      <c r="N532" s="71">
        <v>45663</v>
      </c>
      <c r="O532" s="16" cm="1">
        <f t="array" ref="O532">_xll.BADDPERIODS(N532, "PER=WD", "NUMBEROFPERIODS=2", "BUSDAYADJ=-2", "CDR=GQ", "CDR=P9")</f>
        <v>45665</v>
      </c>
      <c r="P532" s="15" cm="1">
        <f t="array" ref="P532">_xll.BDH("XAG Curncy","PX_LAST",N532,N532)</f>
        <v>29.957000000000001</v>
      </c>
      <c r="Q532" s="15" t="str" cm="1">
        <f t="array" ref="Q532">_xll.BDP("SIH5 Comdty",$M$32)</f>
        <v>03/03/2025</v>
      </c>
      <c r="R532" s="15">
        <f t="shared" ref="R532:R535" si="322">_xlfn.DAYS(Q532,O532)</f>
        <v>54</v>
      </c>
      <c r="S532" s="23">
        <v>4.5999999999999999E-2</v>
      </c>
      <c r="T532" s="21">
        <f t="shared" si="320"/>
        <v>0.20670330000000001</v>
      </c>
      <c r="U532" s="12">
        <v>0.57999999999999996</v>
      </c>
      <c r="V532" s="89">
        <f t="shared" si="285"/>
        <v>37.329669999999993</v>
      </c>
      <c r="W532" s="15">
        <v>15</v>
      </c>
      <c r="X532" s="15">
        <v>20</v>
      </c>
      <c r="Y532" s="15">
        <v>25</v>
      </c>
      <c r="Z532" s="18">
        <f t="shared" ref="Z532:Z536" si="323">100*T532</f>
        <v>20.67033</v>
      </c>
      <c r="AA532" s="18">
        <f t="shared" si="311"/>
        <v>57.999999999999993</v>
      </c>
      <c r="AB532" s="18">
        <f t="shared" si="312"/>
        <v>37.329669999999993</v>
      </c>
      <c r="AE532" s="44" cm="1">
        <f t="array" ref="AE532">_xll.BDH("COMXGOLD Comdty","PX_Last", N532)</f>
        <v>21972508.258000001</v>
      </c>
      <c r="AF532" s="15" t="s">
        <v>47</v>
      </c>
      <c r="AG532" s="44" cm="1">
        <f t="array" ref="AG532">_xll.BDH(AF532,"FUT_AGGTE_OPEN_INT",A532)</f>
        <v>464000</v>
      </c>
      <c r="AH532" s="44">
        <f t="shared" ref="AH532:AH536" si="324">AG532*$AG$17</f>
        <v>46400000</v>
      </c>
      <c r="AI532" s="48">
        <f t="shared" ref="AI532:AI536" si="325">AE532/AH532</f>
        <v>0.47354543659482762</v>
      </c>
      <c r="AK532" s="44" cm="1">
        <f t="array" ref="AK532">_xll.BDH("COMXSILV Comdty","PX_Last", N532)</f>
        <v>317707.31</v>
      </c>
      <c r="AL532" s="15" t="s">
        <v>48</v>
      </c>
      <c r="AM532" s="47" cm="1">
        <f t="array" ref="AM532">_xll.BDH(AL532,"FUT_AGGTE_OPEN_INT",A532)</f>
        <v>151118</v>
      </c>
      <c r="AN532" s="45">
        <f t="shared" ref="AN532:AN536" si="326">(AO532/AP532)/100</f>
        <v>420.47580036792436</v>
      </c>
      <c r="AO532" s="46">
        <f t="shared" ref="AO532:AO536" si="327">AK532*100000</f>
        <v>31770731000</v>
      </c>
      <c r="AP532" s="46">
        <f t="shared" ref="AP532:AP536" si="328">(AM532*5000)/1000</f>
        <v>755590</v>
      </c>
    </row>
    <row r="533" spans="1:42" x14ac:dyDescent="0.2">
      <c r="A533" s="71">
        <v>45664</v>
      </c>
      <c r="B533" s="16" cm="1">
        <f t="array" ref="B533">_xll.BADDPERIODS(A533, "PER=WD", "NUMBEROFPERIODS=2", "BUSDAYADJ=-2", "CDR=GQ", "CDR=P9")</f>
        <v>45666</v>
      </c>
      <c r="C533" s="15" cm="1">
        <f t="array" ref="C533">_xll.BDH("XAU Curncy","PX_LAST",A533,A533)</f>
        <v>2648.59</v>
      </c>
      <c r="D533" s="15" t="str" cm="1">
        <f t="array" ref="D533">_xll.BDP("GCG5 Comdty",$M$32)</f>
        <v>03/02/2025</v>
      </c>
      <c r="E533" s="15">
        <f t="shared" si="321"/>
        <v>25</v>
      </c>
      <c r="F533" s="23">
        <v>4.3999999999999997E-2</v>
      </c>
      <c r="G533" s="28">
        <f t="shared" si="244"/>
        <v>8.092913888888889</v>
      </c>
      <c r="H533" s="12">
        <v>14</v>
      </c>
      <c r="I533" s="90">
        <f t="shared" si="275"/>
        <v>5.907086111111111</v>
      </c>
      <c r="J533" s="26">
        <v>4</v>
      </c>
      <c r="K533" s="26">
        <v>6</v>
      </c>
      <c r="L533" s="26">
        <v>8</v>
      </c>
      <c r="N533" s="71">
        <v>45664</v>
      </c>
      <c r="O533" s="16" cm="1">
        <f t="array" ref="O533">_xll.BADDPERIODS(N533, "PER=WD", "NUMBEROFPERIODS=2", "BUSDAYADJ=-2", "CDR=GQ", "CDR=P9")</f>
        <v>45666</v>
      </c>
      <c r="P533" s="15" cm="1">
        <f t="array" ref="P533">_xll.BDH("XAG Curncy","PX_LAST",N533,N533)</f>
        <v>30.051200000000001</v>
      </c>
      <c r="Q533" s="15" t="str" cm="1">
        <f t="array" ref="Q533">_xll.BDP("SIH5 Comdty",$M$32)</f>
        <v>03/03/2025</v>
      </c>
      <c r="R533" s="15">
        <f t="shared" si="322"/>
        <v>53</v>
      </c>
      <c r="S533" s="23">
        <v>4.3999999999999997E-2</v>
      </c>
      <c r="T533" s="21">
        <f t="shared" si="320"/>
        <v>0.19466499555555555</v>
      </c>
      <c r="U533" s="12">
        <v>0.62</v>
      </c>
      <c r="V533" s="89">
        <f t="shared" si="285"/>
        <v>42.533500444444442</v>
      </c>
      <c r="W533" s="15">
        <v>15</v>
      </c>
      <c r="X533" s="15">
        <v>20</v>
      </c>
      <c r="Y533" s="15">
        <v>25</v>
      </c>
      <c r="Z533" s="18">
        <f t="shared" si="323"/>
        <v>19.466499555555554</v>
      </c>
      <c r="AA533" s="18">
        <f t="shared" si="311"/>
        <v>62</v>
      </c>
      <c r="AB533" s="18">
        <f t="shared" si="312"/>
        <v>42.533500444444442</v>
      </c>
      <c r="AE533" s="44" cm="1">
        <f t="array" ref="AE533">_xll.BDH("COMXGOLD Comdty","PX_Last", N533)</f>
        <v>21972508.258000001</v>
      </c>
      <c r="AF533" s="15" t="s">
        <v>47</v>
      </c>
      <c r="AG533" s="44" cm="1">
        <f t="array" ref="AG533">_xll.BDH(AF533,"FUT_AGGTE_OPEN_INT",A533)</f>
        <v>477043</v>
      </c>
      <c r="AH533" s="44">
        <f t="shared" si="324"/>
        <v>47704300</v>
      </c>
      <c r="AI533" s="48">
        <f t="shared" si="325"/>
        <v>0.46059806470276266</v>
      </c>
      <c r="AK533" s="44" cm="1">
        <f t="array" ref="AK533">_xll.BDH("COMXSILV Comdty","PX_Last", N533)</f>
        <v>320047.90999999997</v>
      </c>
      <c r="AL533" s="15" t="s">
        <v>48</v>
      </c>
      <c r="AM533" s="47" cm="1">
        <f t="array" ref="AM533">_xll.BDH(AL533,"FUT_AGGTE_OPEN_INT",A533)</f>
        <v>151590</v>
      </c>
      <c r="AN533" s="45">
        <f t="shared" si="326"/>
        <v>422.25464740418226</v>
      </c>
      <c r="AO533" s="46">
        <f t="shared" si="327"/>
        <v>32004790999.999996</v>
      </c>
      <c r="AP533" s="46">
        <f t="shared" si="328"/>
        <v>757950</v>
      </c>
    </row>
    <row r="534" spans="1:42" x14ac:dyDescent="0.2">
      <c r="A534" s="71">
        <v>45665</v>
      </c>
      <c r="B534" s="16" cm="1">
        <f t="array" ref="B534">_xll.BADDPERIODS(A534, "PER=WD", "NUMBEROFPERIODS=2", "BUSDAYADJ=-2", "CDR=GQ", "CDR=P9")</f>
        <v>45667</v>
      </c>
      <c r="C534" s="15" cm="1">
        <f t="array" ref="C534">_xll.BDH("XAU Curncy","PX_LAST",A534,A534)</f>
        <v>2661.94</v>
      </c>
      <c r="D534" s="15" t="str" cm="1">
        <f t="array" ref="D534">_xll.BDP("GCG5 Comdty",$M$32)</f>
        <v>03/02/2025</v>
      </c>
      <c r="E534" s="15">
        <f t="shared" si="321"/>
        <v>24</v>
      </c>
      <c r="F534" s="23">
        <v>4.3499999999999997E-2</v>
      </c>
      <c r="G534" s="28">
        <f t="shared" si="244"/>
        <v>7.7196259999999999</v>
      </c>
      <c r="H534" s="12">
        <v>16.25</v>
      </c>
      <c r="I534" s="90">
        <f t="shared" si="275"/>
        <v>8.5303740000000001</v>
      </c>
      <c r="J534" s="26">
        <v>4</v>
      </c>
      <c r="K534" s="26">
        <v>6</v>
      </c>
      <c r="L534" s="26">
        <v>8</v>
      </c>
      <c r="N534" s="71">
        <v>45665</v>
      </c>
      <c r="O534" s="16" cm="1">
        <f t="array" ref="O534">_xll.BADDPERIODS(N534, "PER=WD", "NUMBEROFPERIODS=2", "BUSDAYADJ=-2", "CDR=GQ", "CDR=P9")</f>
        <v>45667</v>
      </c>
      <c r="P534" s="15" cm="1">
        <f t="array" ref="P534">_xll.BDH("XAG Curncy","PX_LAST",N534,N534)</f>
        <v>30.104500000000002</v>
      </c>
      <c r="Q534" s="15" t="str" cm="1">
        <f t="array" ref="Q534">_xll.BDP("SIH5 Comdty",$M$32)</f>
        <v>03/03/2025</v>
      </c>
      <c r="R534" s="15">
        <f t="shared" si="322"/>
        <v>52</v>
      </c>
      <c r="S534" s="23">
        <v>4.2000000000000003E-2</v>
      </c>
      <c r="T534" s="21">
        <f t="shared" si="320"/>
        <v>0.18263396666666665</v>
      </c>
      <c r="U534" s="12">
        <v>0.71</v>
      </c>
      <c r="V534" s="89">
        <f t="shared" si="285"/>
        <v>52.736603333333335</v>
      </c>
      <c r="W534" s="15">
        <v>15</v>
      </c>
      <c r="X534" s="15">
        <v>20</v>
      </c>
      <c r="Y534" s="15">
        <v>25</v>
      </c>
      <c r="Z534" s="18">
        <f t="shared" si="323"/>
        <v>18.263396666666665</v>
      </c>
      <c r="AA534" s="18">
        <f t="shared" si="311"/>
        <v>71</v>
      </c>
      <c r="AB534" s="18">
        <f t="shared" si="312"/>
        <v>52.736603333333335</v>
      </c>
      <c r="AE534" s="44" cm="1">
        <f t="array" ref="AE534">_xll.BDH("COMXGOLD Comdty","PX_Last", N534)</f>
        <v>22106900.557</v>
      </c>
      <c r="AF534" s="15" t="s">
        <v>47</v>
      </c>
      <c r="AG534" s="44" cm="1">
        <f t="array" ref="AG534">_xll.BDH(AF534,"FUT_AGGTE_OPEN_INT",A534)</f>
        <v>481858</v>
      </c>
      <c r="AH534" s="44">
        <f t="shared" si="324"/>
        <v>48185800</v>
      </c>
      <c r="AI534" s="48">
        <f t="shared" si="325"/>
        <v>0.45878454974287031</v>
      </c>
      <c r="AK534" s="44" cm="1">
        <f t="array" ref="AK534">_xll.BDH("COMXSILV Comdty","PX_Last", N534)</f>
        <v>322563.94</v>
      </c>
      <c r="AL534" s="15" t="s">
        <v>48</v>
      </c>
      <c r="AM534" s="47" cm="1">
        <f t="array" ref="AM534">_xll.BDH(AL534,"FUT_AGGTE_OPEN_INT",A534)</f>
        <v>151843</v>
      </c>
      <c r="AN534" s="45">
        <f t="shared" si="326"/>
        <v>424.86507774477582</v>
      </c>
      <c r="AO534" s="46">
        <f t="shared" si="327"/>
        <v>32256394000</v>
      </c>
      <c r="AP534" s="46">
        <f t="shared" si="328"/>
        <v>759215</v>
      </c>
    </row>
    <row r="535" spans="1:42" x14ac:dyDescent="0.2">
      <c r="A535" s="71">
        <v>45666</v>
      </c>
      <c r="B535" s="16" cm="1">
        <f t="array" ref="B535">_xll.BADDPERIODS(A535, "PER=WD", "NUMBEROFPERIODS=2", "BUSDAYADJ=-2", "CDR=GQ", "CDR=P9")</f>
        <v>45670</v>
      </c>
      <c r="C535" s="15" cm="1">
        <f t="array" ref="C535">_xll.BDH("XAU Curncy","PX_LAST",A535,A535)</f>
        <v>2667.25</v>
      </c>
      <c r="D535" s="15" t="str" cm="1">
        <f t="array" ref="D535">_xll.BDP("GCG5 Comdty",$M$32)</f>
        <v>03/02/2025</v>
      </c>
      <c r="E535" s="15">
        <f t="shared" si="321"/>
        <v>21</v>
      </c>
      <c r="F535" s="23">
        <v>4.2000000000000003E-2</v>
      </c>
      <c r="G535" s="28">
        <f t="shared" si="244"/>
        <v>6.5347625000000003</v>
      </c>
      <c r="H535" s="12">
        <v>19.5</v>
      </c>
      <c r="I535" s="90">
        <f t="shared" si="275"/>
        <v>12.965237500000001</v>
      </c>
      <c r="J535" s="26">
        <v>4</v>
      </c>
      <c r="K535" s="26">
        <v>6</v>
      </c>
      <c r="L535" s="26">
        <v>8</v>
      </c>
      <c r="N535" s="71">
        <v>45666</v>
      </c>
      <c r="O535" s="16" cm="1">
        <f t="array" ref="O535">_xll.BADDPERIODS(N535, "PER=WD", "NUMBEROFPERIODS=2", "BUSDAYADJ=-2", "CDR=GQ", "CDR=P9")</f>
        <v>45670</v>
      </c>
      <c r="P535" s="15" cm="1">
        <f t="array" ref="P535">_xll.BDH("XAG Curncy","PX_LAST",N535,N535)</f>
        <v>30.133500000000002</v>
      </c>
      <c r="Q535" s="15" t="str" cm="1">
        <f t="array" ref="Q535">_xll.BDP("SIH5 Comdty",$M$32)</f>
        <v>03/03/2025</v>
      </c>
      <c r="R535" s="15">
        <f t="shared" si="322"/>
        <v>49</v>
      </c>
      <c r="S535" s="23">
        <v>3.85E-2</v>
      </c>
      <c r="T535" s="21">
        <f t="shared" si="320"/>
        <v>0.15790791041666666</v>
      </c>
      <c r="U535" s="12">
        <v>0.8</v>
      </c>
      <c r="V535" s="89">
        <f t="shared" si="285"/>
        <v>64.209208958333335</v>
      </c>
      <c r="W535" s="15">
        <v>15</v>
      </c>
      <c r="X535" s="15">
        <v>20</v>
      </c>
      <c r="Y535" s="15">
        <v>25</v>
      </c>
      <c r="Z535" s="18">
        <f t="shared" si="323"/>
        <v>15.790791041666665</v>
      </c>
      <c r="AA535" s="18">
        <f t="shared" si="311"/>
        <v>80</v>
      </c>
      <c r="AB535" s="18">
        <f t="shared" si="312"/>
        <v>64.209208958333335</v>
      </c>
      <c r="AE535" s="44" cm="1">
        <f t="array" ref="AE535">_xll.BDH("COMXGOLD Comdty","PX_Last", N535)</f>
        <v>22248361.008000001</v>
      </c>
      <c r="AF535" s="15" t="s">
        <v>47</v>
      </c>
      <c r="AG535" s="44" cm="1">
        <f t="array" ref="AG535">_xll.BDH(AF535,"FUT_AGGTE_OPEN_INT",A535)</f>
        <v>489745</v>
      </c>
      <c r="AH535" s="44">
        <f t="shared" si="324"/>
        <v>48974500</v>
      </c>
      <c r="AI535" s="48">
        <f t="shared" si="325"/>
        <v>0.45428459724958908</v>
      </c>
      <c r="AK535" s="44" cm="1">
        <f t="array" ref="AK535">_xll.BDH("COMXSILV Comdty","PX_Last", N535)</f>
        <v>322899.94</v>
      </c>
      <c r="AL535" s="15" t="s">
        <v>48</v>
      </c>
      <c r="AM535" s="47" cm="1">
        <f t="array" ref="AM535">_xll.BDH(AL535,"FUT_AGGTE_OPEN_INT",A535)</f>
        <v>150926</v>
      </c>
      <c r="AN535" s="45">
        <f t="shared" si="326"/>
        <v>427.89173502246138</v>
      </c>
      <c r="AO535" s="46">
        <f t="shared" si="327"/>
        <v>32289994000</v>
      </c>
      <c r="AP535" s="46">
        <f t="shared" si="328"/>
        <v>754630</v>
      </c>
    </row>
    <row r="536" spans="1:42" x14ac:dyDescent="0.2">
      <c r="A536" s="71">
        <v>45667</v>
      </c>
      <c r="B536" s="16" cm="1">
        <f t="array" ref="B536">_xll.BADDPERIODS(A536, "PER=WD", "NUMBEROFPERIODS=2", "BUSDAYADJ=-2", "CDR=GQ", "CDR=P9")</f>
        <v>45671</v>
      </c>
      <c r="C536" s="15" cm="1">
        <f t="array" ref="C536">_xll.BDH("XAU Curncy","PX_LAST",A536,A536)</f>
        <v>2689.76</v>
      </c>
      <c r="D536" s="15" t="str" cm="1">
        <f t="array" ref="D536">_xll.BDP("GCG5 Comdty",$M$32)</f>
        <v>03/02/2025</v>
      </c>
      <c r="E536" s="15">
        <f t="shared" ref="E536" si="329">_xlfn.DAYS(D536,B536)</f>
        <v>20</v>
      </c>
      <c r="F536" s="23">
        <v>3.9E-2</v>
      </c>
      <c r="G536" s="28">
        <f t="shared" si="244"/>
        <v>5.8278133333333333</v>
      </c>
      <c r="H536" s="12">
        <v>37</v>
      </c>
      <c r="I536" s="91">
        <f t="shared" si="275"/>
        <v>31.172186666666668</v>
      </c>
      <c r="J536" s="26">
        <v>4</v>
      </c>
      <c r="K536" s="26">
        <v>6</v>
      </c>
      <c r="L536" s="26">
        <v>8</v>
      </c>
      <c r="M536" s="15"/>
      <c r="N536" s="71">
        <v>45667</v>
      </c>
      <c r="O536" s="16" cm="1">
        <f t="array" ref="O536">_xll.BADDPERIODS(N536, "PER=WD", "NUMBEROFPERIODS=2", "BUSDAYADJ=-2", "CDR=GQ", "CDR=P9")</f>
        <v>45671</v>
      </c>
      <c r="P536" s="15" cm="1">
        <f t="array" ref="P536">_xll.BDH("XAG Curncy","PX_LAST",N536,N536)</f>
        <v>30.407699999999998</v>
      </c>
      <c r="Q536" s="15" t="str" cm="1">
        <f t="array" ref="Q536">_xll.BDP("SIH5 Comdty",$M$32)</f>
        <v>03/03/2025</v>
      </c>
      <c r="R536" s="15">
        <f t="shared" ref="R536" si="330">_xlfn.DAYS(Q536,O536)</f>
        <v>48</v>
      </c>
      <c r="S536" s="23">
        <v>3.5999999999999997E-2</v>
      </c>
      <c r="T536" s="21">
        <f t="shared" si="320"/>
        <v>0.14595696</v>
      </c>
      <c r="U536" s="12">
        <v>0.9</v>
      </c>
      <c r="V536" s="92">
        <f t="shared" si="285"/>
        <v>75.404303999999996</v>
      </c>
      <c r="W536" s="15">
        <v>15</v>
      </c>
      <c r="X536" s="15">
        <v>20</v>
      </c>
      <c r="Y536" s="15">
        <v>25</v>
      </c>
      <c r="Z536" s="18">
        <f t="shared" si="323"/>
        <v>14.595696</v>
      </c>
      <c r="AA536" s="18">
        <f t="shared" si="311"/>
        <v>90</v>
      </c>
      <c r="AB536" s="18">
        <f t="shared" si="312"/>
        <v>75.404303999999996</v>
      </c>
      <c r="AE536" s="44" cm="1">
        <f t="array" ref="AE536">_xll.BDH("COMXGOLD Comdty","PX_Last", N536)</f>
        <v>22404287.715</v>
      </c>
      <c r="AF536" s="15" t="s">
        <v>47</v>
      </c>
      <c r="AG536" s="44" cm="1">
        <f t="array" ref="AG536">_xll.BDH(AF536,"FUT_AGGTE_OPEN_INT",A536)</f>
        <v>499105</v>
      </c>
      <c r="AH536" s="44">
        <f t="shared" si="324"/>
        <v>49910500</v>
      </c>
      <c r="AI536" s="48">
        <f t="shared" si="325"/>
        <v>0.44888926608629448</v>
      </c>
      <c r="AK536" s="44" cm="1">
        <f t="array" ref="AK536">_xll.BDH("COMXSILV Comdty","PX_Last", N536)</f>
        <v>324448.46999999997</v>
      </c>
      <c r="AL536" s="15" t="s">
        <v>48</v>
      </c>
      <c r="AM536" s="47" cm="1">
        <f t="array" ref="AM536">_xll.BDH(AL536,"FUT_AGGTE_OPEN_INT",A536)</f>
        <v>152041</v>
      </c>
      <c r="AN536" s="45">
        <f t="shared" si="326"/>
        <v>426.79076038700083</v>
      </c>
      <c r="AO536" s="46">
        <f t="shared" si="327"/>
        <v>32444846999.999996</v>
      </c>
      <c r="AP536" s="46">
        <f t="shared" si="328"/>
        <v>760205</v>
      </c>
    </row>
    <row r="537" spans="1:42" x14ac:dyDescent="0.2">
      <c r="A537" s="71">
        <v>45670</v>
      </c>
      <c r="B537" s="16" cm="1">
        <f t="array" ref="B537">_xll.BADDPERIODS(A537, "PER=WD", "NUMBEROFPERIODS=2", "BUSDAYADJ=-2", "CDR=GQ", "CDR=P9")</f>
        <v>45672</v>
      </c>
      <c r="C537" s="15" cm="1">
        <f t="array" ref="C537">_xll.BDH("XAU Curncy","PX_LAST",A537,A537)</f>
        <v>2663.16</v>
      </c>
      <c r="D537" s="15" t="str" cm="1">
        <f t="array" ref="D537">_xll.BDP("GCG5 Comdty",$M$32)</f>
        <v>03/02/2025</v>
      </c>
      <c r="E537" s="15">
        <f t="shared" ref="E537" si="331">_xlfn.DAYS(D537,B537)</f>
        <v>19</v>
      </c>
      <c r="F537" s="23">
        <v>3.5000000000000003E-2</v>
      </c>
      <c r="G537" s="28">
        <f t="shared" si="244"/>
        <v>4.9194483333333334</v>
      </c>
      <c r="H537" s="12">
        <v>21</v>
      </c>
      <c r="I537" s="93">
        <f t="shared" si="275"/>
        <v>16.080551666666665</v>
      </c>
      <c r="J537" s="26">
        <v>4</v>
      </c>
      <c r="K537" s="26">
        <v>6</v>
      </c>
      <c r="L537" s="26">
        <v>8</v>
      </c>
      <c r="N537" s="71">
        <v>45670</v>
      </c>
      <c r="O537" s="16" cm="1">
        <f t="array" ref="O537">_xll.BADDPERIODS(N537, "PER=WD", "NUMBEROFPERIODS=2", "BUSDAYADJ=-2", "CDR=GQ", "CDR=P9")</f>
        <v>45672</v>
      </c>
      <c r="P537" s="15" cm="1">
        <f t="array" ref="P537">_xll.BDH("XAG Curncy","PX_LAST",N537,N537)</f>
        <v>29.613199999999999</v>
      </c>
      <c r="Q537" s="15" t="str" cm="1">
        <f t="array" ref="Q537">_xll.BDP("SIH5 Comdty",$M$32)</f>
        <v>03/03/2025</v>
      </c>
      <c r="R537" s="15">
        <f t="shared" ref="R537:R541" si="332">_xlfn.DAYS(Q537,O537)</f>
        <v>47</v>
      </c>
      <c r="S537" s="23">
        <v>3.7499999999999999E-2</v>
      </c>
      <c r="T537" s="21">
        <f t="shared" si="320"/>
        <v>0.14498129166666668</v>
      </c>
      <c r="U537" s="12">
        <v>0.72</v>
      </c>
      <c r="V537" s="95">
        <f t="shared" si="285"/>
        <v>57.501870833333335</v>
      </c>
      <c r="W537" s="15">
        <v>15</v>
      </c>
      <c r="X537" s="15">
        <v>20</v>
      </c>
      <c r="Y537" s="15">
        <v>25</v>
      </c>
      <c r="Z537" s="18">
        <f t="shared" ref="Z537:Z556" si="333">100*T537</f>
        <v>14.498129166666669</v>
      </c>
      <c r="AA537" s="18">
        <f t="shared" ref="AA537:AA559" si="334">U537*100</f>
        <v>72</v>
      </c>
      <c r="AB537" s="18">
        <f t="shared" ref="AB537:AB559" si="335">V537</f>
        <v>57.501870833333335</v>
      </c>
      <c r="AE537" s="44" cm="1">
        <f t="array" ref="AE537">_xll.BDH("COMXGOLD Comdty","PX_Last", N537)</f>
        <v>22468904.155000001</v>
      </c>
      <c r="AF537" s="15" t="s">
        <v>47</v>
      </c>
      <c r="AG537" s="44" cm="1">
        <f t="array" ref="AG537">_xll.BDH(AF537,"FUT_AGGTE_OPEN_INT",A537)</f>
        <v>504889</v>
      </c>
      <c r="AH537" s="44">
        <f t="shared" ref="AH537:AH541" si="336">AG537*$AG$17</f>
        <v>50488900</v>
      </c>
      <c r="AI537" s="48">
        <f t="shared" ref="AI537:AI541" si="337">AE537/AH537</f>
        <v>0.44502661287926654</v>
      </c>
      <c r="AK537" s="44" cm="1">
        <f t="array" ref="AK537">_xll.BDH("COMXSILV Comdty","PX_Last", N537)</f>
        <v>324534.5</v>
      </c>
      <c r="AL537" s="15" t="s">
        <v>48</v>
      </c>
      <c r="AM537" s="47" cm="1">
        <f t="array" ref="AM537">_xll.BDH(AL537,"FUT_AGGTE_OPEN_INT",A537)</f>
        <v>150040</v>
      </c>
      <c r="AN537" s="45">
        <f t="shared" ref="AN537:AN541" si="338">(AO537/AP537)/100</f>
        <v>432.59730738469739</v>
      </c>
      <c r="AO537" s="46">
        <f t="shared" ref="AO537:AO541" si="339">AK537*100000</f>
        <v>32453450000</v>
      </c>
      <c r="AP537" s="46">
        <f t="shared" ref="AP537:AP541" si="340">(AM537*5000)/1000</f>
        <v>750200</v>
      </c>
    </row>
    <row r="538" spans="1:42" x14ac:dyDescent="0.2">
      <c r="A538" s="71">
        <v>45671</v>
      </c>
      <c r="B538" s="16" cm="1">
        <f t="array" ref="B538">_xll.BADDPERIODS(A538, "PER=WD", "NUMBEROFPERIODS=2", "BUSDAYADJ=-2", "CDR=GQ", "CDR=P9")</f>
        <v>45673</v>
      </c>
      <c r="C538" s="15" cm="1">
        <f t="array" ref="C538">_xll.BDH("XAU Curncy","PX_LAST",A538,A538)</f>
        <v>2677.46</v>
      </c>
      <c r="D538" s="15" t="str" cm="1">
        <f t="array" ref="D538">_xll.BDP("GCG5 Comdty",$M$32)</f>
        <v>03/02/2025</v>
      </c>
      <c r="E538" s="15">
        <f t="shared" ref="E538:E541" si="341">_xlfn.DAYS(D538,B538)</f>
        <v>18</v>
      </c>
      <c r="F538" s="23">
        <v>3.5000000000000003E-2</v>
      </c>
      <c r="G538" s="28">
        <f t="shared" si="244"/>
        <v>4.6855550000000008</v>
      </c>
      <c r="H538" s="12">
        <v>14</v>
      </c>
      <c r="I538" s="94">
        <f t="shared" si="275"/>
        <v>9.3144449999999992</v>
      </c>
      <c r="J538" s="26">
        <v>4</v>
      </c>
      <c r="K538" s="26">
        <v>6</v>
      </c>
      <c r="L538" s="26">
        <v>8</v>
      </c>
      <c r="N538" s="71">
        <v>45671</v>
      </c>
      <c r="O538" s="16" cm="1">
        <f t="array" ref="O538">_xll.BADDPERIODS(N538, "PER=WD", "NUMBEROFPERIODS=2", "BUSDAYADJ=-2", "CDR=GQ", "CDR=P9")</f>
        <v>45673</v>
      </c>
      <c r="P538" s="15" cm="1">
        <f t="array" ref="P538">_xll.BDH("XAG Curncy","PX_LAST",N538,N538)</f>
        <v>29.903600000000001</v>
      </c>
      <c r="Q538" s="15" t="str" cm="1">
        <f t="array" ref="Q538">_xll.BDP("SIH5 Comdty",$M$32)</f>
        <v>03/03/2025</v>
      </c>
      <c r="R538" s="15">
        <f t="shared" si="332"/>
        <v>46</v>
      </c>
      <c r="S538" s="23">
        <v>3.7999999999999999E-2</v>
      </c>
      <c r="T538" s="21">
        <f t="shared" si="320"/>
        <v>0.14519859111111111</v>
      </c>
      <c r="U538" s="12">
        <v>0.57999999999999996</v>
      </c>
      <c r="V538" s="95">
        <f t="shared" si="285"/>
        <v>43.480140888888883</v>
      </c>
      <c r="W538" s="15">
        <v>15</v>
      </c>
      <c r="X538" s="15">
        <v>20</v>
      </c>
      <c r="Y538" s="15">
        <v>25</v>
      </c>
      <c r="Z538" s="18">
        <f t="shared" si="333"/>
        <v>14.51985911111111</v>
      </c>
      <c r="AA538" s="18">
        <f t="shared" si="334"/>
        <v>57.999999999999993</v>
      </c>
      <c r="AB538" s="18">
        <f t="shared" si="335"/>
        <v>43.480140888888883</v>
      </c>
      <c r="AE538" s="44" cm="1">
        <f t="array" ref="AE538">_xll.BDH("COMXGOLD Comdty","PX_Last", N538)</f>
        <v>22598053.765000001</v>
      </c>
      <c r="AF538" s="15" t="s">
        <v>47</v>
      </c>
      <c r="AG538" s="44" cm="1">
        <f t="array" ref="AG538">_xll.BDH(AF538,"FUT_AGGTE_OPEN_INT",A538)</f>
        <v>526467</v>
      </c>
      <c r="AH538" s="44">
        <f t="shared" si="336"/>
        <v>52646700</v>
      </c>
      <c r="AI538" s="48">
        <f t="shared" si="337"/>
        <v>0.42923970096891162</v>
      </c>
      <c r="AK538" s="44" cm="1">
        <f t="array" ref="AK538">_xll.BDH("COMXSILV Comdty","PX_Last", N538)</f>
        <v>327590.21999999997</v>
      </c>
      <c r="AL538" s="15" t="s">
        <v>48</v>
      </c>
      <c r="AM538" s="47" cm="1">
        <f t="array" ref="AM538">_xll.BDH(AL538,"FUT_AGGTE_OPEN_INT",A538)</f>
        <v>150364</v>
      </c>
      <c r="AN538" s="45">
        <f t="shared" si="338"/>
        <v>435.72958952940854</v>
      </c>
      <c r="AO538" s="46">
        <f t="shared" si="339"/>
        <v>32759021999.999996</v>
      </c>
      <c r="AP538" s="46">
        <f t="shared" si="340"/>
        <v>751820</v>
      </c>
    </row>
    <row r="539" spans="1:42" x14ac:dyDescent="0.2">
      <c r="A539" s="71">
        <v>45672</v>
      </c>
      <c r="B539" s="16" cm="1">
        <f t="array" ref="B539">_xll.BADDPERIODS(A539, "PER=WD", "NUMBEROFPERIODS=2", "BUSDAYADJ=-2", "CDR=GQ", "CDR=P9")</f>
        <v>45674</v>
      </c>
      <c r="C539" s="15" cm="1">
        <f t="array" ref="C539">_xll.BDH("XAU Curncy","PX_LAST",A539,A539)</f>
        <v>2696.32</v>
      </c>
      <c r="D539" s="15" t="str" cm="1">
        <f t="array" ref="D539">_xll.BDP("GCG5 Comdty",$M$32)</f>
        <v>03/02/2025</v>
      </c>
      <c r="E539" s="15">
        <f t="shared" si="341"/>
        <v>17</v>
      </c>
      <c r="F539" s="23">
        <v>1.4999999999999999E-2</v>
      </c>
      <c r="G539" s="28">
        <f t="shared" si="244"/>
        <v>1.9098933333333334</v>
      </c>
      <c r="H539" s="12">
        <v>23</v>
      </c>
      <c r="I539" s="94">
        <f t="shared" si="275"/>
        <v>21.090106666666667</v>
      </c>
      <c r="J539" s="26">
        <v>4</v>
      </c>
      <c r="K539" s="26">
        <v>6</v>
      </c>
      <c r="L539" s="26">
        <v>8</v>
      </c>
      <c r="N539" s="71">
        <v>45672</v>
      </c>
      <c r="O539" s="16" cm="1">
        <f t="array" ref="O539">_xll.BADDPERIODS(N539, "PER=WD", "NUMBEROFPERIODS=2", "BUSDAYADJ=-2", "CDR=GQ", "CDR=P9")</f>
        <v>45674</v>
      </c>
      <c r="P539" s="15" cm="1">
        <f t="array" ref="P539">_xll.BDH("XAG Curncy","PX_LAST",N539,N539)</f>
        <v>30.652999999999999</v>
      </c>
      <c r="Q539" s="15" t="str" cm="1">
        <f t="array" ref="Q539">_xll.BDP("SIH5 Comdty",$M$32)</f>
        <v>03/03/2025</v>
      </c>
      <c r="R539" s="15">
        <f t="shared" si="332"/>
        <v>45</v>
      </c>
      <c r="S539" s="23">
        <v>3.5499999999999997E-2</v>
      </c>
      <c r="T539" s="21">
        <f t="shared" si="320"/>
        <v>0.13602268749999999</v>
      </c>
      <c r="U539" s="12">
        <v>0.82</v>
      </c>
      <c r="V539" s="95">
        <f t="shared" si="285"/>
        <v>68.397731249999993</v>
      </c>
      <c r="W539" s="15">
        <v>15</v>
      </c>
      <c r="X539" s="15">
        <v>20</v>
      </c>
      <c r="Y539" s="15">
        <v>25</v>
      </c>
      <c r="Z539" s="18">
        <f t="shared" si="333"/>
        <v>13.602268749999999</v>
      </c>
      <c r="AA539" s="18">
        <f t="shared" si="334"/>
        <v>82</v>
      </c>
      <c r="AB539" s="18">
        <f t="shared" si="335"/>
        <v>68.397731249999993</v>
      </c>
      <c r="AE539" s="44" cm="1">
        <f t="array" ref="AE539">_xll.BDH("COMXGOLD Comdty","PX_Last", N539)</f>
        <v>23274190.438999999</v>
      </c>
      <c r="AF539" s="15" t="s">
        <v>47</v>
      </c>
      <c r="AG539" s="44" cm="1">
        <f t="array" ref="AG539">_xll.BDH(AF539,"FUT_AGGTE_OPEN_INT",A539)</f>
        <v>536035</v>
      </c>
      <c r="AH539" s="44">
        <f t="shared" si="336"/>
        <v>53603500</v>
      </c>
      <c r="AI539" s="48">
        <f t="shared" si="337"/>
        <v>0.43419161881220442</v>
      </c>
      <c r="AK539" s="44" cm="1">
        <f t="array" ref="AK539">_xll.BDH("COMXSILV Comdty","PX_Last", N539)</f>
        <v>328799.96999999997</v>
      </c>
      <c r="AL539" s="15" t="s">
        <v>48</v>
      </c>
      <c r="AM539" s="47" cm="1">
        <f t="array" ref="AM539">_xll.BDH(AL539,"FUT_AGGTE_OPEN_INT",A539)</f>
        <v>153216</v>
      </c>
      <c r="AN539" s="45">
        <f t="shared" si="338"/>
        <v>429.19795582706763</v>
      </c>
      <c r="AO539" s="46">
        <f t="shared" si="339"/>
        <v>32879996999.999996</v>
      </c>
      <c r="AP539" s="46">
        <f t="shared" si="340"/>
        <v>766080</v>
      </c>
    </row>
    <row r="540" spans="1:42" x14ac:dyDescent="0.2">
      <c r="A540" s="71">
        <v>45673</v>
      </c>
      <c r="B540" s="16" cm="1">
        <f t="array" ref="B540">_xll.BADDPERIODS(A540, "PER=WD", "NUMBEROFPERIODS=2", "BUSDAYADJ=-2", "CDR=GQ", "CDR=P9")</f>
        <v>45678</v>
      </c>
      <c r="C540" s="15" cm="1">
        <f t="array" ref="C540">_xll.BDH("XAU Curncy","PX_LAST",A540,A540)</f>
        <v>2714.31</v>
      </c>
      <c r="D540" s="15" t="str" cm="1">
        <f t="array" ref="D540">_xll.BDP("GCG5 Comdty",$M$32)</f>
        <v>03/02/2025</v>
      </c>
      <c r="E540" s="15">
        <f t="shared" si="341"/>
        <v>13</v>
      </c>
      <c r="F540" s="23">
        <v>-0.02</v>
      </c>
      <c r="G540" s="28">
        <f t="shared" si="244"/>
        <v>-1.9603349999999997</v>
      </c>
      <c r="H540" s="12">
        <v>31</v>
      </c>
      <c r="I540" s="94">
        <f t="shared" si="275"/>
        <v>32.960335000000001</v>
      </c>
      <c r="J540" s="26">
        <v>4</v>
      </c>
      <c r="K540" s="26">
        <v>6</v>
      </c>
      <c r="L540" s="26">
        <v>8</v>
      </c>
      <c r="N540" s="71">
        <v>45673</v>
      </c>
      <c r="O540" s="16" cm="1">
        <f t="array" ref="O540">_xll.BADDPERIODS(N540, "PER=WD", "NUMBEROFPERIODS=2", "BUSDAYADJ=-2", "CDR=GQ", "CDR=P9")</f>
        <v>45678</v>
      </c>
      <c r="P540" s="15" cm="1">
        <f t="array" ref="P540">_xll.BDH("XAG Curncy","PX_LAST",N540,N540)</f>
        <v>30.814499999999999</v>
      </c>
      <c r="Q540" s="15" t="str" cm="1">
        <f t="array" ref="Q540">_xll.BDP("SIH5 Comdty",$M$32)</f>
        <v>03/03/2025</v>
      </c>
      <c r="R540" s="15">
        <f t="shared" si="332"/>
        <v>41</v>
      </c>
      <c r="S540" s="23">
        <v>3.2000000000000001E-2</v>
      </c>
      <c r="T540" s="21">
        <f t="shared" si="320"/>
        <v>0.11230173333333333</v>
      </c>
      <c r="U540" s="12">
        <v>1.02</v>
      </c>
      <c r="V540" s="95">
        <f t="shared" si="285"/>
        <v>90.76982666666666</v>
      </c>
      <c r="W540" s="15">
        <v>15</v>
      </c>
      <c r="X540" s="15">
        <v>20</v>
      </c>
      <c r="Y540" s="15">
        <v>25</v>
      </c>
      <c r="Z540" s="18">
        <f t="shared" si="333"/>
        <v>11.230173333333333</v>
      </c>
      <c r="AA540" s="18">
        <f t="shared" si="334"/>
        <v>102</v>
      </c>
      <c r="AB540" s="18">
        <f t="shared" si="335"/>
        <v>90.76982666666666</v>
      </c>
      <c r="AE540" s="44" cm="1">
        <f t="array" ref="AE540">_xll.BDH("COMXGOLD Comdty","PX_Last", N540)</f>
        <v>23617539.489999998</v>
      </c>
      <c r="AF540" s="15" t="s">
        <v>47</v>
      </c>
      <c r="AG540" s="44" cm="1">
        <f t="array" ref="AG540">_xll.BDH(AF540,"FUT_AGGTE_OPEN_INT",A540)</f>
        <v>552464</v>
      </c>
      <c r="AH540" s="44">
        <f t="shared" si="336"/>
        <v>55246400</v>
      </c>
      <c r="AI540" s="48">
        <f t="shared" si="337"/>
        <v>0.42749463295345941</v>
      </c>
      <c r="AK540" s="44" cm="1">
        <f t="array" ref="AK540">_xll.BDH("COMXSILV Comdty","PX_Last", N540)</f>
        <v>329401.56</v>
      </c>
      <c r="AL540" s="15" t="s">
        <v>48</v>
      </c>
      <c r="AM540" s="47" cm="1">
        <f t="array" ref="AM540">_xll.BDH(AL540,"FUT_AGGTE_OPEN_INT",A540)</f>
        <v>154314</v>
      </c>
      <c r="AN540" s="45">
        <f t="shared" si="338"/>
        <v>426.92375286752986</v>
      </c>
      <c r="AO540" s="46">
        <f t="shared" si="339"/>
        <v>32940156000</v>
      </c>
      <c r="AP540" s="46">
        <f t="shared" si="340"/>
        <v>771570</v>
      </c>
    </row>
    <row r="541" spans="1:42" x14ac:dyDescent="0.2">
      <c r="A541" s="71">
        <v>45674</v>
      </c>
      <c r="B541" s="16" cm="1">
        <f t="array" ref="B541">_xll.BADDPERIODS(A541, "PER=WD", "NUMBEROFPERIODS=2", "BUSDAYADJ=-2", "CDR=GQ", "CDR=P9")</f>
        <v>45679</v>
      </c>
      <c r="C541" s="15" cm="1">
        <f t="array" ref="C541">_xll.BDH("XAU Curncy","PX_LAST",A541,A541)</f>
        <v>2703.25</v>
      </c>
      <c r="D541" s="15" t="str" cm="1">
        <f t="array" ref="D541">_xll.BDP("GCG5 Comdty",$M$32)</f>
        <v>03/02/2025</v>
      </c>
      <c r="E541" s="15">
        <f t="shared" si="341"/>
        <v>12</v>
      </c>
      <c r="F541" s="23">
        <v>-0.01</v>
      </c>
      <c r="G541" s="28">
        <f t="shared" ref="G541:G543" si="342">C541*(E541/360)*F541</f>
        <v>-0.90108333333333335</v>
      </c>
      <c r="H541" s="12">
        <v>44</v>
      </c>
      <c r="I541" s="94">
        <f t="shared" si="275"/>
        <v>44.901083333333332</v>
      </c>
      <c r="J541" s="26">
        <v>4</v>
      </c>
      <c r="K541" s="26">
        <v>6</v>
      </c>
      <c r="L541" s="26">
        <v>8</v>
      </c>
      <c r="N541" s="71">
        <v>45674</v>
      </c>
      <c r="O541" s="16" cm="1">
        <f t="array" ref="O541">_xll.BADDPERIODS(N541, "PER=WD", "NUMBEROFPERIODS=2", "BUSDAYADJ=-2", "CDR=GQ", "CDR=P9")</f>
        <v>45679</v>
      </c>
      <c r="P541" s="15" cm="1">
        <f t="array" ref="P541">_xll.BDH("XAG Curncy","PX_LAST",N541,N541)</f>
        <v>30.367000000000001</v>
      </c>
      <c r="Q541" s="15" t="str" cm="1">
        <f t="array" ref="Q541">_xll.BDP("SIH5 Comdty",$M$32)</f>
        <v>03/03/2025</v>
      </c>
      <c r="R541" s="15">
        <f t="shared" si="332"/>
        <v>40</v>
      </c>
      <c r="S541" s="23">
        <v>3.2000000000000001E-2</v>
      </c>
      <c r="T541" s="21">
        <f t="shared" si="320"/>
        <v>0.10797155555555556</v>
      </c>
      <c r="U541" s="12">
        <v>0.84</v>
      </c>
      <c r="V541" s="95">
        <f t="shared" si="285"/>
        <v>73.202844444444437</v>
      </c>
      <c r="W541" s="15">
        <v>15</v>
      </c>
      <c r="X541" s="15">
        <v>20</v>
      </c>
      <c r="Y541" s="15">
        <v>25</v>
      </c>
      <c r="Z541" s="18">
        <f t="shared" si="333"/>
        <v>10.797155555555555</v>
      </c>
      <c r="AA541" s="18">
        <f t="shared" si="334"/>
        <v>84</v>
      </c>
      <c r="AB541" s="18">
        <f t="shared" si="335"/>
        <v>73.202844444444437</v>
      </c>
      <c r="AE541" s="44" cm="1">
        <f t="array" ref="AE541">_xll.BDH("COMXGOLD Comdty","PX_Last", N541)</f>
        <v>24581865</v>
      </c>
      <c r="AF541" s="15" t="s">
        <v>47</v>
      </c>
      <c r="AG541" s="44" cm="1">
        <f t="array" ref="AG541">_xll.BDH(AF541,"FUT_AGGTE_OPEN_INT",A541)</f>
        <v>557933</v>
      </c>
      <c r="AH541" s="44">
        <f t="shared" si="336"/>
        <v>55793300</v>
      </c>
      <c r="AI541" s="48">
        <f t="shared" si="337"/>
        <v>0.44058811721120639</v>
      </c>
      <c r="AK541" s="44" cm="1">
        <f t="array" ref="AK541">_xll.BDH("COMXSILV Comdty","PX_Last", N541)</f>
        <v>330737.13</v>
      </c>
      <c r="AL541" s="15" t="s">
        <v>48</v>
      </c>
      <c r="AM541" s="47" cm="1">
        <f t="array" ref="AM541">_xll.BDH(AL541,"FUT_AGGTE_OPEN_INT",A541)</f>
        <v>155662</v>
      </c>
      <c r="AN541" s="45">
        <f t="shared" si="338"/>
        <v>424.942670658221</v>
      </c>
      <c r="AO541" s="46">
        <f t="shared" si="339"/>
        <v>33073713000</v>
      </c>
      <c r="AP541" s="46">
        <f t="shared" si="340"/>
        <v>778310</v>
      </c>
    </row>
    <row r="542" spans="1:42" x14ac:dyDescent="0.2">
      <c r="A542" s="71">
        <v>45677</v>
      </c>
      <c r="B542" s="16" cm="1">
        <f t="array" ref="B542">_xll.BADDPERIODS(A542, "PER=WD", "NUMBEROFPERIODS=2", "BUSDAYADJ=-2", "CDR=GQ", "CDR=P9")</f>
        <v>45679</v>
      </c>
      <c r="C542" s="15" cm="1">
        <f t="array" ref="C542">_xll.BDH("XAU Curncy","PX_LAST",A542,A542)</f>
        <v>2708.21</v>
      </c>
      <c r="D542" s="15" t="str" cm="1">
        <f t="array" ref="D542">_xll.BDP("GCG5 Comdty",$M$32)</f>
        <v>03/02/2025</v>
      </c>
      <c r="E542" s="15">
        <f t="shared" ref="E542:E543" si="343">_xlfn.DAYS(D542,B542)</f>
        <v>12</v>
      </c>
      <c r="F542" s="23">
        <v>-0.02</v>
      </c>
      <c r="G542" s="28">
        <f t="shared" si="342"/>
        <v>-1.8054733333333335</v>
      </c>
      <c r="H542" s="12">
        <v>42</v>
      </c>
      <c r="I542" s="96">
        <f t="shared" si="275"/>
        <v>43.805473333333332</v>
      </c>
      <c r="J542" s="26">
        <v>4</v>
      </c>
      <c r="K542" s="26">
        <v>6</v>
      </c>
      <c r="L542" s="26">
        <v>8</v>
      </c>
      <c r="M542" s="15"/>
      <c r="N542" s="71">
        <v>45677</v>
      </c>
      <c r="O542" s="16" cm="1">
        <f t="array" ref="O542">_xll.BADDPERIODS(N542, "PER=WD", "NUMBEROFPERIODS=2", "BUSDAYADJ=-2", "CDR=GQ", "CDR=P9")</f>
        <v>45679</v>
      </c>
      <c r="P542" s="15" cm="1">
        <f t="array" ref="P542">_xll.BDH("XAG Curncy","PX_LAST",N542,N542)</f>
        <v>30.543900000000001</v>
      </c>
      <c r="Q542" s="15" t="str" cm="1">
        <f t="array" ref="Q542">_xll.BDP("SIH5 Comdty",$M$32)</f>
        <v>03/03/2025</v>
      </c>
      <c r="R542" s="15">
        <f t="shared" ref="R542:R549" si="344">_xlfn.DAYS(Q542,O542)</f>
        <v>40</v>
      </c>
      <c r="S542" s="23">
        <v>2.8000000000000001E-2</v>
      </c>
      <c r="T542" s="21">
        <f t="shared" si="320"/>
        <v>9.5025466666666669E-2</v>
      </c>
      <c r="U542" s="12">
        <v>0.85</v>
      </c>
      <c r="V542" s="97">
        <f t="shared" si="285"/>
        <v>75.497453333333326</v>
      </c>
      <c r="W542" s="15">
        <v>15</v>
      </c>
      <c r="X542" s="15">
        <v>20</v>
      </c>
      <c r="Y542" s="15">
        <v>25</v>
      </c>
      <c r="Z542" s="18">
        <f t="shared" si="333"/>
        <v>9.5025466666666674</v>
      </c>
      <c r="AA542" s="18">
        <f t="shared" si="334"/>
        <v>85</v>
      </c>
      <c r="AB542" s="18">
        <f t="shared" si="335"/>
        <v>75.497453333333326</v>
      </c>
      <c r="AE542" s="44">
        <v>24581865</v>
      </c>
      <c r="AF542" s="15" t="s">
        <v>47</v>
      </c>
      <c r="AG542" s="44">
        <v>557933</v>
      </c>
      <c r="AH542" s="44">
        <v>55793300</v>
      </c>
      <c r="AI542" s="48">
        <v>0.44058811721120639</v>
      </c>
      <c r="AK542" s="44">
        <v>330737.13</v>
      </c>
      <c r="AL542" s="15" t="s">
        <v>48</v>
      </c>
      <c r="AM542" s="47">
        <v>155662</v>
      </c>
      <c r="AN542" s="45">
        <v>424.942670658221</v>
      </c>
      <c r="AO542" s="46">
        <v>33073713000</v>
      </c>
      <c r="AP542" s="46">
        <v>778310</v>
      </c>
    </row>
    <row r="543" spans="1:42" s="15" customFormat="1" x14ac:dyDescent="0.2">
      <c r="A543" s="71">
        <v>45678</v>
      </c>
      <c r="B543" s="16" cm="1">
        <f t="array" ref="B543">_xll.BADDPERIODS(A543, "PER=WD", "NUMBEROFPERIODS=2", "BUSDAYADJ=-2", "CDR=GQ", "CDR=P9")</f>
        <v>45680</v>
      </c>
      <c r="C543" s="15" cm="1">
        <f t="array" ref="C543">_xll.BDH("XAU Curncy","PX_LAST",A543,A543)</f>
        <v>2744.81</v>
      </c>
      <c r="D543" s="15" t="str" cm="1">
        <f t="array" ref="D543">_xll.BDP("GCG5 Comdty",$M$32)</f>
        <v>03/02/2025</v>
      </c>
      <c r="E543" s="15">
        <f t="shared" si="343"/>
        <v>11</v>
      </c>
      <c r="F543" s="23">
        <v>0.01</v>
      </c>
      <c r="G543" s="28">
        <f t="shared" si="342"/>
        <v>0.8386919444444445</v>
      </c>
      <c r="H543" s="22">
        <v>15</v>
      </c>
      <c r="I543" s="96">
        <f t="shared" si="275"/>
        <v>14.161308055555555</v>
      </c>
      <c r="J543" s="26">
        <v>4</v>
      </c>
      <c r="K543" s="26">
        <v>6</v>
      </c>
      <c r="L543" s="26">
        <v>8</v>
      </c>
      <c r="N543" s="71">
        <v>45678</v>
      </c>
      <c r="O543" s="16" cm="1">
        <f t="array" ref="O543">_xll.BADDPERIODS(N543, "PER=WD", "NUMBEROFPERIODS=2", "BUSDAYADJ=-2", "CDR=GQ", "CDR=P9")</f>
        <v>45680</v>
      </c>
      <c r="P543" s="15" cm="1">
        <f t="array" ref="P543">_xll.BDH("XAG Curncy","PX_LAST",N543,N543)</f>
        <v>30.780799999999999</v>
      </c>
      <c r="Q543" s="15" t="str" cm="1">
        <f t="array" ref="Q543">_xll.BDP("SIH5 Comdty",$M$32)</f>
        <v>03/03/2025</v>
      </c>
      <c r="R543" s="15">
        <f t="shared" si="344"/>
        <v>39</v>
      </c>
      <c r="S543" s="23">
        <v>3.5999999999999997E-2</v>
      </c>
      <c r="T543" s="21">
        <f t="shared" si="320"/>
        <v>0.12004511999999999</v>
      </c>
      <c r="U543" s="22">
        <v>0.7</v>
      </c>
      <c r="V543" s="97">
        <f t="shared" si="285"/>
        <v>57.995487999999995</v>
      </c>
      <c r="W543" s="15">
        <v>15</v>
      </c>
      <c r="X543" s="15">
        <v>20</v>
      </c>
      <c r="Y543" s="15">
        <v>25</v>
      </c>
      <c r="Z543" s="18">
        <f t="shared" si="333"/>
        <v>12.004511999999998</v>
      </c>
      <c r="AA543" s="18">
        <f t="shared" si="334"/>
        <v>70</v>
      </c>
      <c r="AB543" s="18">
        <f t="shared" si="335"/>
        <v>57.995487999999995</v>
      </c>
      <c r="AE543" s="44" cm="1">
        <f t="array" ref="AE543">_xll.BDH("COMXGOLD Comdty","PX_Last", N543)</f>
        <v>25885195.620000001</v>
      </c>
      <c r="AF543" s="15" t="s">
        <v>47</v>
      </c>
      <c r="AG543" s="44" cm="1">
        <f t="array" ref="AG543">_xll.BDH(AF543,"FUT_AGGTE_OPEN_INT",A543)</f>
        <v>571387</v>
      </c>
      <c r="AH543" s="44">
        <f t="shared" ref="AH543:AH551" si="345">AG543*$AG$17</f>
        <v>57138700</v>
      </c>
      <c r="AI543" s="48">
        <f t="shared" ref="AI543:AI551" si="346">AE543/AH543</f>
        <v>0.45302388083733092</v>
      </c>
      <c r="AK543" s="44" cm="1">
        <f t="array" ref="AK543">_xll.BDH("COMXSILV Comdty","PX_Last", N543)</f>
        <v>334317.53000000003</v>
      </c>
      <c r="AL543" s="15" t="s">
        <v>48</v>
      </c>
      <c r="AM543" s="47" cm="1">
        <f t="array" ref="AM543">_xll.BDH(AL543,"FUT_AGGTE_OPEN_INT",A543)</f>
        <v>159899</v>
      </c>
      <c r="AN543" s="45">
        <f t="shared" ref="AN543:AN551" si="347">(AO543/AP543)/100</f>
        <v>418.16087655332433</v>
      </c>
      <c r="AO543" s="46">
        <f t="shared" ref="AO543:AO551" si="348">AK543*100000</f>
        <v>33431753000.000004</v>
      </c>
      <c r="AP543" s="46">
        <f t="shared" ref="AP543:AP551" si="349">(AM543*5000)/1000</f>
        <v>799495</v>
      </c>
    </row>
    <row r="544" spans="1:42" x14ac:dyDescent="0.2">
      <c r="A544" s="71">
        <v>45679</v>
      </c>
      <c r="B544" s="16" cm="1">
        <f t="array" ref="B544">_xll.BADDPERIODS(A544, "PER=WD", "NUMBEROFPERIODS=2", "BUSDAYADJ=-2", "CDR=GQ", "CDR=P9")</f>
        <v>45681</v>
      </c>
      <c r="C544" s="15" cm="1">
        <f t="array" ref="C544">_xll.BDH("XAU Curncy","PX_LAST",A544,A544)</f>
        <v>2756.48</v>
      </c>
      <c r="D544" s="15" t="str" cm="1">
        <f t="array" ref="D544">_xll.BDP("GCG5 Comdty",$M$32)</f>
        <v>03/02/2025</v>
      </c>
      <c r="E544" s="15">
        <f t="shared" ref="E544" si="350">_xlfn.DAYS(D544,B544)</f>
        <v>10</v>
      </c>
      <c r="F544" s="23">
        <v>-3.5000000000000003E-2</v>
      </c>
      <c r="G544" s="28">
        <f t="shared" ref="G544:G548" si="351">C544*(E544/360)*F544</f>
        <v>-2.6799111111111111</v>
      </c>
      <c r="H544" s="22">
        <v>15</v>
      </c>
      <c r="I544" s="94">
        <f t="shared" ref="I544:I561" si="352">H544-G544</f>
        <v>17.67991111111111</v>
      </c>
      <c r="J544" s="26">
        <v>4</v>
      </c>
      <c r="K544" s="26">
        <v>6</v>
      </c>
      <c r="L544" s="26">
        <v>8</v>
      </c>
      <c r="N544" s="71">
        <v>45679</v>
      </c>
      <c r="O544" s="16" cm="1">
        <f t="array" ref="O544">_xll.BADDPERIODS(N544, "PER=WD", "NUMBEROFPERIODS=2", "BUSDAYADJ=-2", "CDR=GQ", "CDR=P9")</f>
        <v>45681</v>
      </c>
      <c r="P544" s="15" cm="1">
        <f t="array" ref="P544">_xll.BDH("XAG Curncy","PX_LAST",N544,N544)</f>
        <v>30.828299999999999</v>
      </c>
      <c r="Q544" s="15" t="str" cm="1">
        <f t="array" ref="Q544">_xll.BDP("SIH5 Comdty",$M$32)</f>
        <v>03/03/2025</v>
      </c>
      <c r="R544" s="15">
        <f t="shared" si="344"/>
        <v>38</v>
      </c>
      <c r="S544" s="23">
        <v>3.5999999999999997E-2</v>
      </c>
      <c r="T544" s="21">
        <f t="shared" si="320"/>
        <v>0.11714753999999999</v>
      </c>
      <c r="U544" s="12">
        <v>0.6</v>
      </c>
      <c r="V544" s="97">
        <f t="shared" si="285"/>
        <v>48.285246000000001</v>
      </c>
      <c r="W544" s="15">
        <v>15</v>
      </c>
      <c r="X544" s="15">
        <v>20</v>
      </c>
      <c r="Y544" s="15">
        <v>25</v>
      </c>
      <c r="Z544" s="18">
        <f t="shared" si="333"/>
        <v>11.714753999999999</v>
      </c>
      <c r="AA544" s="18">
        <f t="shared" si="334"/>
        <v>60</v>
      </c>
      <c r="AB544" s="18">
        <f t="shared" si="335"/>
        <v>48.285246000000001</v>
      </c>
      <c r="AE544" s="44" cm="1">
        <f t="array" ref="AE544">_xll.BDH("COMXGOLD Comdty","PX_Last", N544)</f>
        <v>25877821.425999999</v>
      </c>
      <c r="AF544" s="15" t="s">
        <v>47</v>
      </c>
      <c r="AG544" s="44" cm="1">
        <f t="array" ref="AG544">_xll.BDH(AF544,"FUT_AGGTE_OPEN_INT",A544)</f>
        <v>581989</v>
      </c>
      <c r="AH544" s="44">
        <f t="shared" si="345"/>
        <v>58198900</v>
      </c>
      <c r="AI544" s="48">
        <f t="shared" si="346"/>
        <v>0.44464451091000001</v>
      </c>
      <c r="AK544" s="44" cm="1">
        <f t="array" ref="AK544">_xll.BDH("COMXSILV Comdty","PX_Last", N544)</f>
        <v>339669.28</v>
      </c>
      <c r="AL544" s="15" t="s">
        <v>48</v>
      </c>
      <c r="AM544" s="47" cm="1">
        <f t="array" ref="AM544">_xll.BDH(AL544,"FUT_AGGTE_OPEN_INT",A544)</f>
        <v>160809</v>
      </c>
      <c r="AN544" s="45">
        <f t="shared" si="347"/>
        <v>422.45058423346956</v>
      </c>
      <c r="AO544" s="46">
        <f t="shared" si="348"/>
        <v>33966928000.000004</v>
      </c>
      <c r="AP544" s="46">
        <f t="shared" si="349"/>
        <v>804045</v>
      </c>
    </row>
    <row r="545" spans="1:42" x14ac:dyDescent="0.2">
      <c r="A545" s="71">
        <v>45680</v>
      </c>
      <c r="B545" s="16" cm="1">
        <f t="array" ref="B545">_xll.BADDPERIODS(A545, "PER=WD", "NUMBEROFPERIODS=2", "BUSDAYADJ=-2", "CDR=GQ", "CDR=P9")</f>
        <v>45684</v>
      </c>
      <c r="C545" s="15" cm="1">
        <f t="array" ref="C545">_xll.BDH("XAU Curncy","PX_LAST",A545,A545)</f>
        <v>2754.87</v>
      </c>
      <c r="D545" s="15" t="str" cm="1">
        <f t="array" ref="D545">_xll.BDP("GCG5 Comdty",$M$32)</f>
        <v>03/02/2025</v>
      </c>
      <c r="E545" s="15">
        <f t="shared" ref="E545:E548" si="353">_xlfn.DAYS(D545,B545)</f>
        <v>7</v>
      </c>
      <c r="F545" s="23">
        <v>0</v>
      </c>
      <c r="G545" s="28">
        <f t="shared" si="351"/>
        <v>0</v>
      </c>
      <c r="H545" s="12">
        <v>7</v>
      </c>
      <c r="I545" s="96">
        <f t="shared" si="352"/>
        <v>7</v>
      </c>
      <c r="J545" s="26">
        <v>4</v>
      </c>
      <c r="K545" s="26">
        <v>6</v>
      </c>
      <c r="L545" s="26">
        <v>8</v>
      </c>
      <c r="N545" s="71">
        <v>45680</v>
      </c>
      <c r="O545" s="16" cm="1">
        <f t="array" ref="O545">_xll.BADDPERIODS(N545, "PER=WD", "NUMBEROFPERIODS=2", "BUSDAYADJ=-2", "CDR=GQ", "CDR=P9")</f>
        <v>45684</v>
      </c>
      <c r="P545" s="15" cm="1">
        <f t="array" ref="P545">_xll.BDH("XAG Curncy","PX_LAST",N545,N545)</f>
        <v>30.454000000000001</v>
      </c>
      <c r="Q545" s="15" t="str" cm="1">
        <f t="array" ref="Q545">_xll.BDP("SIH5 Comdty",$M$32)</f>
        <v>03/03/2025</v>
      </c>
      <c r="R545" s="15">
        <f t="shared" si="344"/>
        <v>35</v>
      </c>
      <c r="S545" s="23">
        <v>3.5999999999999997E-2</v>
      </c>
      <c r="T545" s="21">
        <f t="shared" si="320"/>
        <v>0.10658899999999999</v>
      </c>
      <c r="U545" s="12">
        <v>0.4</v>
      </c>
      <c r="V545" s="97">
        <f t="shared" si="285"/>
        <v>29.341100000000004</v>
      </c>
      <c r="W545" s="15">
        <v>15</v>
      </c>
      <c r="X545" s="15">
        <v>20</v>
      </c>
      <c r="Y545" s="15">
        <v>25</v>
      </c>
      <c r="Z545" s="18">
        <f t="shared" si="333"/>
        <v>10.658899999999999</v>
      </c>
      <c r="AA545" s="18">
        <f t="shared" si="334"/>
        <v>40</v>
      </c>
      <c r="AB545" s="18">
        <f t="shared" si="335"/>
        <v>29.341100000000004</v>
      </c>
      <c r="AE545" s="44" cm="1">
        <f t="array" ref="AE545">_xll.BDH("COMXGOLD Comdty","PX_Last", N545)</f>
        <v>26999100.728999998</v>
      </c>
      <c r="AF545" s="15" t="s">
        <v>47</v>
      </c>
      <c r="AG545" s="44" cm="1">
        <f t="array" ref="AG545">_xll.BDH(AF545,"FUT_AGGTE_OPEN_INT",A545)</f>
        <v>586555</v>
      </c>
      <c r="AH545" s="44">
        <f t="shared" si="345"/>
        <v>58655500</v>
      </c>
      <c r="AI545" s="48">
        <f t="shared" si="346"/>
        <v>0.46029955808065737</v>
      </c>
      <c r="AK545" s="44" cm="1">
        <f t="array" ref="AK545">_xll.BDH("COMXSILV Comdty","PX_Last", N545)</f>
        <v>341915.19</v>
      </c>
      <c r="AL545" s="15" t="s">
        <v>48</v>
      </c>
      <c r="AM545" s="47" cm="1">
        <f t="array" ref="AM545">_xll.BDH(AL545,"FUT_AGGTE_OPEN_INT",A545)</f>
        <v>162374</v>
      </c>
      <c r="AN545" s="45">
        <f t="shared" si="347"/>
        <v>421.14524492837523</v>
      </c>
      <c r="AO545" s="46">
        <f t="shared" si="348"/>
        <v>34191519000</v>
      </c>
      <c r="AP545" s="46">
        <f t="shared" si="349"/>
        <v>811870</v>
      </c>
    </row>
    <row r="546" spans="1:42" x14ac:dyDescent="0.2">
      <c r="A546" s="71">
        <v>45681</v>
      </c>
      <c r="B546" s="16" cm="1">
        <f t="array" ref="B546">_xll.BADDPERIODS(A546, "PER=WD", "NUMBEROFPERIODS=2", "BUSDAYADJ=-2", "CDR=GQ", "CDR=P9")</f>
        <v>45685</v>
      </c>
      <c r="C546" s="15" cm="1">
        <f t="array" ref="C546">_xll.BDH("XAU Curncy","PX_LAST",A546,A546)</f>
        <v>2770.58</v>
      </c>
      <c r="D546" s="15" t="str" cm="1">
        <f t="array" ref="D546">_xll.BDP("GCG5 Comdty",$M$32)</f>
        <v>03/02/2025</v>
      </c>
      <c r="E546" s="15">
        <f t="shared" si="353"/>
        <v>6</v>
      </c>
      <c r="F546" s="23">
        <v>0</v>
      </c>
      <c r="G546" s="28">
        <f t="shared" si="351"/>
        <v>0</v>
      </c>
      <c r="H546" s="12">
        <v>8</v>
      </c>
      <c r="I546" s="96">
        <f t="shared" si="352"/>
        <v>8</v>
      </c>
      <c r="J546" s="26">
        <v>4</v>
      </c>
      <c r="K546" s="26">
        <v>6</v>
      </c>
      <c r="L546" s="26">
        <v>8</v>
      </c>
      <c r="N546" s="71">
        <v>45681</v>
      </c>
      <c r="O546" s="16" cm="1">
        <f t="array" ref="O546">_xll.BADDPERIODS(N546, "PER=WD", "NUMBEROFPERIODS=2", "BUSDAYADJ=-2", "CDR=GQ", "CDR=P9")</f>
        <v>45685</v>
      </c>
      <c r="P546" s="15" cm="1">
        <f t="array" ref="P546">_xll.BDH("XAG Curncy","PX_LAST",N546,N546)</f>
        <v>30.585000000000001</v>
      </c>
      <c r="Q546" s="15" t="str" cm="1">
        <f t="array" ref="Q546">_xll.BDP("SIH5 Comdty",$M$32)</f>
        <v>03/03/2025</v>
      </c>
      <c r="R546" s="15">
        <f t="shared" si="344"/>
        <v>34</v>
      </c>
      <c r="S546" s="23">
        <v>3.5999999999999997E-2</v>
      </c>
      <c r="T546" s="21">
        <f t="shared" si="320"/>
        <v>0.103989</v>
      </c>
      <c r="U546" s="12">
        <v>0.6</v>
      </c>
      <c r="V546" s="97">
        <f t="shared" si="285"/>
        <v>49.601099999999995</v>
      </c>
      <c r="W546" s="15">
        <v>15</v>
      </c>
      <c r="X546" s="15">
        <v>20</v>
      </c>
      <c r="Y546" s="15">
        <v>25</v>
      </c>
      <c r="Z546" s="18">
        <f t="shared" si="333"/>
        <v>10.398899999999999</v>
      </c>
      <c r="AA546" s="18">
        <f t="shared" si="334"/>
        <v>60</v>
      </c>
      <c r="AB546" s="18">
        <f t="shared" si="335"/>
        <v>49.601099999999995</v>
      </c>
      <c r="AE546" s="44" cm="1">
        <f t="array" ref="AE546">_xll.BDH("COMXGOLD Comdty","PX_Last", N546)</f>
        <v>28072479.927000001</v>
      </c>
      <c r="AF546" s="15" t="s">
        <v>47</v>
      </c>
      <c r="AG546" s="44" cm="1">
        <f t="array" ref="AG546">_xll.BDH(AF546,"FUT_AGGTE_OPEN_INT",A546)</f>
        <v>597295</v>
      </c>
      <c r="AH546" s="44">
        <f t="shared" si="345"/>
        <v>59729500</v>
      </c>
      <c r="AI546" s="48">
        <f t="shared" si="346"/>
        <v>0.46999355305167467</v>
      </c>
      <c r="AK546" s="44" cm="1">
        <f t="array" ref="AK546">_xll.BDH("COMXSILV Comdty","PX_Last", N546)</f>
        <v>346838.41</v>
      </c>
      <c r="AL546" s="15" t="s">
        <v>48</v>
      </c>
      <c r="AM546" s="47" cm="1">
        <f t="array" ref="AM546">_xll.BDH(AL546,"FUT_AGGTE_OPEN_INT",A546)</f>
        <v>164119</v>
      </c>
      <c r="AN546" s="45">
        <f t="shared" si="347"/>
        <v>422.66697944783971</v>
      </c>
      <c r="AO546" s="46">
        <f t="shared" si="348"/>
        <v>34683841000</v>
      </c>
      <c r="AP546" s="46">
        <f t="shared" si="349"/>
        <v>820595</v>
      </c>
    </row>
    <row r="547" spans="1:42" x14ac:dyDescent="0.2">
      <c r="A547" s="71">
        <v>45684</v>
      </c>
      <c r="B547" s="16" cm="1">
        <f t="array" ref="B547">_xll.BADDPERIODS(A547, "PER=WD", "NUMBEROFPERIODS=2", "BUSDAYADJ=-2", "CDR=GQ", "CDR=P9")</f>
        <v>45686</v>
      </c>
      <c r="C547" s="15" cm="1">
        <f t="array" ref="C547">_xll.BDH("XAU Curncy","PX_LAST",A547,A547)</f>
        <v>2740.81</v>
      </c>
      <c r="D547" s="15" t="str" cm="1">
        <f t="array" ref="D547">_xll.BDP("GCG5 Comdty",$M$32)</f>
        <v>03/02/2025</v>
      </c>
      <c r="E547" s="15">
        <f t="shared" si="353"/>
        <v>5</v>
      </c>
      <c r="F547" s="23">
        <v>0</v>
      </c>
      <c r="G547" s="28">
        <f t="shared" si="351"/>
        <v>0</v>
      </c>
      <c r="H547" s="12">
        <v>3.5</v>
      </c>
      <c r="I547" s="96">
        <f t="shared" si="352"/>
        <v>3.5</v>
      </c>
      <c r="J547" s="26">
        <v>4</v>
      </c>
      <c r="K547" s="26">
        <v>6</v>
      </c>
      <c r="L547" s="26">
        <v>8</v>
      </c>
      <c r="N547" s="71">
        <v>45684</v>
      </c>
      <c r="O547" s="16" cm="1">
        <f t="array" ref="O547">_xll.BADDPERIODS(N547, "PER=WD", "NUMBEROFPERIODS=2", "BUSDAYADJ=-2", "CDR=GQ", "CDR=P9")</f>
        <v>45686</v>
      </c>
      <c r="P547" s="15" cm="1">
        <f t="array" ref="P547">_xll.BDH("XAG Curncy","PX_LAST",N547,N547)</f>
        <v>30.218</v>
      </c>
      <c r="Q547" s="15" t="str" cm="1">
        <f t="array" ref="Q547">_xll.BDP("SIH5 Comdty",$M$32)</f>
        <v>03/03/2025</v>
      </c>
      <c r="R547" s="15">
        <f t="shared" si="344"/>
        <v>33</v>
      </c>
      <c r="S547" s="23">
        <v>3.5000000000000003E-2</v>
      </c>
      <c r="T547" s="21">
        <f t="shared" si="320"/>
        <v>9.6949416666666677E-2</v>
      </c>
      <c r="U547" s="12">
        <v>0.4</v>
      </c>
      <c r="V547" s="97">
        <f t="shared" si="285"/>
        <v>30.305058333333335</v>
      </c>
      <c r="W547" s="15">
        <v>15</v>
      </c>
      <c r="X547" s="15">
        <v>20</v>
      </c>
      <c r="Y547" s="15">
        <v>25</v>
      </c>
      <c r="Z547" s="18">
        <f t="shared" si="333"/>
        <v>9.6949416666666686</v>
      </c>
      <c r="AA547" s="18">
        <f t="shared" si="334"/>
        <v>40</v>
      </c>
      <c r="AB547" s="18">
        <f t="shared" si="335"/>
        <v>30.305058333333335</v>
      </c>
      <c r="AE547" s="44" cm="1">
        <f t="array" ref="AE547">_xll.BDH("COMXGOLD Comdty","PX_Last", N547)</f>
        <v>29259425.157000002</v>
      </c>
      <c r="AF547" s="15" t="s">
        <v>47</v>
      </c>
      <c r="AG547" s="44" cm="1">
        <f t="array" ref="AG547">_xll.BDH(AF547,"FUT_AGGTE_OPEN_INT",A547)</f>
        <v>582778</v>
      </c>
      <c r="AH547" s="44">
        <f t="shared" si="345"/>
        <v>58277800</v>
      </c>
      <c r="AI547" s="48">
        <f t="shared" si="346"/>
        <v>0.5020681143934741</v>
      </c>
      <c r="AK547" s="44" cm="1">
        <f t="array" ref="AK547">_xll.BDH("COMXSILV Comdty","PX_Last", N547)</f>
        <v>348603.94</v>
      </c>
      <c r="AL547" s="15" t="s">
        <v>48</v>
      </c>
      <c r="AM547" s="47" cm="1">
        <f t="array" ref="AM547">_xll.BDH(AL547,"FUT_AGGTE_OPEN_INT",A547)</f>
        <v>164806</v>
      </c>
      <c r="AN547" s="45">
        <f t="shared" si="347"/>
        <v>423.04763176097958</v>
      </c>
      <c r="AO547" s="46">
        <f t="shared" si="348"/>
        <v>34860394000</v>
      </c>
      <c r="AP547" s="46">
        <f t="shared" si="349"/>
        <v>824030</v>
      </c>
    </row>
    <row r="548" spans="1:42" x14ac:dyDescent="0.2">
      <c r="A548" s="71">
        <v>45685</v>
      </c>
      <c r="B548" s="16" cm="1">
        <f t="array" ref="B548">_xll.BADDPERIODS(A548, "PER=WD", "NUMBEROFPERIODS=2", "BUSDAYADJ=-2", "CDR=GQ", "CDR=P9")</f>
        <v>45687</v>
      </c>
      <c r="C548" s="15" cm="1">
        <f t="array" ref="C548">_xll.BDH("XAU Curncy","PX_LAST",A548,A548)</f>
        <v>2763.51</v>
      </c>
      <c r="D548" s="15" t="str" cm="1">
        <f t="array" ref="D548">_xll.BDP("GCG5 Comdty",$M$32)</f>
        <v>03/02/2025</v>
      </c>
      <c r="E548" s="15">
        <f t="shared" si="353"/>
        <v>4</v>
      </c>
      <c r="F548" s="23">
        <v>0</v>
      </c>
      <c r="G548" s="28">
        <f t="shared" si="351"/>
        <v>0</v>
      </c>
      <c r="H548" s="12">
        <v>5</v>
      </c>
      <c r="I548" s="96">
        <f t="shared" si="352"/>
        <v>5</v>
      </c>
      <c r="J548" s="26">
        <v>4</v>
      </c>
      <c r="K548" s="26">
        <v>6</v>
      </c>
      <c r="L548" s="26">
        <v>8</v>
      </c>
      <c r="N548" s="71">
        <v>45685</v>
      </c>
      <c r="O548" s="16" cm="1">
        <f t="array" ref="O548">_xll.BADDPERIODS(N548, "PER=WD", "NUMBEROFPERIODS=2", "BUSDAYADJ=-2", "CDR=GQ", "CDR=P9")</f>
        <v>45687</v>
      </c>
      <c r="P548" s="15" cm="1">
        <f t="array" ref="P548">_xll.BDH("XAG Curncy","PX_LAST",N548,N548)</f>
        <v>30.4207</v>
      </c>
      <c r="Q548" s="15" t="str" cm="1">
        <f t="array" ref="Q548">_xll.BDP("SIH5 Comdty",$M$32)</f>
        <v>03/03/2025</v>
      </c>
      <c r="R548" s="15">
        <f t="shared" si="344"/>
        <v>32</v>
      </c>
      <c r="S548" s="23">
        <v>3.5000000000000003E-2</v>
      </c>
      <c r="T548" s="21">
        <f t="shared" si="320"/>
        <v>9.4642177777777795E-2</v>
      </c>
      <c r="U548" s="12">
        <v>0.43</v>
      </c>
      <c r="V548" s="97">
        <f t="shared" si="285"/>
        <v>33.535782222222224</v>
      </c>
      <c r="W548" s="15">
        <v>15</v>
      </c>
      <c r="X548" s="15">
        <v>20</v>
      </c>
      <c r="Y548" s="15">
        <v>25</v>
      </c>
      <c r="Z548" s="18">
        <f t="shared" si="333"/>
        <v>9.4642177777777796</v>
      </c>
      <c r="AA548" s="18">
        <f t="shared" si="334"/>
        <v>43</v>
      </c>
      <c r="AB548" s="18">
        <f t="shared" si="335"/>
        <v>33.535782222222224</v>
      </c>
      <c r="AE548" s="44" cm="1">
        <f t="array" ref="AE548">_xll.BDH("COMXGOLD Comdty","PX_Last", N548)</f>
        <v>29787015.886</v>
      </c>
      <c r="AF548" s="15" t="s">
        <v>47</v>
      </c>
      <c r="AG548" s="44" cm="1">
        <f t="array" ref="AG548">_xll.BDH(AF548,"FUT_AGGTE_OPEN_INT",A548)</f>
        <v>577505</v>
      </c>
      <c r="AH548" s="44">
        <f t="shared" si="345"/>
        <v>57750500</v>
      </c>
      <c r="AI548" s="48">
        <f t="shared" si="346"/>
        <v>0.51578801717734046</v>
      </c>
      <c r="AK548" s="44" cm="1">
        <f t="array" ref="AK548">_xll.BDH("COMXSILV Comdty","PX_Last", N548)</f>
        <v>350561.53</v>
      </c>
      <c r="AL548" s="15" t="s">
        <v>48</v>
      </c>
      <c r="AM548" s="47" cm="1">
        <f t="array" ref="AM548">_xll.BDH(AL548,"FUT_AGGTE_OPEN_INT",A548)</f>
        <v>165135</v>
      </c>
      <c r="AN548" s="45">
        <f t="shared" si="347"/>
        <v>424.5756865594816</v>
      </c>
      <c r="AO548" s="46">
        <f t="shared" si="348"/>
        <v>35056153000</v>
      </c>
      <c r="AP548" s="46">
        <f t="shared" si="349"/>
        <v>825675</v>
      </c>
    </row>
    <row r="549" spans="1:42" x14ac:dyDescent="0.2">
      <c r="A549" s="71">
        <v>45686</v>
      </c>
      <c r="B549" s="16" cm="1">
        <f t="array" ref="B549">_xll.BADDPERIODS(A549, "PER=WD", "NUMBEROFPERIODS=2", "BUSDAYADJ=-2", "CDR=GQ", "CDR=P9")</f>
        <v>45688</v>
      </c>
      <c r="C549" s="15" cm="1">
        <f t="array" ref="C549">_xll.BDH("XAU Curncy","PX_LAST",A549,A549)</f>
        <v>2759.36</v>
      </c>
      <c r="D549" s="15" t="str" cm="1">
        <f t="array" ref="D549">_xll.BDP("GCG5 Comdty",$M$32)</f>
        <v>03/02/2025</v>
      </c>
      <c r="E549" s="15">
        <f t="shared" ref="E549" si="354">_xlfn.DAYS(D549,B549)</f>
        <v>3</v>
      </c>
      <c r="F549" s="23">
        <v>-0.02</v>
      </c>
      <c r="G549" s="28">
        <f t="shared" ref="G549:G609" si="355">C549*(E549/360)*F549</f>
        <v>-0.45989333333333338</v>
      </c>
      <c r="H549" s="22">
        <v>18</v>
      </c>
      <c r="I549" s="94">
        <f t="shared" si="352"/>
        <v>18.459893333333333</v>
      </c>
      <c r="J549" s="26">
        <v>4</v>
      </c>
      <c r="K549" s="26">
        <v>6</v>
      </c>
      <c r="L549" s="26">
        <v>8</v>
      </c>
      <c r="M549" s="15"/>
      <c r="N549" s="71">
        <v>45686</v>
      </c>
      <c r="O549" s="16" cm="1">
        <f t="array" ref="O549">_xll.BADDPERIODS(N549, "PER=WD", "NUMBEROFPERIODS=2", "BUSDAYADJ=-2", "CDR=GQ", "CDR=P9")</f>
        <v>45688</v>
      </c>
      <c r="P549" s="15" cm="1">
        <f t="array" ref="P549">_xll.BDH("XAG Curncy","PX_LAST",N549,N549)</f>
        <v>30.848700000000001</v>
      </c>
      <c r="Q549" s="15" t="str" cm="1">
        <f t="array" ref="Q549">_xll.BDP("SIH5 Comdty",$M$32)</f>
        <v>03/03/2025</v>
      </c>
      <c r="R549" s="15">
        <f t="shared" si="344"/>
        <v>31</v>
      </c>
      <c r="S549" s="23">
        <v>3.2000000000000001E-2</v>
      </c>
      <c r="T549" s="21">
        <f t="shared" si="320"/>
        <v>8.5005306666666669E-2</v>
      </c>
      <c r="U549" s="12">
        <v>0.78</v>
      </c>
      <c r="V549" s="97">
        <f t="shared" si="285"/>
        <v>69.499469333333337</v>
      </c>
      <c r="W549" s="15">
        <v>15</v>
      </c>
      <c r="X549" s="15">
        <v>20</v>
      </c>
      <c r="Y549" s="15">
        <v>25</v>
      </c>
      <c r="Z549" s="18">
        <f t="shared" si="333"/>
        <v>8.5005306666666662</v>
      </c>
      <c r="AA549" s="18">
        <f t="shared" si="334"/>
        <v>78</v>
      </c>
      <c r="AB549" s="18">
        <f t="shared" si="335"/>
        <v>69.499469333333337</v>
      </c>
      <c r="AE549" s="44" cm="1">
        <f t="array" ref="AE549">_xll.BDH("COMXGOLD Comdty","PX_Last", N549)</f>
        <v>30438255.912</v>
      </c>
      <c r="AF549" s="15" t="s">
        <v>49</v>
      </c>
      <c r="AG549" s="44" cm="1">
        <f t="array" ref="AG549">_xll.BDH(AF549,"FUT_AGGTE_OPEN_INT",A549)</f>
        <v>566459</v>
      </c>
      <c r="AH549" s="44">
        <f t="shared" si="345"/>
        <v>56645900</v>
      </c>
      <c r="AI549" s="48">
        <f t="shared" si="346"/>
        <v>0.53734261282811291</v>
      </c>
      <c r="AK549" s="44" cm="1">
        <f t="array" ref="AK549">_xll.BDH("COMXSILV Comdty","PX_Last", N549)</f>
        <v>352313.34</v>
      </c>
      <c r="AL549" s="15" t="s">
        <v>48</v>
      </c>
      <c r="AM549" s="47" cm="1">
        <f t="array" ref="AM549">_xll.BDH(AL549,"FUT_AGGTE_OPEN_INT",A549)</f>
        <v>166059</v>
      </c>
      <c r="AN549" s="45">
        <f t="shared" si="347"/>
        <v>424.32308998608926</v>
      </c>
      <c r="AO549" s="46">
        <f t="shared" si="348"/>
        <v>35231334000</v>
      </c>
      <c r="AP549" s="46">
        <f t="shared" si="349"/>
        <v>830295</v>
      </c>
    </row>
    <row r="550" spans="1:42" x14ac:dyDescent="0.2">
      <c r="A550" s="71">
        <v>45687</v>
      </c>
      <c r="B550" s="16" cm="1">
        <f t="array" ref="B550">_xll.BADDPERIODS(A550, "PER=WD", "NUMBEROFPERIODS=2", "BUSDAYADJ=-2", "CDR=GQ", "CDR=P9")</f>
        <v>45691</v>
      </c>
      <c r="C550" s="15" cm="1">
        <f t="array" ref="C550">_xll.BDH("XAU Curncy","PX_LAST",A550,A550)</f>
        <v>2794.59</v>
      </c>
      <c r="D550" s="15" t="str" cm="1">
        <f t="array" ref="D550">_xll.BDP("GCJ5 Comdty",$M$32)</f>
        <v>01/04/2025</v>
      </c>
      <c r="E550" s="15">
        <f t="shared" ref="E550" si="356">_xlfn.DAYS(D550,B550)</f>
        <v>57</v>
      </c>
      <c r="F550" s="23">
        <v>2.5999999999999999E-2</v>
      </c>
      <c r="G550" s="28">
        <f t="shared" si="355"/>
        <v>11.504395499999999</v>
      </c>
      <c r="H550" s="12">
        <v>48</v>
      </c>
      <c r="I550" s="96">
        <f t="shared" si="352"/>
        <v>36.495604499999999</v>
      </c>
      <c r="J550" s="26">
        <v>4</v>
      </c>
      <c r="K550" s="26">
        <v>6</v>
      </c>
      <c r="L550" s="26">
        <v>8</v>
      </c>
      <c r="N550" s="71">
        <v>45687</v>
      </c>
      <c r="O550" s="16" cm="1">
        <f t="array" ref="O550">_xll.BADDPERIODS(N550, "PER=WD", "NUMBEROFPERIODS=2", "BUSDAYADJ=-2", "CDR=GQ", "CDR=P9")</f>
        <v>45691</v>
      </c>
      <c r="P550" s="15" cm="1">
        <f t="array" ref="P550">_xll.BDH("XAG Curncy","PX_LAST",N550,N550)</f>
        <v>31.596</v>
      </c>
      <c r="Q550" s="15" t="str" cm="1">
        <f t="array" ref="Q550">_xll.BDP("SIH5 Comdty",$M$32)</f>
        <v>03/03/2025</v>
      </c>
      <c r="R550" s="15">
        <f t="shared" ref="R550:R551" si="357">_xlfn.DAYS(Q550,O550)</f>
        <v>28</v>
      </c>
      <c r="S550" s="23">
        <v>2.75E-2</v>
      </c>
      <c r="T550" s="21">
        <f t="shared" si="320"/>
        <v>6.7580333333333339E-2</v>
      </c>
      <c r="U550" s="12">
        <v>1.1000000000000001</v>
      </c>
      <c r="V550" s="97">
        <f t="shared" si="285"/>
        <v>103.24196666666667</v>
      </c>
      <c r="W550" s="15">
        <v>15</v>
      </c>
      <c r="X550" s="15">
        <v>20</v>
      </c>
      <c r="Y550" s="15">
        <v>25</v>
      </c>
      <c r="Z550" s="18">
        <f t="shared" si="333"/>
        <v>6.7580333333333336</v>
      </c>
      <c r="AA550" s="18">
        <f t="shared" si="334"/>
        <v>110.00000000000001</v>
      </c>
      <c r="AB550" s="18">
        <f t="shared" si="335"/>
        <v>103.24196666666667</v>
      </c>
      <c r="AE550" s="44" cm="1">
        <f t="array" ref="AE550">_xll.BDH("COMXGOLD Comdty","PX_Last", N550)</f>
        <v>30980465.954999998</v>
      </c>
      <c r="AF550" s="15" t="s">
        <v>49</v>
      </c>
      <c r="AG550" s="44" cm="1">
        <f t="array" ref="AG550">_xll.BDH(AF550,"FUT_AGGTE_OPEN_INT",A550)</f>
        <v>574707</v>
      </c>
      <c r="AH550" s="44">
        <f t="shared" si="345"/>
        <v>57470700</v>
      </c>
      <c r="AI550" s="48">
        <f t="shared" si="346"/>
        <v>0.53906540123924018</v>
      </c>
      <c r="AK550" s="44" cm="1">
        <f t="array" ref="AK550">_xll.BDH("COMXSILV Comdty","PX_Last", N550)</f>
        <v>353726.31</v>
      </c>
      <c r="AL550" s="15" t="s">
        <v>48</v>
      </c>
      <c r="AM550" s="47" cm="1">
        <f t="array" ref="AM550">_xll.BDH(AL550,"FUT_AGGTE_OPEN_INT",A550)</f>
        <v>170503</v>
      </c>
      <c r="AN550" s="45">
        <f t="shared" si="347"/>
        <v>414.92092221251238</v>
      </c>
      <c r="AO550" s="46">
        <f t="shared" si="348"/>
        <v>35372631000</v>
      </c>
      <c r="AP550" s="46">
        <f t="shared" si="349"/>
        <v>852515</v>
      </c>
    </row>
    <row r="551" spans="1:42" x14ac:dyDescent="0.2">
      <c r="A551" s="71">
        <v>45688</v>
      </c>
      <c r="B551" s="16" cm="1">
        <f t="array" ref="B551">_xll.BADDPERIODS(A551, "PER=WD", "NUMBEROFPERIODS=2", "BUSDAYADJ=-2", "CDR=GQ", "CDR=P9")</f>
        <v>45692</v>
      </c>
      <c r="C551" s="15" cm="1">
        <f t="array" ref="C551">_xll.BDH("XAU Curncy","PX_LAST",A551,A551)</f>
        <v>2798.41</v>
      </c>
      <c r="D551" s="15" t="str" cm="1">
        <f t="array" ref="D551">_xll.BDP("GCJ5 Comdty",$M$32)</f>
        <v>01/04/2025</v>
      </c>
      <c r="E551" s="15">
        <f t="shared" ref="E551:E556" si="358">_xlfn.DAYS(D551,B551)</f>
        <v>56</v>
      </c>
      <c r="F551" s="23">
        <v>2.5999999999999999E-2</v>
      </c>
      <c r="G551" s="28">
        <f t="shared" si="355"/>
        <v>11.318013777777777</v>
      </c>
      <c r="H551" s="12">
        <v>47</v>
      </c>
      <c r="I551" s="96">
        <f t="shared" si="352"/>
        <v>35.681986222222221</v>
      </c>
      <c r="J551" s="26">
        <v>4</v>
      </c>
      <c r="K551" s="26">
        <v>6</v>
      </c>
      <c r="L551" s="26">
        <v>8</v>
      </c>
      <c r="N551" s="71">
        <v>45688</v>
      </c>
      <c r="O551" s="16" cm="1">
        <f t="array" ref="O551">_xll.BADDPERIODS(N551, "PER=WD", "NUMBEROFPERIODS=2", "BUSDAYADJ=-2", "CDR=GQ", "CDR=P9")</f>
        <v>45692</v>
      </c>
      <c r="P551" s="15" cm="1">
        <f t="array" ref="P551">_xll.BDH("XAG Curncy","PX_LAST",N551,N551)</f>
        <v>31.3047</v>
      </c>
      <c r="Q551" s="15" t="str" cm="1">
        <f t="array" ref="Q551">_xll.BDP("SIH5 Comdty",$M$32)</f>
        <v>03/03/2025</v>
      </c>
      <c r="R551" s="15">
        <f t="shared" si="357"/>
        <v>27</v>
      </c>
      <c r="S551" s="23">
        <v>2.2499999999999999E-2</v>
      </c>
      <c r="T551" s="21">
        <f t="shared" si="320"/>
        <v>5.282668125E-2</v>
      </c>
      <c r="U551" s="12">
        <v>1.1299999999999999</v>
      </c>
      <c r="V551" s="97">
        <f t="shared" si="285"/>
        <v>107.71733187499999</v>
      </c>
      <c r="W551" s="15">
        <v>15</v>
      </c>
      <c r="X551" s="15">
        <v>20</v>
      </c>
      <c r="Y551" s="15">
        <v>25</v>
      </c>
      <c r="Z551" s="18">
        <f t="shared" si="333"/>
        <v>5.2826681249999998</v>
      </c>
      <c r="AA551" s="18">
        <f t="shared" si="334"/>
        <v>112.99999999999999</v>
      </c>
      <c r="AB551" s="18">
        <f t="shared" si="335"/>
        <v>107.71733187499999</v>
      </c>
      <c r="AE551" s="44" cm="1">
        <f t="array" ref="AE551">_xll.BDH("COMXGOLD Comdty","PX_Last", N551)</f>
        <v>31316204.647999998</v>
      </c>
      <c r="AF551" s="15" t="s">
        <v>49</v>
      </c>
      <c r="AG551" s="44" cm="1">
        <f t="array" ref="AG551">_xll.BDH(AF551,"FUT_AGGTE_OPEN_INT",A551)</f>
        <v>548642</v>
      </c>
      <c r="AH551" s="44">
        <f t="shared" si="345"/>
        <v>54864200</v>
      </c>
      <c r="AI551" s="48">
        <f t="shared" si="346"/>
        <v>0.5707948835123815</v>
      </c>
      <c r="AK551" s="44" cm="1">
        <f t="array" ref="AK551">_xll.BDH("COMXSILV Comdty","PX_Last", N551)</f>
        <v>355824.13</v>
      </c>
      <c r="AL551" s="15" t="s">
        <v>48</v>
      </c>
      <c r="AM551" s="47" cm="1">
        <f t="array" ref="AM551">_xll.BDH(AL551,"FUT_AGGTE_OPEN_INT",A551)</f>
        <v>167551</v>
      </c>
      <c r="AN551" s="45">
        <f t="shared" si="347"/>
        <v>424.73531044279059</v>
      </c>
      <c r="AO551" s="46">
        <f t="shared" si="348"/>
        <v>35582413000</v>
      </c>
      <c r="AP551" s="46">
        <f t="shared" si="349"/>
        <v>837755</v>
      </c>
    </row>
    <row r="552" spans="1:42" x14ac:dyDescent="0.2">
      <c r="A552" s="71">
        <v>45691</v>
      </c>
      <c r="B552" s="16" cm="1">
        <f t="array" ref="B552">_xll.BADDPERIODS(A552, "PER=WD", "NUMBEROFPERIODS=2", "BUSDAYADJ=-2", "CDR=GQ", "CDR=P9")</f>
        <v>45693</v>
      </c>
      <c r="C552" s="15" cm="1">
        <f t="array" ref="C552">_xll.BDH("XAU Curncy","PX_LAST",A552,A552)</f>
        <v>2815.21</v>
      </c>
      <c r="D552" s="15" t="str" cm="1">
        <f t="array" ref="D552">_xll.BDP("GCJ5 Comdty",$M$32)</f>
        <v>01/04/2025</v>
      </c>
      <c r="E552" s="15">
        <f t="shared" si="358"/>
        <v>55</v>
      </c>
      <c r="F552" s="23">
        <v>2.2499999999999999E-2</v>
      </c>
      <c r="G552" s="28">
        <f t="shared" si="355"/>
        <v>9.677284375000001</v>
      </c>
      <c r="H552" s="22">
        <v>42</v>
      </c>
      <c r="I552" s="94">
        <f t="shared" si="352"/>
        <v>32.322715625000001</v>
      </c>
      <c r="J552" s="26">
        <v>4</v>
      </c>
      <c r="K552" s="26">
        <v>6</v>
      </c>
      <c r="L552" s="26">
        <v>8</v>
      </c>
      <c r="M552" s="15"/>
      <c r="N552" s="71">
        <v>45691</v>
      </c>
      <c r="O552" s="16" cm="1">
        <f t="array" ref="O552">_xll.BADDPERIODS(N552, "PER=WD", "NUMBEROFPERIODS=2", "BUSDAYADJ=-2", "CDR=GQ", "CDR=P9")</f>
        <v>45693</v>
      </c>
      <c r="P552" s="15" cm="1">
        <f t="array" ref="P552">_xll.BDH("XAG Curncy","PX_LAST",N552,N552)</f>
        <v>31.599</v>
      </c>
      <c r="Q552" s="15" t="str" cm="1">
        <f t="array" ref="Q552">_xll.BDP("SIH5 Comdty",$M$32)</f>
        <v>03/03/2025</v>
      </c>
      <c r="R552" s="15">
        <f t="shared" ref="R552:R556" si="359">_xlfn.DAYS(Q552,O552)</f>
        <v>26</v>
      </c>
      <c r="S552" s="23">
        <v>1.2500000000000001E-2</v>
      </c>
      <c r="T552" s="21">
        <f t="shared" si="320"/>
        <v>2.8526874999999997E-2</v>
      </c>
      <c r="U552" s="12">
        <v>1.1599999999999999</v>
      </c>
      <c r="V552" s="97">
        <f t="shared" si="285"/>
        <v>113.14731249999998</v>
      </c>
      <c r="W552" s="15">
        <v>15</v>
      </c>
      <c r="X552" s="15">
        <v>20</v>
      </c>
      <c r="Y552" s="15">
        <v>25</v>
      </c>
      <c r="Z552" s="18">
        <f t="shared" si="333"/>
        <v>2.8526874999999996</v>
      </c>
      <c r="AA552" s="18">
        <f t="shared" si="334"/>
        <v>115.99999999999999</v>
      </c>
      <c r="AB552" s="18">
        <f t="shared" si="335"/>
        <v>113.14731249999998</v>
      </c>
      <c r="AE552" s="44" cm="1">
        <f t="array" ref="AE552">_xll.BDH("COMXGOLD Comdty","PX_Last", N552)</f>
        <v>32290384.488000002</v>
      </c>
      <c r="AF552" s="15" t="s">
        <v>49</v>
      </c>
      <c r="AG552" s="44" cm="1">
        <f t="array" ref="AG552">_xll.BDH(AF552,"FUT_AGGTE_OPEN_INT",A552)</f>
        <v>543681</v>
      </c>
      <c r="AH552" s="44">
        <f t="shared" ref="AH552:AH555" si="360">AG552*$AG$17</f>
        <v>54368100</v>
      </c>
      <c r="AI552" s="48">
        <f t="shared" ref="AI552:AI555" si="361">AE552/AH552</f>
        <v>0.59392151809608951</v>
      </c>
      <c r="AK552" s="44" cm="1">
        <f t="array" ref="AK552">_xll.BDH("COMXSILV Comdty","PX_Last", N552)</f>
        <v>359059.22</v>
      </c>
      <c r="AL552" s="15" t="s">
        <v>48</v>
      </c>
      <c r="AM552" s="47" cm="1">
        <f t="array" ref="AM552">_xll.BDH(AL552,"FUT_AGGTE_OPEN_INT",A552)</f>
        <v>166473</v>
      </c>
      <c r="AN552" s="45">
        <f t="shared" ref="AN552:AN555" si="362">(AO552/AP552)/100</f>
        <v>431.37231863425302</v>
      </c>
      <c r="AO552" s="46">
        <f t="shared" ref="AO552:AO555" si="363">AK552*100000</f>
        <v>35905922000</v>
      </c>
      <c r="AP552" s="46">
        <f t="shared" ref="AP552:AP555" si="364">(AM552*5000)/1000</f>
        <v>832365</v>
      </c>
    </row>
    <row r="553" spans="1:42" x14ac:dyDescent="0.2">
      <c r="A553" s="71">
        <v>45692</v>
      </c>
      <c r="B553" s="16" cm="1">
        <f t="array" ref="B553">_xll.BADDPERIODS(A553, "PER=WD", "NUMBEROFPERIODS=2", "BUSDAYADJ=-2", "CDR=GQ", "CDR=P9")</f>
        <v>45694</v>
      </c>
      <c r="C553" s="15" cm="1">
        <f t="array" ref="C553">_xll.BDH("XAU Curncy","PX_LAST",A553,A553)</f>
        <v>2842.71</v>
      </c>
      <c r="D553" s="15" t="str" cm="1">
        <f t="array" ref="D553">_xll.BDP("GCJ5 Comdty",$M$32)</f>
        <v>01/04/2025</v>
      </c>
      <c r="E553" s="15">
        <f t="shared" si="358"/>
        <v>54</v>
      </c>
      <c r="F553" s="23">
        <v>0.01</v>
      </c>
      <c r="G553" s="28">
        <f t="shared" si="355"/>
        <v>4.2640650000000004</v>
      </c>
      <c r="H553" s="12">
        <v>32</v>
      </c>
      <c r="I553" s="98">
        <f t="shared" si="352"/>
        <v>27.735934999999998</v>
      </c>
      <c r="J553" s="26">
        <v>4</v>
      </c>
      <c r="K553" s="26">
        <v>6</v>
      </c>
      <c r="L553" s="26">
        <v>8</v>
      </c>
      <c r="N553" s="71">
        <v>45692</v>
      </c>
      <c r="O553" s="16" cm="1">
        <f t="array" ref="O553">_xll.BADDPERIODS(N553, "PER=WD", "NUMBEROFPERIODS=2", "BUSDAYADJ=-2", "CDR=GQ", "CDR=P9")</f>
        <v>45694</v>
      </c>
      <c r="P553" s="15" cm="1">
        <f t="array" ref="P553">_xll.BDH("XAG Curncy","PX_LAST",N553,N553)</f>
        <v>32.167999999999999</v>
      </c>
      <c r="Q553" s="15" t="str" cm="1">
        <f t="array" ref="Q553">_xll.BDP("SIH5 Comdty",$M$32)</f>
        <v>03/03/2025</v>
      </c>
      <c r="R553" s="15">
        <f t="shared" si="359"/>
        <v>25</v>
      </c>
      <c r="S553" s="23">
        <v>0</v>
      </c>
      <c r="T553" s="21">
        <f t="shared" si="320"/>
        <v>0</v>
      </c>
      <c r="U553" s="12">
        <v>0.8</v>
      </c>
      <c r="V553" s="97">
        <f t="shared" si="285"/>
        <v>80</v>
      </c>
      <c r="W553" s="15">
        <v>15</v>
      </c>
      <c r="X553" s="15">
        <v>20</v>
      </c>
      <c r="Y553" s="15">
        <v>25</v>
      </c>
      <c r="Z553" s="18">
        <f t="shared" si="333"/>
        <v>0</v>
      </c>
      <c r="AA553" s="18">
        <f t="shared" si="334"/>
        <v>80</v>
      </c>
      <c r="AB553" s="18">
        <f t="shared" si="335"/>
        <v>80</v>
      </c>
      <c r="AE553" s="44" cm="1">
        <f t="array" ref="AE553">_xll.BDH("COMXGOLD Comdty","PX_Last", N553)</f>
        <v>33248152.120999999</v>
      </c>
      <c r="AF553" s="15" t="s">
        <v>49</v>
      </c>
      <c r="AG553" s="44" cm="1">
        <f t="array" ref="AG553">_xll.BDH(AF553,"FUT_AGGTE_OPEN_INT",A553)</f>
        <v>542004</v>
      </c>
      <c r="AH553" s="44">
        <f t="shared" si="360"/>
        <v>54200400</v>
      </c>
      <c r="AI553" s="48">
        <f t="shared" si="361"/>
        <v>0.61343001381908624</v>
      </c>
      <c r="AK553" s="44" cm="1">
        <f t="array" ref="AK553">_xll.BDH("COMXSILV Comdty","PX_Last", N553)</f>
        <v>358607.22</v>
      </c>
      <c r="AL553" s="15" t="s">
        <v>48</v>
      </c>
      <c r="AM553" s="47" cm="1">
        <f t="array" ref="AM553">_xll.BDH(AL553,"FUT_AGGTE_OPEN_INT",A553)</f>
        <v>170726</v>
      </c>
      <c r="AN553" s="45">
        <f t="shared" si="362"/>
        <v>420.09678666401129</v>
      </c>
      <c r="AO553" s="46">
        <f t="shared" si="363"/>
        <v>35860722000</v>
      </c>
      <c r="AP553" s="46">
        <f t="shared" si="364"/>
        <v>853630</v>
      </c>
    </row>
    <row r="554" spans="1:42" x14ac:dyDescent="0.2">
      <c r="A554" s="71">
        <v>45693</v>
      </c>
      <c r="B554" s="16" cm="1">
        <f t="array" ref="B554">_xll.BADDPERIODS(A554, "PER=WD", "NUMBEROFPERIODS=2", "BUSDAYADJ=-2", "CDR=GQ", "CDR=P9")</f>
        <v>45695</v>
      </c>
      <c r="C554" s="15" cm="1">
        <f t="array" ref="C554">_xll.BDH("XAU Curncy","PX_LAST",A554,A554)</f>
        <v>2867.24</v>
      </c>
      <c r="D554" s="15" t="str" cm="1">
        <f t="array" ref="D554">_xll.BDP("GCJ5 Comdty",$M$32)</f>
        <v>01/04/2025</v>
      </c>
      <c r="E554" s="15">
        <f t="shared" si="358"/>
        <v>53</v>
      </c>
      <c r="F554" s="23">
        <v>1.2500000000000001E-2</v>
      </c>
      <c r="G554" s="28">
        <f t="shared" si="355"/>
        <v>5.276518055555556</v>
      </c>
      <c r="H554" s="12">
        <v>24</v>
      </c>
      <c r="I554" s="98">
        <f t="shared" si="352"/>
        <v>18.723481944444444</v>
      </c>
      <c r="J554" s="26">
        <v>4</v>
      </c>
      <c r="K554" s="26">
        <v>6</v>
      </c>
      <c r="L554" s="26">
        <v>8</v>
      </c>
      <c r="N554" s="71">
        <v>45693</v>
      </c>
      <c r="O554" s="16" cm="1">
        <f t="array" ref="O554">_xll.BADDPERIODS(N554, "PER=WD", "NUMBEROFPERIODS=2", "BUSDAYADJ=-2", "CDR=GQ", "CDR=P9")</f>
        <v>45695</v>
      </c>
      <c r="P554" s="15" cm="1">
        <f t="array" ref="P554">_xll.BDH("XAG Curncy","PX_LAST",N554,N554)</f>
        <v>32.3108</v>
      </c>
      <c r="Q554" s="15" t="str" cm="1">
        <f t="array" ref="Q554">_xll.BDP("SIH5 Comdty",$M$32)</f>
        <v>03/03/2025</v>
      </c>
      <c r="R554" s="15">
        <f t="shared" si="359"/>
        <v>24</v>
      </c>
      <c r="S554" s="23">
        <v>-0.01</v>
      </c>
      <c r="T554" s="21">
        <f t="shared" si="320"/>
        <v>-2.154053333333333E-2</v>
      </c>
      <c r="U554" s="12">
        <v>0.6</v>
      </c>
      <c r="V554" s="97">
        <f t="shared" si="285"/>
        <v>62.154053333333323</v>
      </c>
      <c r="W554" s="15">
        <v>15</v>
      </c>
      <c r="X554" s="15">
        <v>20</v>
      </c>
      <c r="Y554" s="15">
        <v>25</v>
      </c>
      <c r="Z554" s="18">
        <f t="shared" si="333"/>
        <v>-2.1540533333333332</v>
      </c>
      <c r="AA554" s="18">
        <f t="shared" si="334"/>
        <v>60</v>
      </c>
      <c r="AB554" s="18">
        <f t="shared" si="335"/>
        <v>62.154053333333323</v>
      </c>
      <c r="AE554" s="44" cm="1">
        <f t="array" ref="AE554">_xll.BDH("COMXGOLD Comdty","PX_Last", N554)</f>
        <v>33381503.785</v>
      </c>
      <c r="AF554" s="15" t="s">
        <v>49</v>
      </c>
      <c r="AG554" s="44" cm="1">
        <f t="array" ref="AG554">_xll.BDH(AF554,"FUT_AGGTE_OPEN_INT",A554)</f>
        <v>540351</v>
      </c>
      <c r="AH554" s="44">
        <f t="shared" si="360"/>
        <v>54035100</v>
      </c>
      <c r="AI554" s="48">
        <f t="shared" si="361"/>
        <v>0.6177744426308085</v>
      </c>
      <c r="AK554" s="44" cm="1">
        <f t="array" ref="AK554">_xll.BDH("COMXSILV Comdty","PX_Last", N554)</f>
        <v>359361.97</v>
      </c>
      <c r="AL554" s="15" t="s">
        <v>48</v>
      </c>
      <c r="AM554" s="47" cm="1">
        <f t="array" ref="AM554">_xll.BDH(AL554,"FUT_AGGTE_OPEN_INT",A554)</f>
        <v>169265</v>
      </c>
      <c r="AN554" s="45">
        <f t="shared" si="362"/>
        <v>424.6146220423596</v>
      </c>
      <c r="AO554" s="46">
        <f t="shared" si="363"/>
        <v>35936197000</v>
      </c>
      <c r="AP554" s="46">
        <f t="shared" si="364"/>
        <v>846325</v>
      </c>
    </row>
    <row r="555" spans="1:42" x14ac:dyDescent="0.2">
      <c r="A555" s="71">
        <v>45694</v>
      </c>
      <c r="B555" s="16" cm="1">
        <f t="array" ref="B555">_xll.BADDPERIODS(A555, "PER=WD", "NUMBEROFPERIODS=2", "BUSDAYADJ=-2", "CDR=GQ", "CDR=P9")</f>
        <v>45698</v>
      </c>
      <c r="C555" s="15" cm="1">
        <f t="array" ref="C555">_xll.BDH("XAU Curncy","PX_LAST",A555,A555)</f>
        <v>2856.28</v>
      </c>
      <c r="D555" s="15" t="str" cm="1">
        <f t="array" ref="D555">_xll.BDP("GCJ5 Comdty",$M$32)</f>
        <v>01/04/2025</v>
      </c>
      <c r="E555" s="15">
        <f t="shared" si="358"/>
        <v>50</v>
      </c>
      <c r="F555" s="23">
        <v>2.5000000000000001E-2</v>
      </c>
      <c r="G555" s="28">
        <f t="shared" si="355"/>
        <v>9.9176388888888898</v>
      </c>
      <c r="H555" s="12">
        <v>23</v>
      </c>
      <c r="I555" s="98">
        <f t="shared" si="352"/>
        <v>13.08236111111111</v>
      </c>
      <c r="J555" s="26">
        <v>4</v>
      </c>
      <c r="K555" s="26">
        <v>6</v>
      </c>
      <c r="L555" s="26">
        <v>8</v>
      </c>
      <c r="N555" s="71">
        <v>45694</v>
      </c>
      <c r="O555" s="16" cm="1">
        <f t="array" ref="O555">_xll.BADDPERIODS(N555, "PER=WD", "NUMBEROFPERIODS=2", "BUSDAYADJ=-2", "CDR=GQ", "CDR=P9")</f>
        <v>45698</v>
      </c>
      <c r="P555" s="15" cm="1">
        <f t="array" ref="P555">_xll.BDH("XAG Curncy","PX_LAST",N555,N555)</f>
        <v>32.175800000000002</v>
      </c>
      <c r="Q555" s="15" t="str" cm="1">
        <f t="array" ref="Q555">_xll.BDP("SIH5 Comdty",$M$32)</f>
        <v>03/03/2025</v>
      </c>
      <c r="R555" s="15">
        <f t="shared" si="359"/>
        <v>21</v>
      </c>
      <c r="S555" s="23">
        <v>0.02</v>
      </c>
      <c r="T555" s="21">
        <f t="shared" si="320"/>
        <v>3.7538433333333336E-2</v>
      </c>
      <c r="U555" s="12">
        <v>0.5</v>
      </c>
      <c r="V555" s="97">
        <f t="shared" si="285"/>
        <v>46.246156666666664</v>
      </c>
      <c r="W555" s="15">
        <v>15</v>
      </c>
      <c r="X555" s="15">
        <v>20</v>
      </c>
      <c r="Y555" s="15">
        <v>25</v>
      </c>
      <c r="Z555" s="18">
        <f t="shared" si="333"/>
        <v>3.7538433333333336</v>
      </c>
      <c r="AA555" s="18">
        <f t="shared" si="334"/>
        <v>50</v>
      </c>
      <c r="AB555" s="18">
        <f t="shared" si="335"/>
        <v>46.246156666666664</v>
      </c>
      <c r="AE555" s="44" cm="1">
        <f t="array" ref="AE555">_xll.BDH("COMXGOLD Comdty","PX_Last", N555)</f>
        <v>33860626.572999999</v>
      </c>
      <c r="AF555" s="15" t="s">
        <v>49</v>
      </c>
      <c r="AG555" s="44" cm="1">
        <f t="array" ref="AG555">_xll.BDH(AF555,"FUT_AGGTE_OPEN_INT",A555)</f>
        <v>534054</v>
      </c>
      <c r="AH555" s="44">
        <f t="shared" si="360"/>
        <v>53405400</v>
      </c>
      <c r="AI555" s="48">
        <f t="shared" si="361"/>
        <v>0.63403001518573021</v>
      </c>
      <c r="AK555" s="44" cm="1">
        <f t="array" ref="AK555">_xll.BDH("COMXSILV Comdty","PX_Last", N555)</f>
        <v>360757.88</v>
      </c>
      <c r="AL555" s="15" t="s">
        <v>48</v>
      </c>
      <c r="AM555" s="47" cm="1">
        <f t="array" ref="AM555">_xll.BDH(AL555,"FUT_AGGTE_OPEN_INT",A555)</f>
        <v>169448</v>
      </c>
      <c r="AN555" s="45">
        <f t="shared" si="362"/>
        <v>425.80364477597846</v>
      </c>
      <c r="AO555" s="46">
        <f t="shared" si="363"/>
        <v>36075788000</v>
      </c>
      <c r="AP555" s="46">
        <f t="shared" si="364"/>
        <v>847240</v>
      </c>
    </row>
    <row r="556" spans="1:42" x14ac:dyDescent="0.2">
      <c r="A556" s="71">
        <v>45695</v>
      </c>
      <c r="B556" s="16" cm="1">
        <f t="array" ref="B556">_xll.BADDPERIODS(A556, "PER=WD", "NUMBEROFPERIODS=2", "BUSDAYADJ=-2", "CDR=GQ", "CDR=P9")</f>
        <v>45699</v>
      </c>
      <c r="C556" s="15" cm="1">
        <f t="array" ref="C556">_xll.BDH("XAU Curncy","PX_LAST",A556,A556)</f>
        <v>2861.07</v>
      </c>
      <c r="D556" s="15" t="str" cm="1">
        <f t="array" ref="D556">_xll.BDP("GCJ5 Comdty",$M$32)</f>
        <v>01/04/2025</v>
      </c>
      <c r="E556" s="15">
        <f t="shared" si="358"/>
        <v>49</v>
      </c>
      <c r="F556" s="23">
        <v>2.5000000000000001E-2</v>
      </c>
      <c r="G556" s="28">
        <f t="shared" si="355"/>
        <v>9.735585416666666</v>
      </c>
      <c r="H556" s="12">
        <v>27</v>
      </c>
      <c r="I556" s="98">
        <f t="shared" si="352"/>
        <v>17.264414583333334</v>
      </c>
      <c r="J556" s="26">
        <v>4</v>
      </c>
      <c r="K556" s="26">
        <v>6</v>
      </c>
      <c r="L556" s="26">
        <v>8</v>
      </c>
      <c r="N556" s="71">
        <v>45695</v>
      </c>
      <c r="O556" s="16" cm="1">
        <f t="array" ref="O556">_xll.BADDPERIODS(N556, "PER=WD", "NUMBEROFPERIODS=2", "BUSDAYADJ=-2", "CDR=GQ", "CDR=P9")</f>
        <v>45699</v>
      </c>
      <c r="P556" s="15" cm="1">
        <f t="array" ref="P556">_xll.BDH("XAG Curncy","PX_LAST",N556,N556)</f>
        <v>31.8155</v>
      </c>
      <c r="Q556" s="15" t="str" cm="1">
        <f t="array" ref="Q556">_xll.BDP("SIH5 Comdty",$M$32)</f>
        <v>03/03/2025</v>
      </c>
      <c r="R556" s="15">
        <f t="shared" si="359"/>
        <v>20</v>
      </c>
      <c r="S556" s="23">
        <v>0.02</v>
      </c>
      <c r="T556" s="21">
        <f t="shared" si="320"/>
        <v>3.5350555555555552E-2</v>
      </c>
      <c r="U556" s="12">
        <v>0.52</v>
      </c>
      <c r="V556" s="97">
        <f t="shared" si="285"/>
        <v>48.464944444444448</v>
      </c>
      <c r="W556" s="15">
        <v>15</v>
      </c>
      <c r="X556" s="15">
        <v>20</v>
      </c>
      <c r="Y556" s="15">
        <v>25</v>
      </c>
      <c r="Z556" s="18">
        <f t="shared" si="333"/>
        <v>3.5350555555555552</v>
      </c>
      <c r="AA556" s="18">
        <f t="shared" si="334"/>
        <v>52</v>
      </c>
      <c r="AB556" s="18">
        <f t="shared" si="335"/>
        <v>48.464944444444448</v>
      </c>
      <c r="AE556" s="44" cm="1">
        <f t="array" ref="AE556">_xll.BDH("COMXGOLD Comdty","PX_Last", N556)</f>
        <v>34595400.365999997</v>
      </c>
      <c r="AF556" s="15" t="s">
        <v>49</v>
      </c>
      <c r="AG556" s="44" cm="1">
        <f t="array" ref="AG556">_xll.BDH(AF556,"FUT_AGGTE_OPEN_INT",A556)</f>
        <v>530738</v>
      </c>
      <c r="AH556" s="44">
        <f t="shared" ref="AH556:AH560" si="365">AG556*$AG$17</f>
        <v>53073800</v>
      </c>
      <c r="AI556" s="48">
        <f t="shared" ref="AI556:AI560" si="366">AE556/AH556</f>
        <v>0.6518357525935583</v>
      </c>
      <c r="AK556" s="44" cm="1">
        <f t="array" ref="AK556">_xll.BDH("COMXSILV Comdty","PX_Last", N556)</f>
        <v>363395.81</v>
      </c>
      <c r="AL556" s="15" t="s">
        <v>48</v>
      </c>
      <c r="AM556" s="47" cm="1">
        <f t="array" ref="AM556">_xll.BDH(AL556,"FUT_AGGTE_OPEN_INT",A556)</f>
        <v>165139</v>
      </c>
      <c r="AN556" s="45">
        <f t="shared" ref="AN556:AN560" si="367">(AO556/AP556)/100</f>
        <v>440.10901119662827</v>
      </c>
      <c r="AO556" s="46">
        <f t="shared" ref="AO556:AO560" si="368">AK556*100000</f>
        <v>36339581000</v>
      </c>
      <c r="AP556" s="46">
        <f t="shared" ref="AP556:AP560" si="369">(AM556*5000)/1000</f>
        <v>825695</v>
      </c>
    </row>
    <row r="557" spans="1:42" x14ac:dyDescent="0.2">
      <c r="A557" s="71">
        <v>45698</v>
      </c>
      <c r="B557" s="16" cm="1">
        <f t="array" ref="B557">_xll.BADDPERIODS(A557, "PER=WD", "NUMBEROFPERIODS=2", "BUSDAYADJ=-2", "CDR=GQ", "CDR=P9")</f>
        <v>45700</v>
      </c>
      <c r="C557" s="15" cm="1">
        <f t="array" ref="C557">_xll.BDH("XAU Curncy","PX_LAST",A557,A557)</f>
        <v>2908.26</v>
      </c>
      <c r="D557" s="15" t="str" cm="1">
        <f t="array" ref="D557">_xll.BDP("GCJ5 Comdty",$M$32)</f>
        <v>01/04/2025</v>
      </c>
      <c r="E557" s="15">
        <f t="shared" ref="E557:E561" si="370">_xlfn.DAYS(D557,B557)</f>
        <v>48</v>
      </c>
      <c r="F557" s="23">
        <v>2.3E-2</v>
      </c>
      <c r="G557" s="28">
        <f t="shared" si="355"/>
        <v>8.9186639999999997</v>
      </c>
      <c r="H557" s="12">
        <v>26.5</v>
      </c>
      <c r="I557" s="99">
        <f t="shared" si="352"/>
        <v>17.581336</v>
      </c>
      <c r="J557" s="26">
        <v>4</v>
      </c>
      <c r="K557" s="26">
        <v>6</v>
      </c>
      <c r="L557" s="26">
        <v>8</v>
      </c>
      <c r="N557" s="71">
        <v>45698</v>
      </c>
      <c r="O557" s="16" cm="1">
        <f t="array" ref="O557">_xll.BADDPERIODS(N557, "PER=WD", "NUMBEROFPERIODS=2", "BUSDAYADJ=-2", "CDR=GQ", "CDR=P9")</f>
        <v>45700</v>
      </c>
      <c r="P557" s="15" cm="1">
        <f t="array" ref="P557">_xll.BDH("XAG Curncy","PX_LAST",N557,N557)</f>
        <v>32.052199999999999</v>
      </c>
      <c r="Q557" s="15" t="str" cm="1">
        <f t="array" ref="Q557">_xll.BDP("SIH5 Comdty",$M$32)</f>
        <v>03/03/2025</v>
      </c>
      <c r="R557" s="15">
        <f t="shared" ref="R557:R561" si="371">_xlfn.DAYS(Q557,O557)</f>
        <v>19</v>
      </c>
      <c r="S557" s="23">
        <v>0.01</v>
      </c>
      <c r="T557" s="21">
        <f t="shared" si="320"/>
        <v>1.6916438888888888E-2</v>
      </c>
      <c r="U557" s="12">
        <v>0.52</v>
      </c>
      <c r="V557" s="100">
        <f t="shared" si="285"/>
        <v>50.308356111111109</v>
      </c>
      <c r="W557" s="15">
        <v>15</v>
      </c>
      <c r="X557" s="15">
        <v>20</v>
      </c>
      <c r="Y557" s="15">
        <v>25</v>
      </c>
      <c r="Z557" s="18">
        <f t="shared" ref="Z557:Z559" si="372">100*T557</f>
        <v>1.6916438888888889</v>
      </c>
      <c r="AA557" s="18">
        <f t="shared" si="334"/>
        <v>52</v>
      </c>
      <c r="AB557" s="18">
        <f t="shared" si="335"/>
        <v>50.308356111111109</v>
      </c>
      <c r="AE557" s="44" cm="1">
        <f t="array" ref="AE557">_xll.BDH("COMXGOLD Comdty","PX_Last", N557)</f>
        <v>35492633.103</v>
      </c>
      <c r="AF557" s="15" t="s">
        <v>49</v>
      </c>
      <c r="AG557" s="44" cm="1">
        <f t="array" ref="AG557">_xll.BDH(AF557,"FUT_AGGTE_OPEN_INT",A557)</f>
        <v>536202</v>
      </c>
      <c r="AH557" s="44">
        <f t="shared" si="365"/>
        <v>53620200</v>
      </c>
      <c r="AI557" s="48">
        <f t="shared" si="366"/>
        <v>0.66192653334004725</v>
      </c>
      <c r="AK557" s="44" cm="1">
        <f t="array" ref="AK557">_xll.BDH("COMXSILV Comdty","PX_Last", N557)</f>
        <v>366853.47</v>
      </c>
      <c r="AL557" s="15" t="s">
        <v>48</v>
      </c>
      <c r="AM557" s="47" cm="1">
        <f t="array" ref="AM557">_xll.BDH(AL557,"FUT_AGGTE_OPEN_INT",A557)</f>
        <v>166626</v>
      </c>
      <c r="AN557" s="45">
        <f t="shared" si="367"/>
        <v>440.33160491159839</v>
      </c>
      <c r="AO557" s="46">
        <f t="shared" si="368"/>
        <v>36685347000</v>
      </c>
      <c r="AP557" s="46">
        <f t="shared" si="369"/>
        <v>833130</v>
      </c>
    </row>
    <row r="558" spans="1:42" x14ac:dyDescent="0.2">
      <c r="A558" s="71">
        <v>45699</v>
      </c>
      <c r="B558" s="16" cm="1">
        <f t="array" ref="B558">_xll.BADDPERIODS(A558, "PER=WD", "NUMBEROFPERIODS=2", "BUSDAYADJ=-2", "CDR=GQ", "CDR=P9")</f>
        <v>45701</v>
      </c>
      <c r="C558" s="15" cm="1">
        <f t="array" ref="C558">_xll.BDH("XAU Curncy","PX_LAST",A558,A558)</f>
        <v>2897.91</v>
      </c>
      <c r="D558" s="15" t="str" cm="1">
        <f t="array" ref="D558">_xll.BDP("GCJ5 Comdty",$M$32)</f>
        <v>01/04/2025</v>
      </c>
      <c r="E558" s="15">
        <f t="shared" si="370"/>
        <v>47</v>
      </c>
      <c r="F558" s="23">
        <v>1.6500000000000001E-2</v>
      </c>
      <c r="G558" s="28">
        <f t="shared" si="355"/>
        <v>6.242581125000001</v>
      </c>
      <c r="H558" s="12">
        <v>28.5</v>
      </c>
      <c r="I558" s="99">
        <f t="shared" si="352"/>
        <v>22.257418874999999</v>
      </c>
      <c r="J558" s="26">
        <v>4</v>
      </c>
      <c r="K558" s="26">
        <v>6</v>
      </c>
      <c r="L558" s="26">
        <v>8</v>
      </c>
      <c r="N558" s="71">
        <v>45699</v>
      </c>
      <c r="O558" s="16" cm="1">
        <f t="array" ref="O558">_xll.BADDPERIODS(N558, "PER=WD", "NUMBEROFPERIODS=2", "BUSDAYADJ=-2", "CDR=GQ", "CDR=P9")</f>
        <v>45701</v>
      </c>
      <c r="P558" s="15" cm="1">
        <f t="array" ref="P558">_xll.BDH("XAG Curncy","PX_LAST",N558,N558)</f>
        <v>31.8155</v>
      </c>
      <c r="Q558" s="15" t="str" cm="1">
        <f t="array" ref="Q558">_xll.BDP("SIH5 Comdty",$M$32)</f>
        <v>03/03/2025</v>
      </c>
      <c r="R558" s="15">
        <f t="shared" si="371"/>
        <v>18</v>
      </c>
      <c r="S558" s="23">
        <v>7.4999999999999997E-3</v>
      </c>
      <c r="T558" s="21">
        <f t="shared" si="320"/>
        <v>1.19308125E-2</v>
      </c>
      <c r="U558" s="12">
        <v>0.5</v>
      </c>
      <c r="V558" s="100">
        <f t="shared" si="285"/>
        <v>48.806918750000001</v>
      </c>
      <c r="W558" s="15">
        <v>15</v>
      </c>
      <c r="X558" s="15">
        <v>20</v>
      </c>
      <c r="Y558" s="15">
        <v>25</v>
      </c>
      <c r="Z558" s="18">
        <f t="shared" si="372"/>
        <v>1.1930812500000001</v>
      </c>
      <c r="AA558" s="18">
        <f t="shared" si="334"/>
        <v>50</v>
      </c>
      <c r="AB558" s="18">
        <f t="shared" si="335"/>
        <v>48.806918750000001</v>
      </c>
      <c r="AE558" s="44" cm="1">
        <f t="array" ref="AE558">_xll.BDH("COMXGOLD Comdty","PX_Last", N558)</f>
        <v>36108702.616999999</v>
      </c>
      <c r="AF558" s="15" t="s">
        <v>49</v>
      </c>
      <c r="AG558" s="44" cm="1">
        <f t="array" ref="AG558">_xll.BDH(AF558,"FUT_AGGTE_OPEN_INT",A558)</f>
        <v>528719</v>
      </c>
      <c r="AH558" s="44">
        <f t="shared" si="365"/>
        <v>52871900</v>
      </c>
      <c r="AI558" s="48">
        <f t="shared" si="366"/>
        <v>0.68294694567435632</v>
      </c>
      <c r="AK558" s="44" cm="1">
        <f t="array" ref="AK558">_xll.BDH("COMXSILV Comdty","PX_Last", N558)</f>
        <v>369868.47</v>
      </c>
      <c r="AL558" s="15" t="s">
        <v>48</v>
      </c>
      <c r="AM558" s="47" cm="1">
        <f t="array" ref="AM558">_xll.BDH(AL558,"FUT_AGGTE_OPEN_INT",A558)</f>
        <v>164251</v>
      </c>
      <c r="AN558" s="45">
        <f t="shared" si="367"/>
        <v>450.36982423242478</v>
      </c>
      <c r="AO558" s="46">
        <f t="shared" si="368"/>
        <v>36986847000</v>
      </c>
      <c r="AP558" s="46">
        <f t="shared" si="369"/>
        <v>821255</v>
      </c>
    </row>
    <row r="559" spans="1:42" x14ac:dyDescent="0.2">
      <c r="A559" s="71">
        <v>45700</v>
      </c>
      <c r="B559" s="16" cm="1">
        <f t="array" ref="B559">_xll.BADDPERIODS(A559, "PER=WD", "NUMBEROFPERIODS=2", "BUSDAYADJ=-2", "CDR=GQ", "CDR=P9")</f>
        <v>45702</v>
      </c>
      <c r="C559" s="15" cm="1">
        <f t="array" ref="C559">_xll.BDH("XAU Curncy","PX_LAST",A559,A559)</f>
        <v>2904.04</v>
      </c>
      <c r="D559" s="15" t="str" cm="1">
        <f t="array" ref="D559">_xll.BDP("GCJ5 Comdty",$M$32)</f>
        <v>01/04/2025</v>
      </c>
      <c r="E559" s="15">
        <f t="shared" si="370"/>
        <v>46</v>
      </c>
      <c r="F559" s="23">
        <v>1.4999999999999999E-2</v>
      </c>
      <c r="G559" s="28">
        <f t="shared" si="355"/>
        <v>5.5660766666666657</v>
      </c>
      <c r="H559" s="12">
        <v>27.5</v>
      </c>
      <c r="I559" s="99">
        <f t="shared" si="352"/>
        <v>21.933923333333333</v>
      </c>
      <c r="J559" s="26">
        <v>4</v>
      </c>
      <c r="K559" s="26">
        <v>6</v>
      </c>
      <c r="L559" s="26">
        <v>8</v>
      </c>
      <c r="N559" s="71">
        <v>45700</v>
      </c>
      <c r="O559" s="16" cm="1">
        <f t="array" ref="O559">_xll.BADDPERIODS(N559, "PER=WD", "NUMBEROFPERIODS=2", "BUSDAYADJ=-2", "CDR=GQ", "CDR=P9")</f>
        <v>45702</v>
      </c>
      <c r="P559" s="15" cm="1">
        <f t="array" ref="P559">_xll.BDH("XAG Curncy","PX_LAST",N559,N559)</f>
        <v>32.238799999999998</v>
      </c>
      <c r="Q559" s="15" t="str" cm="1">
        <f t="array" ref="Q559">_xll.BDP("SIH5 Comdty",$M$32)</f>
        <v>03/03/2025</v>
      </c>
      <c r="R559" s="15">
        <f t="shared" si="371"/>
        <v>17</v>
      </c>
      <c r="S559" s="23">
        <v>0.01</v>
      </c>
      <c r="T559" s="21">
        <f t="shared" si="320"/>
        <v>1.5223877777777776E-2</v>
      </c>
      <c r="U559" s="12">
        <v>0.49</v>
      </c>
      <c r="V559" s="100">
        <f t="shared" si="285"/>
        <v>47.47761222222222</v>
      </c>
      <c r="W559" s="15">
        <v>15</v>
      </c>
      <c r="X559" s="15">
        <v>20</v>
      </c>
      <c r="Y559" s="15">
        <v>25</v>
      </c>
      <c r="Z559" s="18">
        <f t="shared" si="372"/>
        <v>1.5223877777777777</v>
      </c>
      <c r="AA559" s="18">
        <f t="shared" si="334"/>
        <v>49</v>
      </c>
      <c r="AB559" s="18">
        <f t="shared" si="335"/>
        <v>47.47761222222222</v>
      </c>
      <c r="AE559" s="44" cm="1">
        <f t="array" ref="AE559">_xll.BDH("COMXGOLD Comdty","PX_Last", N559)</f>
        <v>36454293.715999998</v>
      </c>
      <c r="AF559" s="15" t="s">
        <v>49</v>
      </c>
      <c r="AG559" s="44" cm="1">
        <f t="array" ref="AG559">_xll.BDH(AF559,"FUT_AGGTE_OPEN_INT",A559)</f>
        <v>528051</v>
      </c>
      <c r="AH559" s="44">
        <f t="shared" si="365"/>
        <v>52805100</v>
      </c>
      <c r="AI559" s="48">
        <f t="shared" si="366"/>
        <v>0.69035554739977767</v>
      </c>
      <c r="AK559" s="44" cm="1">
        <f t="array" ref="AK559">_xll.BDH("COMXSILV Comdty","PX_Last", N559)</f>
        <v>372304.63</v>
      </c>
      <c r="AL559" s="15" t="s">
        <v>48</v>
      </c>
      <c r="AM559" s="47" cm="1">
        <f t="array" ref="AM559">_xll.BDH(AL559,"FUT_AGGTE_OPEN_INT",A559)</f>
        <v>165339</v>
      </c>
      <c r="AN559" s="45">
        <f t="shared" si="367"/>
        <v>450.35306854402165</v>
      </c>
      <c r="AO559" s="46">
        <f t="shared" si="368"/>
        <v>37230463000</v>
      </c>
      <c r="AP559" s="46">
        <f t="shared" si="369"/>
        <v>826695</v>
      </c>
    </row>
    <row r="560" spans="1:42" x14ac:dyDescent="0.2">
      <c r="A560" s="71">
        <v>45701</v>
      </c>
      <c r="B560" s="16" cm="1">
        <f t="array" ref="B560">_xll.BADDPERIODS(A560, "PER=WD", "NUMBEROFPERIODS=2", "BUSDAYADJ=-2", "CDR=GQ", "CDR=P9")</f>
        <v>45706</v>
      </c>
      <c r="C560" s="15" cm="1">
        <f t="array" ref="C560">_xll.BDH("XAU Curncy","PX_LAST",A560,A560)</f>
        <v>2928.21</v>
      </c>
      <c r="D560" s="15" t="str" cm="1">
        <f t="array" ref="D560">_xll.BDP("GCJ5 Comdty",$M$32)</f>
        <v>01/04/2025</v>
      </c>
      <c r="E560" s="15">
        <f t="shared" si="370"/>
        <v>42</v>
      </c>
      <c r="F560" s="23">
        <v>0.01</v>
      </c>
      <c r="G560" s="28">
        <f t="shared" si="355"/>
        <v>3.416245</v>
      </c>
      <c r="H560" s="12">
        <v>29</v>
      </c>
      <c r="I560" s="99">
        <f t="shared" si="352"/>
        <v>25.583755</v>
      </c>
      <c r="J560" s="26">
        <v>4</v>
      </c>
      <c r="K560" s="26">
        <v>6</v>
      </c>
      <c r="L560" s="26">
        <v>8</v>
      </c>
      <c r="N560" s="71">
        <v>45701</v>
      </c>
      <c r="O560" s="16" cm="1">
        <f t="array" ref="O560">_xll.BADDPERIODS(N560, "PER=WD", "NUMBEROFPERIODS=2", "BUSDAYADJ=-2", "CDR=GQ", "CDR=P9")</f>
        <v>45706</v>
      </c>
      <c r="P560" s="15" cm="1">
        <f t="array" ref="P560">_xll.BDH("XAG Curncy","PX_LAST",N560,N560)</f>
        <v>32.344200000000001</v>
      </c>
      <c r="Q560" s="15" t="str" cm="1">
        <f t="array" ref="Q560">_xll.BDP("SIH5 Comdty",$M$32)</f>
        <v>03/03/2025</v>
      </c>
      <c r="R560" s="15">
        <f t="shared" si="371"/>
        <v>13</v>
      </c>
      <c r="S560" s="23">
        <v>0.01</v>
      </c>
      <c r="T560" s="21">
        <f t="shared" si="320"/>
        <v>1.1679849999999999E-2</v>
      </c>
      <c r="U560" s="12">
        <v>0.53</v>
      </c>
      <c r="V560" s="100">
        <f t="shared" si="285"/>
        <v>51.832014999999998</v>
      </c>
      <c r="W560" s="15">
        <v>15</v>
      </c>
      <c r="X560" s="15">
        <v>20</v>
      </c>
      <c r="Y560" s="15">
        <v>25</v>
      </c>
      <c r="Z560" s="18">
        <f t="shared" ref="Z560:Z586" si="373">100*T560</f>
        <v>1.1679849999999998</v>
      </c>
      <c r="AA560" s="18">
        <f t="shared" ref="AA560:AA586" si="374">U560*100</f>
        <v>53</v>
      </c>
      <c r="AB560" s="18">
        <f t="shared" ref="AB560:AB586" si="375">V560</f>
        <v>51.832014999999998</v>
      </c>
      <c r="AE560" s="44" cm="1">
        <f t="array" ref="AE560">_xll.BDH("COMXGOLD Comdty","PX_Last", N560)</f>
        <v>37055805.164999999</v>
      </c>
      <c r="AF560" s="15" t="s">
        <v>49</v>
      </c>
      <c r="AG560" s="44" cm="1">
        <f t="array" ref="AG560">_xll.BDH(AF560,"FUT_AGGTE_OPEN_INT",A560)</f>
        <v>530293</v>
      </c>
      <c r="AH560" s="44">
        <f t="shared" si="365"/>
        <v>53029300</v>
      </c>
      <c r="AI560" s="48">
        <f t="shared" si="366"/>
        <v>0.69877982860418675</v>
      </c>
      <c r="AK560" s="44" cm="1">
        <f t="array" ref="AK560">_xll.BDH("COMXSILV Comdty","PX_Last", N560)</f>
        <v>375843.97</v>
      </c>
      <c r="AL560" s="15" t="s">
        <v>48</v>
      </c>
      <c r="AM560" s="47" cm="1">
        <f t="array" ref="AM560">_xll.BDH(AL560,"FUT_AGGTE_OPEN_INT",A560)</f>
        <v>169054</v>
      </c>
      <c r="AN560" s="45">
        <f t="shared" si="367"/>
        <v>444.64368781572756</v>
      </c>
      <c r="AO560" s="46">
        <f t="shared" si="368"/>
        <v>37584397000</v>
      </c>
      <c r="AP560" s="46">
        <f t="shared" si="369"/>
        <v>845270</v>
      </c>
    </row>
    <row r="561" spans="1:42" x14ac:dyDescent="0.2">
      <c r="A561" s="71">
        <v>45702</v>
      </c>
      <c r="B561" s="16" cm="1">
        <f t="array" ref="B561">_xll.BADDPERIODS(A561, "PER=WD", "NUMBEROFPERIODS=2", "BUSDAYADJ=-2", "CDR=GQ", "CDR=P9")</f>
        <v>45707</v>
      </c>
      <c r="C561" s="15" cm="1">
        <f t="array" ref="C561">_xll.BDH("XAU Curncy","PX_LAST",A561,A561)</f>
        <v>2882.53</v>
      </c>
      <c r="D561" s="15" t="str" cm="1">
        <f t="array" ref="D561">_xll.BDP("GCJ5 Comdty",$M$32)</f>
        <v>01/04/2025</v>
      </c>
      <c r="E561" s="15">
        <f t="shared" si="370"/>
        <v>41</v>
      </c>
      <c r="F561" s="23">
        <v>1.4999999999999999E-2</v>
      </c>
      <c r="G561" s="28">
        <f t="shared" si="355"/>
        <v>4.9243220833333332</v>
      </c>
      <c r="H561" s="12">
        <v>18</v>
      </c>
      <c r="I561" s="99">
        <f t="shared" si="352"/>
        <v>13.075677916666667</v>
      </c>
      <c r="J561" s="26">
        <v>4</v>
      </c>
      <c r="K561" s="26">
        <v>6</v>
      </c>
      <c r="L561" s="26">
        <v>8</v>
      </c>
      <c r="N561" s="71">
        <v>45702</v>
      </c>
      <c r="O561" s="16" cm="1">
        <f t="array" ref="O561">_xll.BADDPERIODS(N561, "PER=WD", "NUMBEROFPERIODS=2", "BUSDAYADJ=-2", "CDR=GQ", "CDR=P9")</f>
        <v>45707</v>
      </c>
      <c r="P561" s="15" cm="1">
        <f t="array" ref="P561">_xll.BDH("XAG Curncy","PX_LAST",N561,N561)</f>
        <v>32.103000000000002</v>
      </c>
      <c r="Q561" s="15" t="str" cm="1">
        <f t="array" ref="Q561">_xll.BDP("SIH5 Comdty",$M$32)</f>
        <v>03/03/2025</v>
      </c>
      <c r="R561" s="15">
        <f t="shared" si="371"/>
        <v>12</v>
      </c>
      <c r="S561" s="23">
        <v>0.01</v>
      </c>
      <c r="T561" s="21">
        <f t="shared" si="320"/>
        <v>1.0701E-2</v>
      </c>
      <c r="U561" s="12">
        <v>0.6</v>
      </c>
      <c r="V561" s="100">
        <f t="shared" si="285"/>
        <v>58.929900000000004</v>
      </c>
      <c r="W561" s="15">
        <v>15</v>
      </c>
      <c r="X561" s="15">
        <v>20</v>
      </c>
      <c r="Y561" s="15">
        <v>25</v>
      </c>
      <c r="Z561" s="18">
        <f t="shared" si="373"/>
        <v>1.0701000000000001</v>
      </c>
      <c r="AA561" s="18">
        <f t="shared" si="374"/>
        <v>60</v>
      </c>
      <c r="AB561" s="18">
        <f t="shared" si="375"/>
        <v>58.929900000000004</v>
      </c>
      <c r="AE561" s="44" cm="1">
        <f t="array" ref="AE561">_xll.BDH("COMXGOLD Comdty","PX_Last", N561)</f>
        <v>37448324.321999997</v>
      </c>
      <c r="AF561" s="15" t="s">
        <v>49</v>
      </c>
      <c r="AG561" s="44" cm="1">
        <f t="array" ref="AG561">_xll.BDH(AF561,"FUT_AGGTE_OPEN_INT",A561)</f>
        <v>522932</v>
      </c>
      <c r="AH561" s="44">
        <f t="shared" ref="AH561:AH565" si="376">AG561*$AG$17</f>
        <v>52293200</v>
      </c>
      <c r="AI561" s="48">
        <f t="shared" ref="AI561:AI565" si="377">AE561/AH561</f>
        <v>0.71612225532191565</v>
      </c>
      <c r="AK561" s="44" cm="1">
        <f t="array" ref="AK561">_xll.BDH("COMXSILV Comdty","PX_Last", N561)</f>
        <v>377888.78</v>
      </c>
      <c r="AL561" s="15" t="s">
        <v>48</v>
      </c>
      <c r="AM561" s="47" cm="1">
        <f t="array" ref="AM561">_xll.BDH(AL561,"FUT_AGGTE_OPEN_INT",A561)</f>
        <v>169483</v>
      </c>
      <c r="AN561" s="45">
        <f t="shared" ref="AN561:AN565" si="378">(AO561/AP561)/100</f>
        <v>445.93119073889414</v>
      </c>
      <c r="AO561" s="46">
        <f t="shared" ref="AO561:AO565" si="379">AK561*100000</f>
        <v>37788878000</v>
      </c>
      <c r="AP561" s="46">
        <f t="shared" ref="AP561:AP565" si="380">(AM561*5000)/1000</f>
        <v>847415</v>
      </c>
    </row>
    <row r="562" spans="1:42" x14ac:dyDescent="0.2">
      <c r="A562" s="71">
        <v>45705</v>
      </c>
      <c r="B562" s="16" cm="1">
        <f t="array" ref="B562">_xll.BADDPERIODS(A562, "PER=WD", "NUMBEROFPERIODS=2", "BUSDAYADJ=-2", "CDR=GQ", "CDR=P9")</f>
        <v>45707</v>
      </c>
      <c r="C562" s="15" cm="1">
        <f t="array" ref="C562">_xll.BDH("XAU Curncy","PX_LAST",A562,A562)</f>
        <v>2896.56</v>
      </c>
      <c r="D562" s="15" t="str" cm="1">
        <f t="array" ref="D562">_xll.BDP("GCJ5 Comdty",$M$32)</f>
        <v>01/04/2025</v>
      </c>
      <c r="E562" s="15">
        <f t="shared" ref="E562:E581" si="381">_xlfn.DAYS(D562,B562)</f>
        <v>41</v>
      </c>
      <c r="F562" s="23">
        <v>1.6E-2</v>
      </c>
      <c r="G562" s="28">
        <f t="shared" si="355"/>
        <v>5.2781759999999993</v>
      </c>
      <c r="H562" s="12">
        <v>14</v>
      </c>
      <c r="I562" s="99">
        <f t="shared" ref="I562:I632" si="382">H562-G562</f>
        <v>8.7218240000000016</v>
      </c>
      <c r="J562" s="26">
        <v>4</v>
      </c>
      <c r="K562" s="26">
        <v>6</v>
      </c>
      <c r="L562" s="26">
        <v>8</v>
      </c>
      <c r="N562" s="71">
        <v>45705</v>
      </c>
      <c r="O562" s="16" cm="1">
        <f t="array" ref="O562">_xll.BADDPERIODS(N562, "PER=WD", "NUMBEROFPERIODS=2", "BUSDAYADJ=-2", "CDR=GQ", "CDR=P9")</f>
        <v>45707</v>
      </c>
      <c r="P562" s="15" cm="1">
        <f t="array" ref="P562">_xll.BDH("XAG Curncy","PX_LAST",N562,N562)</f>
        <v>32.336500000000001</v>
      </c>
      <c r="Q562" s="15" t="str" cm="1">
        <f t="array" ref="Q562">_xll.BDP("SIH5 Comdty",$M$32)</f>
        <v>03/03/2025</v>
      </c>
      <c r="R562" s="15">
        <f t="shared" ref="R562:R566" si="383">_xlfn.DAYS(Q562,O562)</f>
        <v>12</v>
      </c>
      <c r="S562" s="23">
        <v>0.01</v>
      </c>
      <c r="T562" s="21">
        <f t="shared" si="320"/>
        <v>1.0778833333333333E-2</v>
      </c>
      <c r="U562" s="12">
        <v>0.56999999999999995</v>
      </c>
      <c r="V562" s="100">
        <f t="shared" si="285"/>
        <v>55.922116666666668</v>
      </c>
      <c r="W562" s="15">
        <v>15</v>
      </c>
      <c r="X562" s="15">
        <v>20</v>
      </c>
      <c r="Y562" s="15">
        <v>25</v>
      </c>
      <c r="Z562" s="18">
        <f t="shared" si="373"/>
        <v>1.0778833333333333</v>
      </c>
      <c r="AA562" s="18">
        <f t="shared" si="374"/>
        <v>56.999999999999993</v>
      </c>
      <c r="AB562" s="18">
        <f t="shared" si="375"/>
        <v>55.922116666666668</v>
      </c>
      <c r="AE562" s="44">
        <v>37448324.321999997</v>
      </c>
      <c r="AF562" s="15" t="s">
        <v>49</v>
      </c>
      <c r="AG562" s="44">
        <v>522932</v>
      </c>
      <c r="AH562" s="44">
        <v>52293200</v>
      </c>
      <c r="AI562" s="48">
        <v>0.71612225532191565</v>
      </c>
      <c r="AK562" s="44">
        <v>377888.78</v>
      </c>
      <c r="AL562" s="15" t="s">
        <v>48</v>
      </c>
      <c r="AM562" s="47">
        <v>169483</v>
      </c>
      <c r="AN562" s="45">
        <v>445.93119073889414</v>
      </c>
      <c r="AO562" s="46">
        <v>37788878000</v>
      </c>
      <c r="AP562" s="46">
        <v>847415</v>
      </c>
    </row>
    <row r="563" spans="1:42" x14ac:dyDescent="0.2">
      <c r="A563" s="71">
        <v>45706</v>
      </c>
      <c r="B563" s="16" cm="1">
        <f t="array" ref="B563">_xll.BADDPERIODS(A563, "PER=WD", "NUMBEROFPERIODS=2", "BUSDAYADJ=-2", "CDR=GQ", "CDR=P9")</f>
        <v>45708</v>
      </c>
      <c r="C563" s="15" cm="1">
        <f t="array" ref="C563">_xll.BDH("XAU Curncy","PX_LAST",A563,A563)</f>
        <v>2936.02</v>
      </c>
      <c r="D563" s="15" t="str" cm="1">
        <f t="array" ref="D563">_xll.BDP("GCJ5 Comdty",$M$32)</f>
        <v>01/04/2025</v>
      </c>
      <c r="E563" s="15">
        <f t="shared" si="381"/>
        <v>40</v>
      </c>
      <c r="F563" s="23">
        <v>0.03</v>
      </c>
      <c r="G563" s="28">
        <f t="shared" si="355"/>
        <v>9.7867333333333324</v>
      </c>
      <c r="H563" s="12">
        <v>17</v>
      </c>
      <c r="I563" s="99">
        <f t="shared" si="382"/>
        <v>7.2132666666666676</v>
      </c>
      <c r="J563" s="26">
        <v>4</v>
      </c>
      <c r="K563" s="26">
        <v>6</v>
      </c>
      <c r="L563" s="26">
        <v>8</v>
      </c>
      <c r="N563" s="71">
        <v>45706</v>
      </c>
      <c r="O563" s="16" cm="1">
        <f t="array" ref="O563">_xll.BADDPERIODS(N563, "PER=WD", "NUMBEROFPERIODS=2", "BUSDAYADJ=-2", "CDR=GQ", "CDR=P9")</f>
        <v>45708</v>
      </c>
      <c r="P563" s="15" cm="1">
        <f t="array" ref="P563">_xll.BDH("XAG Curncy","PX_LAST",N563,N563)</f>
        <v>32.880800000000001</v>
      </c>
      <c r="Q563" s="15" t="str" cm="1">
        <f t="array" ref="Q563">_xll.BDP("SIH5 Comdty",$M$32)</f>
        <v>03/03/2025</v>
      </c>
      <c r="R563" s="15">
        <f t="shared" si="383"/>
        <v>11</v>
      </c>
      <c r="S563" s="23">
        <v>5.0000000000000001E-3</v>
      </c>
      <c r="T563" s="21">
        <f t="shared" si="320"/>
        <v>5.023455555555556E-3</v>
      </c>
      <c r="U563" s="12">
        <v>0.55000000000000004</v>
      </c>
      <c r="V563" s="100">
        <f t="shared" si="285"/>
        <v>54.497654444444457</v>
      </c>
      <c r="W563" s="15">
        <v>15</v>
      </c>
      <c r="X563" s="15">
        <v>20</v>
      </c>
      <c r="Y563" s="15">
        <v>25</v>
      </c>
      <c r="Z563" s="18">
        <f t="shared" si="373"/>
        <v>0.5023455555555556</v>
      </c>
      <c r="AA563" s="18">
        <f t="shared" si="374"/>
        <v>55.000000000000007</v>
      </c>
      <c r="AB563" s="18">
        <f t="shared" si="375"/>
        <v>54.497654444444457</v>
      </c>
      <c r="AE563" s="44" cm="1">
        <f t="array" ref="AE563">_xll.BDH("COMXGOLD Comdty","PX_Last", N563)</f>
        <v>37608078.990000002</v>
      </c>
      <c r="AF563" s="15" t="s">
        <v>49</v>
      </c>
      <c r="AG563" s="44" cm="1">
        <f t="array" ref="AG563">_xll.BDH(AF563,"FUT_AGGTE_OPEN_INT",A563)</f>
        <v>522330</v>
      </c>
      <c r="AH563" s="44">
        <f t="shared" si="376"/>
        <v>52233000</v>
      </c>
      <c r="AI563" s="48">
        <f t="shared" si="377"/>
        <v>0.72000610705875601</v>
      </c>
      <c r="AK563" s="44" cm="1">
        <f t="array" ref="AK563">_xll.BDH("COMXSILV Comdty","PX_Last", N563)</f>
        <v>380076.41</v>
      </c>
      <c r="AL563" s="15" t="s">
        <v>48</v>
      </c>
      <c r="AM563" s="47" cm="1">
        <f t="array" ref="AM563">_xll.BDH(AL563,"FUT_AGGTE_OPEN_INT",A563)</f>
        <v>170107</v>
      </c>
      <c r="AN563" s="45">
        <f t="shared" si="378"/>
        <v>446.86745401423809</v>
      </c>
      <c r="AO563" s="46">
        <f t="shared" si="379"/>
        <v>38007641000</v>
      </c>
      <c r="AP563" s="46">
        <f t="shared" si="380"/>
        <v>850535</v>
      </c>
    </row>
    <row r="564" spans="1:42" x14ac:dyDescent="0.2">
      <c r="A564" s="71">
        <v>45707</v>
      </c>
      <c r="B564" s="16" cm="1">
        <f t="array" ref="B564">_xll.BADDPERIODS(A564, "PER=WD", "NUMBEROFPERIODS=2", "BUSDAYADJ=-2", "CDR=GQ", "CDR=P9")</f>
        <v>45709</v>
      </c>
      <c r="C564" s="15" cm="1">
        <f t="array" ref="C564">_xll.BDH("XAU Curncy","PX_LAST",A564,A564)</f>
        <v>2933.39</v>
      </c>
      <c r="D564" s="15" t="str" cm="1">
        <f t="array" ref="D564">_xll.BDP("GCJ5 Comdty",$M$32)</f>
        <v>01/04/2025</v>
      </c>
      <c r="E564" s="15">
        <f t="shared" si="381"/>
        <v>39</v>
      </c>
      <c r="F564" s="23">
        <v>3.2500000000000001E-2</v>
      </c>
      <c r="G564" s="28">
        <f t="shared" si="355"/>
        <v>10.327977291666667</v>
      </c>
      <c r="H564" s="12">
        <v>18</v>
      </c>
      <c r="I564" s="99">
        <f t="shared" si="382"/>
        <v>7.6720227083333334</v>
      </c>
      <c r="J564" s="26">
        <v>4</v>
      </c>
      <c r="K564" s="26">
        <v>6</v>
      </c>
      <c r="L564" s="26">
        <v>8</v>
      </c>
      <c r="N564" s="71">
        <v>45707</v>
      </c>
      <c r="O564" s="16" cm="1">
        <f t="array" ref="O564">_xll.BADDPERIODS(N564, "PER=WD", "NUMBEROFPERIODS=2", "BUSDAYADJ=-2", "CDR=GQ", "CDR=P9")</f>
        <v>45709</v>
      </c>
      <c r="P564" s="15" cm="1">
        <f t="array" ref="P564">_xll.BDH("XAG Curncy","PX_LAST",N564,N564)</f>
        <v>32.698</v>
      </c>
      <c r="Q564" s="15" t="str" cm="1">
        <f t="array" ref="Q564">_xll.BDP("SIH5 Comdty",$M$32)</f>
        <v>03/03/2025</v>
      </c>
      <c r="R564" s="15">
        <f t="shared" si="383"/>
        <v>10</v>
      </c>
      <c r="S564" s="23">
        <v>0.03</v>
      </c>
      <c r="T564" s="21">
        <f t="shared" si="320"/>
        <v>2.7248333333333333E-2</v>
      </c>
      <c r="U564" s="12">
        <v>0.49</v>
      </c>
      <c r="V564" s="100">
        <f t="shared" si="285"/>
        <v>46.275166666666664</v>
      </c>
      <c r="W564" s="15">
        <v>15</v>
      </c>
      <c r="X564" s="15">
        <v>20</v>
      </c>
      <c r="Y564" s="15">
        <v>25</v>
      </c>
      <c r="Z564" s="18">
        <f t="shared" si="373"/>
        <v>2.7248333333333332</v>
      </c>
      <c r="AA564" s="18">
        <f t="shared" si="374"/>
        <v>49</v>
      </c>
      <c r="AB564" s="18">
        <f t="shared" si="375"/>
        <v>46.275166666666664</v>
      </c>
      <c r="AE564" s="44" cm="1">
        <f t="array" ref="AE564">_xll.BDH("COMXGOLD Comdty","PX_Last", N564)</f>
        <v>37983093.443999998</v>
      </c>
      <c r="AF564" s="15" t="s">
        <v>49</v>
      </c>
      <c r="AG564" s="44" cm="1">
        <f t="array" ref="AG564">_xll.BDH(AF564,"FUT_AGGTE_OPEN_INT",A564)</f>
        <v>524184</v>
      </c>
      <c r="AH564" s="44">
        <f t="shared" si="376"/>
        <v>52418400</v>
      </c>
      <c r="AI564" s="48">
        <f t="shared" si="377"/>
        <v>0.72461375097294078</v>
      </c>
      <c r="AK564" s="44" cm="1">
        <f t="array" ref="AK564">_xll.BDH("COMXSILV Comdty","PX_Last", N564)</f>
        <v>385279.81</v>
      </c>
      <c r="AL564" s="15" t="s">
        <v>48</v>
      </c>
      <c r="AM564" s="47" cm="1">
        <f t="array" ref="AM564">_xll.BDH(AL564,"FUT_AGGTE_OPEN_INT",A564)</f>
        <v>169352</v>
      </c>
      <c r="AN564" s="45">
        <f t="shared" si="378"/>
        <v>455.00473569842694</v>
      </c>
      <c r="AO564" s="46">
        <f t="shared" si="379"/>
        <v>38527981000</v>
      </c>
      <c r="AP564" s="46">
        <f t="shared" si="380"/>
        <v>846760</v>
      </c>
    </row>
    <row r="565" spans="1:42" x14ac:dyDescent="0.2">
      <c r="A565" s="71">
        <v>45708</v>
      </c>
      <c r="B565" s="16" cm="1">
        <f t="array" ref="B565">_xll.BADDPERIODS(A565, "PER=WD", "NUMBEROFPERIODS=2", "BUSDAYADJ=-2", "CDR=GQ", "CDR=P9")</f>
        <v>45712</v>
      </c>
      <c r="C565" s="15" cm="1">
        <f t="array" ref="C565">_xll.BDH("XAU Curncy","PX_LAST",A565,A565)</f>
        <v>2938.98</v>
      </c>
      <c r="D565" s="15" t="str" cm="1">
        <f t="array" ref="D565">_xll.BDP("GCJ5 Comdty",$M$32)</f>
        <v>01/04/2025</v>
      </c>
      <c r="E565" s="15">
        <f t="shared" si="381"/>
        <v>36</v>
      </c>
      <c r="F565" s="23">
        <v>3.2500000000000001E-2</v>
      </c>
      <c r="G565" s="28">
        <f t="shared" si="355"/>
        <v>9.5516850000000009</v>
      </c>
      <c r="H565" s="12">
        <v>18</v>
      </c>
      <c r="I565" s="99">
        <f t="shared" si="382"/>
        <v>8.4483149999999991</v>
      </c>
      <c r="J565" s="26">
        <v>4</v>
      </c>
      <c r="K565" s="26">
        <v>6</v>
      </c>
      <c r="L565" s="26">
        <v>8</v>
      </c>
      <c r="N565" s="71">
        <v>45708</v>
      </c>
      <c r="O565" s="16" cm="1">
        <f t="array" ref="O565">_xll.BADDPERIODS(N565, "PER=WD", "NUMBEROFPERIODS=2", "BUSDAYADJ=-2", "CDR=GQ", "CDR=P9")</f>
        <v>45712</v>
      </c>
      <c r="P565" s="15" cm="1">
        <f t="array" ref="P565">_xll.BDH("XAG Curncy","PX_LAST",N565,N565)</f>
        <v>32.961799999999997</v>
      </c>
      <c r="Q565" s="15" t="str" cm="1">
        <f t="array" ref="Q565">_xll.BDP("SIH5 Comdty",$M$32)</f>
        <v>03/03/2025</v>
      </c>
      <c r="R565" s="15">
        <f t="shared" si="383"/>
        <v>7</v>
      </c>
      <c r="S565" s="23">
        <v>0.03</v>
      </c>
      <c r="T565" s="21">
        <f t="shared" si="320"/>
        <v>1.9227716666666665E-2</v>
      </c>
      <c r="U565" s="12">
        <v>0.52</v>
      </c>
      <c r="V565" s="100">
        <f t="shared" si="285"/>
        <v>50.077228333333338</v>
      </c>
      <c r="W565" s="15">
        <v>15</v>
      </c>
      <c r="X565" s="15">
        <v>20</v>
      </c>
      <c r="Y565" s="15">
        <v>25</v>
      </c>
      <c r="Z565" s="18">
        <f t="shared" si="373"/>
        <v>1.9227716666666665</v>
      </c>
      <c r="AA565" s="18">
        <f t="shared" si="374"/>
        <v>52</v>
      </c>
      <c r="AB565" s="18">
        <f t="shared" si="375"/>
        <v>50.077228333333338</v>
      </c>
      <c r="AE565" s="44" cm="1">
        <f t="array" ref="AE565">_xll.BDH("COMXGOLD Comdty","PX_Last", N565)</f>
        <v>38314465.762999997</v>
      </c>
      <c r="AF565" s="15" t="s">
        <v>49</v>
      </c>
      <c r="AG565" s="44" cm="1">
        <f t="array" ref="AG565">_xll.BDH(AF565,"FUT_AGGTE_OPEN_INT",A565)</f>
        <v>526625</v>
      </c>
      <c r="AH565" s="44">
        <f t="shared" si="376"/>
        <v>52662500</v>
      </c>
      <c r="AI565" s="48">
        <f t="shared" si="377"/>
        <v>0.72754741539045809</v>
      </c>
      <c r="AK565" s="44" cm="1">
        <f t="array" ref="AK565">_xll.BDH("COMXSILV Comdty","PX_Last", N565)</f>
        <v>388090.69</v>
      </c>
      <c r="AL565" s="15" t="s">
        <v>48</v>
      </c>
      <c r="AM565" s="47" cm="1">
        <f t="array" ref="AM565">_xll.BDH(AL565,"FUT_AGGTE_OPEN_INT",A565)</f>
        <v>171305</v>
      </c>
      <c r="AN565" s="45">
        <f t="shared" si="378"/>
        <v>453.09908058725659</v>
      </c>
      <c r="AO565" s="46">
        <f t="shared" si="379"/>
        <v>38809069000</v>
      </c>
      <c r="AP565" s="46">
        <f t="shared" si="380"/>
        <v>856525</v>
      </c>
    </row>
    <row r="566" spans="1:42" x14ac:dyDescent="0.2">
      <c r="A566" s="71">
        <v>45709</v>
      </c>
      <c r="B566" s="16" cm="1">
        <f t="array" ref="B566">_xll.BADDPERIODS(A566, "PER=WD", "NUMBEROFPERIODS=2", "BUSDAYADJ=-2", "CDR=GQ", "CDR=P9")</f>
        <v>45713</v>
      </c>
      <c r="C566" s="15" cm="1">
        <f t="array" ref="C566">_xll.BDH("XAU Curncy","PX_LAST",A566,A566)</f>
        <v>2936.05</v>
      </c>
      <c r="D566" s="15" t="str" cm="1">
        <f t="array" ref="D566">_xll.BDP("GCJ5 Comdty",$M$32)</f>
        <v>01/04/2025</v>
      </c>
      <c r="E566" s="15">
        <f t="shared" si="381"/>
        <v>35</v>
      </c>
      <c r="F566" s="23">
        <v>3.3000000000000002E-2</v>
      </c>
      <c r="G566" s="28">
        <f t="shared" si="355"/>
        <v>9.4198270833333329</v>
      </c>
      <c r="H566" s="12">
        <v>15</v>
      </c>
      <c r="I566" s="99">
        <f t="shared" si="382"/>
        <v>5.5801729166666671</v>
      </c>
      <c r="J566" s="26">
        <v>4</v>
      </c>
      <c r="K566" s="26">
        <v>6</v>
      </c>
      <c r="L566" s="26">
        <v>8</v>
      </c>
      <c r="N566" s="71">
        <v>45709</v>
      </c>
      <c r="O566" s="16" cm="1">
        <f t="array" ref="O566">_xll.BADDPERIODS(N566, "PER=WD", "NUMBEROFPERIODS=2", "BUSDAYADJ=-2", "CDR=GQ", "CDR=P9")</f>
        <v>45713</v>
      </c>
      <c r="P566" s="15" cm="1">
        <f t="array" ref="P566">_xll.BDH("XAG Curncy","PX_LAST",N566,N566)</f>
        <v>32.457000000000001</v>
      </c>
      <c r="Q566" s="15" t="str" cm="1">
        <f t="array" ref="Q566">_xll.BDP("SIH5 Comdty",$M$32)</f>
        <v>03/03/2025</v>
      </c>
      <c r="R566" s="15">
        <f t="shared" si="383"/>
        <v>6</v>
      </c>
      <c r="S566" s="23">
        <v>3.7499999999999999E-2</v>
      </c>
      <c r="T566" s="21">
        <f t="shared" si="320"/>
        <v>2.0285625000000002E-2</v>
      </c>
      <c r="U566" s="12">
        <v>0.45</v>
      </c>
      <c r="V566" s="100">
        <f t="shared" si="285"/>
        <v>42.9714375</v>
      </c>
      <c r="W566" s="15">
        <v>15</v>
      </c>
      <c r="X566" s="15">
        <v>20</v>
      </c>
      <c r="Y566" s="15">
        <v>25</v>
      </c>
      <c r="Z566" s="18">
        <f t="shared" si="373"/>
        <v>2.0285625</v>
      </c>
      <c r="AA566" s="18">
        <f t="shared" si="374"/>
        <v>45</v>
      </c>
      <c r="AB566" s="18">
        <f t="shared" si="375"/>
        <v>42.9714375</v>
      </c>
      <c r="AE566" s="44" cm="1">
        <f t="array" ref="AE566">_xll.BDH("COMXGOLD Comdty","PX_Last", N566)</f>
        <v>38590481.714000002</v>
      </c>
      <c r="AF566" s="15" t="s">
        <v>49</v>
      </c>
      <c r="AG566" s="44" cm="1">
        <f t="array" ref="AG566">_xll.BDH(AF566,"FUT_AGGTE_OPEN_INT",A566)</f>
        <v>525321</v>
      </c>
      <c r="AH566" s="44">
        <f t="shared" ref="AH566:AH580" si="384">AG566*$AG$17</f>
        <v>52532100</v>
      </c>
      <c r="AI566" s="48">
        <f t="shared" ref="AI566:AI580" si="385">AE566/AH566</f>
        <v>0.73460763445588506</v>
      </c>
      <c r="AK566" s="44" cm="1">
        <f t="array" ref="AK566">_xll.BDH("COMXSILV Comdty","PX_Last", N566)</f>
        <v>389671.81</v>
      </c>
      <c r="AL566" s="15" t="s">
        <v>48</v>
      </c>
      <c r="AM566" s="47" cm="1">
        <f t="array" ref="AM566">_xll.BDH(AL566,"FUT_AGGTE_OPEN_INT",A566)</f>
        <v>169006</v>
      </c>
      <c r="AN566" s="45">
        <f t="shared" ref="AN566:AN580" si="386">(AO566/AP566)/100</f>
        <v>461.13369939528775</v>
      </c>
      <c r="AO566" s="46">
        <f t="shared" ref="AO566:AO580" si="387">AK566*100000</f>
        <v>38967181000</v>
      </c>
      <c r="AP566" s="46">
        <f t="shared" ref="AP566:AP580" si="388">(AM566*5000)/1000</f>
        <v>845030</v>
      </c>
    </row>
    <row r="567" spans="1:42" x14ac:dyDescent="0.2">
      <c r="A567" s="71">
        <v>45712</v>
      </c>
      <c r="B567" s="16" cm="1">
        <f t="array" ref="B567">_xll.BADDPERIODS(A567, "PER=WD", "NUMBEROFPERIODS=2", "BUSDAYADJ=-2", "CDR=GQ", "CDR=P9")</f>
        <v>45714</v>
      </c>
      <c r="C567" s="15" cm="1">
        <f t="array" ref="C567">_xll.BDH("XAU Curncy","PX_LAST",A567,A567)</f>
        <v>2951.73</v>
      </c>
      <c r="D567" s="15" t="str" cm="1">
        <f t="array" ref="D567">_xll.BDP("GCJ5 Comdty",$M$32)</f>
        <v>01/04/2025</v>
      </c>
      <c r="E567" s="15">
        <f t="shared" si="381"/>
        <v>34</v>
      </c>
      <c r="F567" s="23">
        <v>3.3000000000000002E-2</v>
      </c>
      <c r="G567" s="28">
        <f t="shared" si="355"/>
        <v>9.1995585000000002</v>
      </c>
      <c r="H567" s="12">
        <v>13</v>
      </c>
      <c r="I567" s="101">
        <f t="shared" si="382"/>
        <v>3.8004414999999998</v>
      </c>
      <c r="J567" s="26">
        <v>4</v>
      </c>
      <c r="K567" s="26">
        <v>6</v>
      </c>
      <c r="L567" s="26">
        <v>8</v>
      </c>
      <c r="N567" s="71">
        <v>45712</v>
      </c>
      <c r="O567" s="16" cm="1">
        <f t="array" ref="O567">_xll.BADDPERIODS(N567, "PER=WD", "NUMBEROFPERIODS=2", "BUSDAYADJ=-2", "CDR=GQ", "CDR=P9")</f>
        <v>45714</v>
      </c>
      <c r="P567" s="15" cm="1">
        <f t="array" ref="P567">_xll.BDH("XAG Curncy","PX_LAST",N567,N567)</f>
        <v>32.348799999999997</v>
      </c>
      <c r="Q567" s="15" t="str" cm="1">
        <f t="array" ref="Q567">_xll.BDP("SIH5 Comdty",$M$32)</f>
        <v>03/03/2025</v>
      </c>
      <c r="R567" s="15">
        <f t="shared" ref="R567:R581" si="389">_xlfn.DAYS(Q567,O567)</f>
        <v>5</v>
      </c>
      <c r="S567" s="23">
        <v>3.2500000000000001E-2</v>
      </c>
      <c r="T567" s="21">
        <f t="shared" si="320"/>
        <v>1.4601888888888888E-2</v>
      </c>
      <c r="U567" s="12">
        <v>0.35</v>
      </c>
      <c r="V567" s="102">
        <f t="shared" si="285"/>
        <v>33.539811111111106</v>
      </c>
      <c r="W567" s="15">
        <v>15</v>
      </c>
      <c r="X567" s="15">
        <v>20</v>
      </c>
      <c r="Y567" s="15">
        <v>25</v>
      </c>
      <c r="Z567" s="18">
        <f t="shared" si="373"/>
        <v>1.4601888888888888</v>
      </c>
      <c r="AA567" s="18">
        <f t="shared" si="374"/>
        <v>35</v>
      </c>
      <c r="AB567" s="18">
        <f t="shared" si="375"/>
        <v>33.539811111111106</v>
      </c>
      <c r="AE567" s="44" cm="1">
        <f t="array" ref="AE567">_xll.BDH("COMXGOLD Comdty","PX_Last", N567)</f>
        <v>38811074.524999999</v>
      </c>
      <c r="AF567" s="15" t="s">
        <v>49</v>
      </c>
      <c r="AG567" s="44" cm="1">
        <f t="array" ref="AG567">_xll.BDH(AF567,"FUT_AGGTE_OPEN_INT",A567)</f>
        <v>529785</v>
      </c>
      <c r="AH567" s="44">
        <f t="shared" si="384"/>
        <v>52978500</v>
      </c>
      <c r="AI567" s="48">
        <f t="shared" si="385"/>
        <v>0.73258160433005837</v>
      </c>
      <c r="AK567" s="44" cm="1">
        <f t="array" ref="AK567">_xll.BDH("COMXSILV Comdty","PX_Last", N567)</f>
        <v>392367.22</v>
      </c>
      <c r="AL567" s="15" t="s">
        <v>48</v>
      </c>
      <c r="AM567" s="47" cm="1">
        <f t="array" ref="AM567">_xll.BDH(AL567,"FUT_AGGTE_OPEN_INT",A567)</f>
        <v>168057</v>
      </c>
      <c r="AN567" s="45">
        <f t="shared" si="386"/>
        <v>466.94540542792026</v>
      </c>
      <c r="AO567" s="46">
        <f t="shared" si="387"/>
        <v>39236722000</v>
      </c>
      <c r="AP567" s="46">
        <f t="shared" si="388"/>
        <v>840285</v>
      </c>
    </row>
    <row r="568" spans="1:42" x14ac:dyDescent="0.2">
      <c r="A568" s="71">
        <v>45713</v>
      </c>
      <c r="B568" s="16" cm="1">
        <f t="array" ref="B568">_xll.BADDPERIODS(A568, "PER=WD", "NUMBEROFPERIODS=2", "BUSDAYADJ=-2", "CDR=GQ", "CDR=P9")</f>
        <v>45715</v>
      </c>
      <c r="C568" s="15" cm="1">
        <f t="array" ref="C568">_xll.BDH("XAU Curncy","PX_LAST",A568,A568)</f>
        <v>2914.98</v>
      </c>
      <c r="D568" s="15" t="str" cm="1">
        <f t="array" ref="D568">_xll.BDP("GCJ5 Comdty",$M$32)</f>
        <v>01/04/2025</v>
      </c>
      <c r="E568" s="15">
        <f t="shared" si="381"/>
        <v>33</v>
      </c>
      <c r="F568" s="23">
        <v>3.6999999999999998E-2</v>
      </c>
      <c r="G568" s="28">
        <f t="shared" si="355"/>
        <v>9.8866405000000004</v>
      </c>
      <c r="H568" s="12">
        <v>13</v>
      </c>
      <c r="I568" s="101">
        <f t="shared" si="382"/>
        <v>3.1133594999999996</v>
      </c>
      <c r="J568" s="26">
        <v>4</v>
      </c>
      <c r="K568" s="26">
        <v>6</v>
      </c>
      <c r="L568" s="26">
        <v>8</v>
      </c>
      <c r="N568" s="71">
        <v>45713</v>
      </c>
      <c r="O568" s="16" cm="1">
        <f t="array" ref="O568">_xll.BADDPERIODS(N568, "PER=WD", "NUMBEROFPERIODS=2", "BUSDAYADJ=-2", "CDR=GQ", "CDR=P9")</f>
        <v>45715</v>
      </c>
      <c r="P568" s="15" cm="1">
        <f t="array" ref="P568">_xll.BDH("XAG Curncy","PX_LAST",N568,N568)</f>
        <v>31.738700000000001</v>
      </c>
      <c r="Q568" s="15" t="str" cm="1">
        <f t="array" ref="Q568">_xll.BDP("SIH5 Comdty",$M$32)</f>
        <v>03/03/2025</v>
      </c>
      <c r="R568" s="15">
        <f t="shared" si="389"/>
        <v>4</v>
      </c>
      <c r="S568" s="23">
        <v>3.2500000000000001E-2</v>
      </c>
      <c r="T568" s="21">
        <f t="shared" si="320"/>
        <v>1.1461197222222224E-2</v>
      </c>
      <c r="U568" s="12">
        <v>0.3</v>
      </c>
      <c r="V568" s="102">
        <f t="shared" si="285"/>
        <v>28.853880277777776</v>
      </c>
      <c r="W568" s="15">
        <v>15</v>
      </c>
      <c r="X568" s="15">
        <v>20</v>
      </c>
      <c r="Y568" s="15">
        <v>25</v>
      </c>
      <c r="Z568" s="18">
        <f t="shared" si="373"/>
        <v>1.1461197222222224</v>
      </c>
      <c r="AA568" s="18">
        <f t="shared" si="374"/>
        <v>30</v>
      </c>
      <c r="AB568" s="18">
        <f t="shared" si="375"/>
        <v>28.853880277777776</v>
      </c>
      <c r="AE568" s="44" cm="1">
        <f t="array" ref="AE568">_xll.BDH("COMXGOLD Comdty","PX_Last", N568)</f>
        <v>38882330.306999996</v>
      </c>
      <c r="AF568" s="15" t="s">
        <v>49</v>
      </c>
      <c r="AG568" s="44" cm="1">
        <f t="array" ref="AG568">_xll.BDH(AF568,"FUT_AGGTE_OPEN_INT",A568)</f>
        <v>512179</v>
      </c>
      <c r="AH568" s="44">
        <f t="shared" si="384"/>
        <v>51217900</v>
      </c>
      <c r="AI568" s="48">
        <f t="shared" si="385"/>
        <v>0.75915510606643377</v>
      </c>
      <c r="AK568" s="44" cm="1">
        <f t="array" ref="AK568">_xll.BDH("COMXSILV Comdty","PX_Last", N568)</f>
        <v>395318.78</v>
      </c>
      <c r="AL568" s="15" t="s">
        <v>48</v>
      </c>
      <c r="AM568" s="47" cm="1">
        <f t="array" ref="AM568">_xll.BDH(AL568,"FUT_AGGTE_OPEN_INT",A568)</f>
        <v>163681</v>
      </c>
      <c r="AN568" s="45">
        <f t="shared" si="386"/>
        <v>483.03563639029579</v>
      </c>
      <c r="AO568" s="46">
        <f t="shared" si="387"/>
        <v>39531878000</v>
      </c>
      <c r="AP568" s="46">
        <f t="shared" si="388"/>
        <v>818405</v>
      </c>
    </row>
    <row r="569" spans="1:42" x14ac:dyDescent="0.2">
      <c r="A569" s="71">
        <v>45714</v>
      </c>
      <c r="B569" s="16" cm="1">
        <f t="array" ref="B569">_xll.BADDPERIODS(A569, "PER=WD", "NUMBEROFPERIODS=2", "BUSDAYADJ=-2", "CDR=GQ", "CDR=P9")</f>
        <v>45716</v>
      </c>
      <c r="C569" s="15" cm="1">
        <f t="array" ref="C569">_xll.BDH("XAU Curncy","PX_LAST",A569,A569)</f>
        <v>2916.39</v>
      </c>
      <c r="D569" s="15" t="str" cm="1">
        <f t="array" ref="D569">_xll.BDP("GCJ5 Comdty",$M$32)</f>
        <v>01/04/2025</v>
      </c>
      <c r="E569" s="15">
        <f t="shared" si="381"/>
        <v>32</v>
      </c>
      <c r="F569" s="23">
        <v>3.7999999999999999E-2</v>
      </c>
      <c r="G569" s="28">
        <f t="shared" si="355"/>
        <v>9.8509173333333333</v>
      </c>
      <c r="H569" s="12">
        <v>14</v>
      </c>
      <c r="I569" s="101">
        <f t="shared" si="382"/>
        <v>4.1490826666666667</v>
      </c>
      <c r="J569" s="26">
        <v>4</v>
      </c>
      <c r="K569" s="26">
        <v>6</v>
      </c>
      <c r="L569" s="26">
        <v>8</v>
      </c>
      <c r="N569" s="71">
        <v>45714</v>
      </c>
      <c r="O569" s="16" cm="1">
        <f t="array" ref="O569">_xll.BADDPERIODS(N569, "PER=WD", "NUMBEROFPERIODS=2", "BUSDAYADJ=-2", "CDR=GQ", "CDR=P9")</f>
        <v>45716</v>
      </c>
      <c r="P569" s="15" cm="1">
        <f t="array" ref="P569">_xll.BDH("XAG Curncy","PX_LAST",N569,N569)</f>
        <v>31.856000000000002</v>
      </c>
      <c r="Q569" s="15" t="str" cm="1">
        <f t="array" ref="Q569">_xll.BDP("SIH5 Comdty",$M$32)</f>
        <v>03/03/2025</v>
      </c>
      <c r="R569" s="15">
        <f t="shared" si="389"/>
        <v>3</v>
      </c>
      <c r="S569" s="23">
        <v>2.7E-2</v>
      </c>
      <c r="T569" s="21">
        <f t="shared" si="320"/>
        <v>7.1676000000000005E-3</v>
      </c>
      <c r="U569" s="12">
        <v>0.37</v>
      </c>
      <c r="V569" s="102">
        <f t="shared" si="285"/>
        <v>36.283239999999999</v>
      </c>
      <c r="W569" s="15">
        <v>15</v>
      </c>
      <c r="X569" s="15">
        <v>20</v>
      </c>
      <c r="Y569" s="15">
        <v>25</v>
      </c>
      <c r="Z569" s="18">
        <f t="shared" si="373"/>
        <v>0.71676000000000006</v>
      </c>
      <c r="AA569" s="18">
        <f t="shared" si="374"/>
        <v>37</v>
      </c>
      <c r="AB569" s="18">
        <f t="shared" si="375"/>
        <v>36.283239999999999</v>
      </c>
      <c r="AE569" s="44" cm="1">
        <f t="array" ref="AE569">_xll.BDH("COMXGOLD Comdty","PX_Last", N569)</f>
        <v>38961200.137999997</v>
      </c>
      <c r="AF569" s="15" t="s">
        <v>49</v>
      </c>
      <c r="AG569" s="44" cm="1">
        <f t="array" ref="AG569">_xll.BDH(AF569,"FUT_AGGTE_OPEN_INT",A569)</f>
        <v>513128</v>
      </c>
      <c r="AH569" s="44">
        <f t="shared" si="384"/>
        <v>51312800</v>
      </c>
      <c r="AI569" s="48">
        <f t="shared" si="385"/>
        <v>0.75928813352613767</v>
      </c>
      <c r="AK569" s="44" cm="1">
        <f t="array" ref="AK569">_xll.BDH("COMXSILV Comdty","PX_Last", N569)</f>
        <v>398194.97</v>
      </c>
      <c r="AL569" s="15" t="s">
        <v>48</v>
      </c>
      <c r="AM569" s="47" cm="1">
        <f t="array" ref="AM569">_xll.BDH(AL569,"FUT_AGGTE_OPEN_INT",A569)</f>
        <v>161832</v>
      </c>
      <c r="AN569" s="45">
        <f t="shared" si="386"/>
        <v>492.10906372040137</v>
      </c>
      <c r="AO569" s="46">
        <f t="shared" si="387"/>
        <v>39819497000</v>
      </c>
      <c r="AP569" s="46">
        <f t="shared" si="388"/>
        <v>809160</v>
      </c>
    </row>
    <row r="570" spans="1:42" x14ac:dyDescent="0.2">
      <c r="A570" s="71">
        <v>45715</v>
      </c>
      <c r="B570" s="16" cm="1">
        <f t="array" ref="B570">_xll.BADDPERIODS(A570, "PER=WD", "NUMBEROFPERIODS=2", "BUSDAYADJ=-2", "CDR=GQ", "CDR=P9")</f>
        <v>45719</v>
      </c>
      <c r="C570" s="15" cm="1">
        <f t="array" ref="C570">_xll.BDH("XAU Curncy","PX_LAST",A570,A570)</f>
        <v>2877.52</v>
      </c>
      <c r="D570" s="15" t="str" cm="1">
        <f t="array" ref="D570">_xll.BDP("GCJ5 Comdty",$M$32)</f>
        <v>01/04/2025</v>
      </c>
      <c r="E570" s="15">
        <f t="shared" si="381"/>
        <v>29</v>
      </c>
      <c r="F570" s="23">
        <v>4.0500000000000001E-2</v>
      </c>
      <c r="G570" s="28">
        <f t="shared" si="355"/>
        <v>9.3879090000000005</v>
      </c>
      <c r="H570" s="12">
        <v>12.5</v>
      </c>
      <c r="I570" s="101">
        <f t="shared" si="382"/>
        <v>3.1120909999999995</v>
      </c>
      <c r="J570" s="26">
        <v>4</v>
      </c>
      <c r="K570" s="26">
        <v>6</v>
      </c>
      <c r="L570" s="26">
        <v>8</v>
      </c>
      <c r="N570" s="71">
        <v>45715</v>
      </c>
      <c r="O570" s="16" cm="1">
        <f t="array" ref="O570">_xll.BADDPERIODS(N570, "PER=WD", "NUMBEROFPERIODS=2", "BUSDAYADJ=-2", "CDR=GQ", "CDR=P9")</f>
        <v>45719</v>
      </c>
      <c r="P570" s="15" cm="1">
        <f t="array" ref="P570">_xll.BDH("XAG Curncy","PX_LAST",N570,N570)</f>
        <v>31.276700000000002</v>
      </c>
      <c r="Q570" s="15" t="str" cm="1">
        <f t="array" ref="Q570">_xll.BDP("SIk5 Comdty",$M$32)</f>
        <v>01/05/2025</v>
      </c>
      <c r="R570" s="15">
        <f t="shared" si="389"/>
        <v>59</v>
      </c>
      <c r="S570" s="23">
        <v>2.75E-2</v>
      </c>
      <c r="T570" s="21">
        <f t="shared" si="320"/>
        <v>0.14096234930555557</v>
      </c>
      <c r="U570" s="12">
        <v>0.6</v>
      </c>
      <c r="V570" s="102">
        <f t="shared" si="285"/>
        <v>45.903765069444439</v>
      </c>
      <c r="W570" s="15">
        <v>15</v>
      </c>
      <c r="X570" s="15">
        <v>20</v>
      </c>
      <c r="Y570" s="15">
        <v>25</v>
      </c>
      <c r="Z570" s="18">
        <f t="shared" si="373"/>
        <v>14.096234930555557</v>
      </c>
      <c r="AA570" s="18">
        <f t="shared" si="374"/>
        <v>60</v>
      </c>
      <c r="AB570" s="18">
        <f t="shared" si="375"/>
        <v>45.903765069444439</v>
      </c>
      <c r="AE570" s="44" cm="1">
        <f t="array" ref="AE570">_xll.BDH("COMXGOLD Comdty","PX_Last", N570)</f>
        <v>39068304.516000003</v>
      </c>
      <c r="AF570" s="15" t="s">
        <v>49</v>
      </c>
      <c r="AG570" s="44" cm="1">
        <f t="array" ref="AG570">_xll.BDH(AF570,"FUT_AGGTE_OPEN_INT",A570)</f>
        <v>507722</v>
      </c>
      <c r="AH570" s="44">
        <f t="shared" si="384"/>
        <v>50772200</v>
      </c>
      <c r="AI570" s="48">
        <f t="shared" si="385"/>
        <v>0.76948220711334159</v>
      </c>
      <c r="AK570" s="44" cm="1">
        <f t="array" ref="AK570">_xll.BDH("COMXSILV Comdty","PX_Last", N570)</f>
        <v>403215.53</v>
      </c>
      <c r="AL570" s="15" t="s">
        <v>48</v>
      </c>
      <c r="AM570" s="47" cm="1">
        <f t="array" ref="AM570">_xll.BDH(AL570,"FUT_AGGTE_OPEN_INT",A570)</f>
        <v>158760</v>
      </c>
      <c r="AN570" s="45">
        <f t="shared" si="386"/>
        <v>507.956072058453</v>
      </c>
      <c r="AO570" s="46">
        <f t="shared" si="387"/>
        <v>40321553000</v>
      </c>
      <c r="AP570" s="46">
        <f t="shared" si="388"/>
        <v>793800</v>
      </c>
    </row>
    <row r="571" spans="1:42" x14ac:dyDescent="0.2">
      <c r="A571" s="71">
        <v>45716</v>
      </c>
      <c r="B571" s="16" cm="1">
        <f t="array" ref="B571">_xll.BADDPERIODS(A571, "PER=WD", "NUMBEROFPERIODS=2", "BUSDAYADJ=-2", "CDR=GQ", "CDR=P9")</f>
        <v>45720</v>
      </c>
      <c r="C571" s="15" cm="1">
        <f t="array" ref="C571">_xll.BDH("XAU Curncy","PX_LAST",A571,A571)</f>
        <v>2857.83</v>
      </c>
      <c r="D571" s="15" t="str" cm="1">
        <f t="array" ref="D571">_xll.BDP("GCJ5 Comdty",$M$32)</f>
        <v>01/04/2025</v>
      </c>
      <c r="E571" s="15">
        <f t="shared" si="381"/>
        <v>28</v>
      </c>
      <c r="F571" s="23">
        <v>0.04</v>
      </c>
      <c r="G571" s="28">
        <f t="shared" si="355"/>
        <v>8.8910266666666669</v>
      </c>
      <c r="H571" s="12">
        <v>12</v>
      </c>
      <c r="I571" s="101">
        <f t="shared" si="382"/>
        <v>3.1089733333333331</v>
      </c>
      <c r="J571" s="26">
        <v>4</v>
      </c>
      <c r="K571" s="26">
        <v>6</v>
      </c>
      <c r="L571" s="26">
        <v>8</v>
      </c>
      <c r="N571" s="71">
        <v>45716</v>
      </c>
      <c r="O571" s="16" cm="1">
        <f t="array" ref="O571">_xll.BADDPERIODS(N571, "PER=WD", "NUMBEROFPERIODS=2", "BUSDAYADJ=-2", "CDR=GQ", "CDR=P9")</f>
        <v>45720</v>
      </c>
      <c r="P571" s="15" cm="1">
        <f t="array" ref="P571">_xll.BDH("XAG Curncy","PX_LAST",N571,N571)</f>
        <v>31.150099999999998</v>
      </c>
      <c r="Q571" s="15" t="str" cm="1">
        <f t="array" ref="Q571">_xll.BDP("SIK5 Comdty",$M$32)</f>
        <v>01/05/2025</v>
      </c>
      <c r="R571" s="15">
        <f t="shared" si="389"/>
        <v>58</v>
      </c>
      <c r="S571" s="23">
        <v>2.2499999999999999E-2</v>
      </c>
      <c r="T571" s="21">
        <f t="shared" si="320"/>
        <v>0.1129191125</v>
      </c>
      <c r="U571" s="12">
        <v>0.55000000000000004</v>
      </c>
      <c r="V571" s="102">
        <f t="shared" si="285"/>
        <v>43.708088750000009</v>
      </c>
      <c r="W571" s="15">
        <v>15</v>
      </c>
      <c r="X571" s="15">
        <v>20</v>
      </c>
      <c r="Y571" s="15">
        <v>25</v>
      </c>
      <c r="Z571" s="18">
        <f t="shared" si="373"/>
        <v>11.29191125</v>
      </c>
      <c r="AA571" s="18">
        <f t="shared" si="374"/>
        <v>55.000000000000007</v>
      </c>
      <c r="AB571" s="18">
        <f t="shared" si="375"/>
        <v>43.708088750000009</v>
      </c>
      <c r="AE571" s="44" cm="1">
        <f t="array" ref="AE571">_xll.BDH("COMXGOLD Comdty","PX_Last", N571)</f>
        <v>39261573.799000002</v>
      </c>
      <c r="AF571" s="15" t="s">
        <v>49</v>
      </c>
      <c r="AG571" s="44" cm="1">
        <f t="array" ref="AG571">_xll.BDH(AF571,"FUT_AGGTE_OPEN_INT",A571)</f>
        <v>489629</v>
      </c>
      <c r="AH571" s="44">
        <f t="shared" si="384"/>
        <v>48962900</v>
      </c>
      <c r="AI571" s="48">
        <f t="shared" si="385"/>
        <v>0.80186373354110974</v>
      </c>
      <c r="AK571" s="44" cm="1">
        <f t="array" ref="AK571">_xll.BDH("COMXSILV Comdty","PX_Last", N571)</f>
        <v>408605.25</v>
      </c>
      <c r="AL571" s="15" t="s">
        <v>48</v>
      </c>
      <c r="AM571" s="47" cm="1">
        <f t="array" ref="AM571">_xll.BDH(AL571,"FUT_AGGTE_OPEN_INT",A571)</f>
        <v>146299</v>
      </c>
      <c r="AN571" s="45">
        <f t="shared" si="386"/>
        <v>558.58925898331506</v>
      </c>
      <c r="AO571" s="46">
        <f t="shared" si="387"/>
        <v>40860525000</v>
      </c>
      <c r="AP571" s="46">
        <f t="shared" si="388"/>
        <v>731495</v>
      </c>
    </row>
    <row r="572" spans="1:42" x14ac:dyDescent="0.2">
      <c r="A572" s="71">
        <v>45719</v>
      </c>
      <c r="B572" s="16" cm="1">
        <f t="array" ref="B572">_xll.BADDPERIODS(A572, "PER=WD", "NUMBEROFPERIODS=2", "BUSDAYADJ=-2", "CDR=GQ", "CDR=P9")</f>
        <v>45721</v>
      </c>
      <c r="C572" s="15" cm="1">
        <f t="array" ref="C572">_xll.BDH("XAU Curncy","PX_LAST",A572,A572)</f>
        <v>2892.73</v>
      </c>
      <c r="D572" s="15" t="str" cm="1">
        <f t="array" ref="D572">_xll.BDP("GCJ5 Comdty",$M$32)</f>
        <v>01/04/2025</v>
      </c>
      <c r="E572" s="15">
        <f t="shared" si="381"/>
        <v>27</v>
      </c>
      <c r="F572" s="23">
        <v>0.04</v>
      </c>
      <c r="G572" s="28">
        <f t="shared" si="355"/>
        <v>8.678189999999999</v>
      </c>
      <c r="H572" s="12">
        <v>12</v>
      </c>
      <c r="I572" s="101">
        <f t="shared" si="382"/>
        <v>3.321810000000001</v>
      </c>
      <c r="J572" s="26">
        <v>4</v>
      </c>
      <c r="K572" s="26">
        <v>6</v>
      </c>
      <c r="L572" s="26">
        <v>8</v>
      </c>
      <c r="N572" s="71">
        <v>45719</v>
      </c>
      <c r="O572" s="16" cm="1">
        <f t="array" ref="O572">_xll.BADDPERIODS(N572, "PER=WD", "NUMBEROFPERIODS=2", "BUSDAYADJ=-2", "CDR=GQ", "CDR=P9")</f>
        <v>45721</v>
      </c>
      <c r="P572" s="15" cm="1">
        <f t="array" ref="P572">_xll.BDH("XAG Curncy","PX_LAST",N572,N572)</f>
        <v>31.6828</v>
      </c>
      <c r="Q572" s="15" t="str" cm="1">
        <f t="array" ref="Q572">_xll.BDP("SIK5 Comdty",$M$32)</f>
        <v>01/05/2025</v>
      </c>
      <c r="R572" s="15">
        <f t="shared" si="389"/>
        <v>57</v>
      </c>
      <c r="S572" s="23">
        <v>2.2499999999999999E-2</v>
      </c>
      <c r="T572" s="21">
        <f t="shared" si="320"/>
        <v>0.112869975</v>
      </c>
      <c r="U572" s="12">
        <v>0.61</v>
      </c>
      <c r="V572" s="102">
        <f t="shared" si="285"/>
        <v>49.713002499999995</v>
      </c>
      <c r="W572" s="15">
        <v>15</v>
      </c>
      <c r="X572" s="15">
        <v>20</v>
      </c>
      <c r="Y572" s="15">
        <v>25</v>
      </c>
      <c r="Z572" s="18">
        <f t="shared" si="373"/>
        <v>11.2869975</v>
      </c>
      <c r="AA572" s="18">
        <f t="shared" si="374"/>
        <v>61</v>
      </c>
      <c r="AB572" s="18">
        <f t="shared" si="375"/>
        <v>49.713002499999995</v>
      </c>
      <c r="AE572" s="44" cm="1">
        <f t="array" ref="AE572">_xll.BDH("COMXGOLD Comdty","PX_Last", N572)</f>
        <v>39414153.766999997</v>
      </c>
      <c r="AF572" s="15" t="s">
        <v>49</v>
      </c>
      <c r="AG572" s="44" cm="1">
        <f t="array" ref="AG572">_xll.BDH(AF572,"FUT_AGGTE_OPEN_INT",A572)</f>
        <v>488842</v>
      </c>
      <c r="AH572" s="44">
        <f t="shared" si="384"/>
        <v>48884200</v>
      </c>
      <c r="AI572" s="48">
        <f t="shared" si="385"/>
        <v>0.80627592897091493</v>
      </c>
      <c r="AK572" s="44" cm="1">
        <f t="array" ref="AK572">_xll.BDH("COMXSILV Comdty","PX_Last", N572)</f>
        <v>408808.06</v>
      </c>
      <c r="AL572" s="15" t="s">
        <v>50</v>
      </c>
      <c r="AM572" s="47" cm="1">
        <f t="array" ref="AM572">_xll.BDH(AL572,"FUT_AGGTE_OPEN_INT",A572)</f>
        <v>145957</v>
      </c>
      <c r="AN572" s="45">
        <f t="shared" si="386"/>
        <v>560.17602444555587</v>
      </c>
      <c r="AO572" s="46">
        <f t="shared" si="387"/>
        <v>40880806000</v>
      </c>
      <c r="AP572" s="46">
        <f t="shared" si="388"/>
        <v>729785</v>
      </c>
    </row>
    <row r="573" spans="1:42" x14ac:dyDescent="0.2">
      <c r="A573" s="71">
        <v>45720</v>
      </c>
      <c r="B573" s="16" cm="1">
        <f t="array" ref="B573">_xll.BADDPERIODS(A573, "PER=WD", "NUMBEROFPERIODS=2", "BUSDAYADJ=-2", "CDR=GQ", "CDR=P9")</f>
        <v>45722</v>
      </c>
      <c r="C573" s="15" cm="1">
        <f t="array" ref="C573">_xll.BDH("XAU Curncy","PX_LAST",A573,A573)</f>
        <v>2917.89</v>
      </c>
      <c r="D573" s="15" t="str" cm="1">
        <f t="array" ref="D573">_xll.BDP("GCJ5 Comdty",$M$32)</f>
        <v>01/04/2025</v>
      </c>
      <c r="E573" s="15">
        <f t="shared" si="381"/>
        <v>26</v>
      </c>
      <c r="F573" s="23">
        <v>3.95E-2</v>
      </c>
      <c r="G573" s="28">
        <f t="shared" si="355"/>
        <v>8.3240917499999991</v>
      </c>
      <c r="H573" s="12">
        <v>11</v>
      </c>
      <c r="I573" s="101">
        <f t="shared" si="382"/>
        <v>2.6759082500000009</v>
      </c>
      <c r="J573" s="26">
        <v>4</v>
      </c>
      <c r="K573" s="26">
        <v>6</v>
      </c>
      <c r="L573" s="26">
        <v>8</v>
      </c>
      <c r="N573" s="71">
        <v>45720</v>
      </c>
      <c r="O573" s="16" cm="1">
        <f t="array" ref="O573">_xll.BADDPERIODS(N573, "PER=WD", "NUMBEROFPERIODS=2", "BUSDAYADJ=-2", "CDR=GQ", "CDR=P9")</f>
        <v>45722</v>
      </c>
      <c r="P573" s="15" cm="1">
        <f t="array" ref="P573">_xll.BDH("XAG Curncy","PX_LAST",N573,N573)</f>
        <v>31.979500000000002</v>
      </c>
      <c r="Q573" s="15" t="str" cm="1">
        <f t="array" ref="Q573">_xll.BDP("SIK5 Comdty",$M$32)</f>
        <v>01/05/2025</v>
      </c>
      <c r="R573" s="15">
        <f t="shared" si="389"/>
        <v>56</v>
      </c>
      <c r="S573" s="23">
        <v>0.02</v>
      </c>
      <c r="T573" s="21">
        <f t="shared" si="320"/>
        <v>9.949177777777779E-2</v>
      </c>
      <c r="U573" s="12">
        <v>0.61</v>
      </c>
      <c r="V573" s="102">
        <f t="shared" si="285"/>
        <v>51.050822222222216</v>
      </c>
      <c r="W573" s="15">
        <v>15</v>
      </c>
      <c r="X573" s="15">
        <v>20</v>
      </c>
      <c r="Y573" s="15">
        <v>25</v>
      </c>
      <c r="Z573" s="18">
        <f t="shared" si="373"/>
        <v>9.9491777777777788</v>
      </c>
      <c r="AA573" s="18">
        <f t="shared" si="374"/>
        <v>61</v>
      </c>
      <c r="AB573" s="18">
        <f t="shared" si="375"/>
        <v>51.050822222222216</v>
      </c>
      <c r="AE573" s="44" cm="1">
        <f t="array" ref="AE573">_xll.BDH("COMXGOLD Comdty","PX_Last", N573)</f>
        <v>39454463.715999998</v>
      </c>
      <c r="AF573" s="15" t="s">
        <v>49</v>
      </c>
      <c r="AG573" s="44" cm="1">
        <f t="array" ref="AG573">_xll.BDH(AF573,"FUT_AGGTE_OPEN_INT",A573)</f>
        <v>489270</v>
      </c>
      <c r="AH573" s="44">
        <f t="shared" si="384"/>
        <v>48927000</v>
      </c>
      <c r="AI573" s="48">
        <f t="shared" si="385"/>
        <v>0.80639450029635984</v>
      </c>
      <c r="AK573" s="44" cm="1">
        <f t="array" ref="AK573">_xll.BDH("COMXSILV Comdty","PX_Last", N573)</f>
        <v>413769.56</v>
      </c>
      <c r="AL573" s="15" t="s">
        <v>50</v>
      </c>
      <c r="AM573" s="47" cm="1">
        <f t="array" ref="AM573">_xll.BDH(AL573,"FUT_AGGTE_OPEN_INT",A573)</f>
        <v>145935</v>
      </c>
      <c r="AN573" s="45">
        <f t="shared" si="386"/>
        <v>567.06007469078702</v>
      </c>
      <c r="AO573" s="46">
        <f t="shared" si="387"/>
        <v>41376956000</v>
      </c>
      <c r="AP573" s="46">
        <f t="shared" si="388"/>
        <v>729675</v>
      </c>
    </row>
    <row r="574" spans="1:42" x14ac:dyDescent="0.2">
      <c r="A574" s="71">
        <v>45721</v>
      </c>
      <c r="B574" s="16" cm="1">
        <f t="array" ref="B574">_xll.BADDPERIODS(A574, "PER=WD", "NUMBEROFPERIODS=2", "BUSDAYADJ=-2", "CDR=GQ", "CDR=P9")</f>
        <v>45723</v>
      </c>
      <c r="C574" s="15" cm="1">
        <f t="array" ref="C574">_xll.BDH("XAU Curncy","PX_LAST",A574,A574)</f>
        <v>2919.39</v>
      </c>
      <c r="D574" s="15" t="str" cm="1">
        <f t="array" ref="D574">_xll.BDP("GCJ5 Comdty",$M$32)</f>
        <v>01/04/2025</v>
      </c>
      <c r="E574" s="15">
        <f t="shared" si="381"/>
        <v>25</v>
      </c>
      <c r="F574" s="23">
        <v>3.7999999999999999E-2</v>
      </c>
      <c r="G574" s="28">
        <f t="shared" si="355"/>
        <v>7.7039458333333339</v>
      </c>
      <c r="H574" s="12">
        <v>11</v>
      </c>
      <c r="I574" s="101">
        <f t="shared" si="382"/>
        <v>3.2960541666666661</v>
      </c>
      <c r="J574" s="26">
        <v>4</v>
      </c>
      <c r="K574" s="26">
        <v>6</v>
      </c>
      <c r="L574" s="26">
        <v>8</v>
      </c>
      <c r="N574" s="71">
        <v>45721</v>
      </c>
      <c r="O574" s="16" cm="1">
        <f t="array" ref="O574">_xll.BADDPERIODS(N574, "PER=WD", "NUMBEROFPERIODS=2", "BUSDAYADJ=-2", "CDR=GQ", "CDR=P9")</f>
        <v>45723</v>
      </c>
      <c r="P574" s="15" cm="1">
        <f t="array" ref="P574">_xll.BDH("XAG Curncy","PX_LAST",N574,N574)</f>
        <v>32.659100000000002</v>
      </c>
      <c r="Q574" s="15" t="str" cm="1">
        <f t="array" ref="Q574">_xll.BDP("SIK5 Comdty",$M$32)</f>
        <v>01/05/2025</v>
      </c>
      <c r="R574" s="15">
        <f t="shared" si="389"/>
        <v>55</v>
      </c>
      <c r="S574" s="23">
        <v>0</v>
      </c>
      <c r="T574" s="21">
        <f t="shared" si="320"/>
        <v>0</v>
      </c>
      <c r="U574" s="12">
        <v>0.56999999999999995</v>
      </c>
      <c r="V574" s="102">
        <f t="shared" si="285"/>
        <v>56.999999999999993</v>
      </c>
      <c r="W574" s="15">
        <v>15</v>
      </c>
      <c r="X574" s="15">
        <v>20</v>
      </c>
      <c r="Y574" s="15">
        <v>25</v>
      </c>
      <c r="Z574" s="18">
        <f t="shared" si="373"/>
        <v>0</v>
      </c>
      <c r="AA574" s="18">
        <f t="shared" si="374"/>
        <v>56.999999999999993</v>
      </c>
      <c r="AB574" s="18">
        <f t="shared" si="375"/>
        <v>56.999999999999993</v>
      </c>
      <c r="AE574" s="44" cm="1">
        <f t="array" ref="AE574">_xll.BDH("COMXGOLD Comdty","PX_Last", N574)</f>
        <v>39672771.383000001</v>
      </c>
      <c r="AF574" s="15" t="s">
        <v>49</v>
      </c>
      <c r="AG574" s="44" cm="1">
        <f t="array" ref="AG574">_xll.BDH(AF574,"FUT_AGGTE_OPEN_INT",A574)</f>
        <v>492353</v>
      </c>
      <c r="AH574" s="44">
        <f t="shared" si="384"/>
        <v>49235300</v>
      </c>
      <c r="AI574" s="48">
        <f t="shared" si="385"/>
        <v>0.80577901186750156</v>
      </c>
      <c r="AK574" s="44" cm="1">
        <f t="array" ref="AK574">_xll.BDH("COMXSILV Comdty","PX_Last", N574)</f>
        <v>416815.63</v>
      </c>
      <c r="AL574" s="15" t="s">
        <v>50</v>
      </c>
      <c r="AM574" s="47" cm="1">
        <f t="array" ref="AM574">_xll.BDH(AL574,"FUT_AGGTE_OPEN_INT",A574)</f>
        <v>150166</v>
      </c>
      <c r="AN574" s="45">
        <f t="shared" si="386"/>
        <v>555.13981860074853</v>
      </c>
      <c r="AO574" s="46">
        <f t="shared" si="387"/>
        <v>41681563000</v>
      </c>
      <c r="AP574" s="46">
        <f t="shared" si="388"/>
        <v>750830</v>
      </c>
    </row>
    <row r="575" spans="1:42" x14ac:dyDescent="0.2">
      <c r="A575" s="71">
        <v>45722</v>
      </c>
      <c r="B575" s="16" cm="1">
        <f t="array" ref="B575">_xll.BADDPERIODS(A575, "PER=WD", "NUMBEROFPERIODS=2", "BUSDAYADJ=-2", "CDR=GQ", "CDR=P9")</f>
        <v>45726</v>
      </c>
      <c r="C575" s="15" cm="1">
        <f t="array" ref="C575">_xll.BDH("XAU Curncy","PX_LAST",A575,A575)</f>
        <v>2911.8</v>
      </c>
      <c r="D575" s="15" t="str" cm="1">
        <f t="array" ref="D575">_xll.BDP("GCJ5 Comdty",$M$32)</f>
        <v>01/04/2025</v>
      </c>
      <c r="E575" s="15">
        <f t="shared" si="381"/>
        <v>22</v>
      </c>
      <c r="F575" s="23">
        <v>3.5000000000000003E-2</v>
      </c>
      <c r="G575" s="28">
        <f t="shared" si="355"/>
        <v>6.228016666666667</v>
      </c>
      <c r="H575" s="12">
        <v>9.5</v>
      </c>
      <c r="I575" s="101">
        <f t="shared" si="382"/>
        <v>3.271983333333333</v>
      </c>
      <c r="J575" s="26">
        <v>4</v>
      </c>
      <c r="K575" s="26">
        <v>6</v>
      </c>
      <c r="L575" s="26">
        <v>8</v>
      </c>
      <c r="N575" s="71">
        <v>45722</v>
      </c>
      <c r="O575" s="16" cm="1">
        <f t="array" ref="O575">_xll.BADDPERIODS(N575, "PER=WD", "NUMBEROFPERIODS=2", "BUSDAYADJ=-2", "CDR=GQ", "CDR=P9")</f>
        <v>45726</v>
      </c>
      <c r="P575" s="15" cm="1">
        <f t="array" ref="P575">_xll.BDH("XAG Curncy","PX_LAST",N575,N575)</f>
        <v>32.646000000000001</v>
      </c>
      <c r="Q575" s="15" t="str" cm="1">
        <f t="array" ref="Q575">_xll.BDP("SIK5 Comdty",$M$32)</f>
        <v>01/05/2025</v>
      </c>
      <c r="R575" s="15">
        <f t="shared" si="389"/>
        <v>52</v>
      </c>
      <c r="S575" s="23">
        <v>0</v>
      </c>
      <c r="T575" s="21">
        <f t="shared" si="320"/>
        <v>0</v>
      </c>
      <c r="U575" s="12">
        <v>0.6</v>
      </c>
      <c r="V575" s="102">
        <f t="shared" si="285"/>
        <v>60</v>
      </c>
      <c r="W575" s="15">
        <v>15</v>
      </c>
      <c r="X575" s="15">
        <v>20</v>
      </c>
      <c r="Y575" s="15">
        <v>25</v>
      </c>
      <c r="Z575" s="18">
        <f t="shared" si="373"/>
        <v>0</v>
      </c>
      <c r="AA575" s="18">
        <f t="shared" si="374"/>
        <v>60</v>
      </c>
      <c r="AB575" s="18">
        <f t="shared" si="375"/>
        <v>60</v>
      </c>
      <c r="AE575" s="44" cm="1">
        <f t="array" ref="AE575">_xll.BDH("COMXGOLD Comdty","PX_Last", N575)</f>
        <v>39670180.539999999</v>
      </c>
      <c r="AF575" s="15" t="s">
        <v>49</v>
      </c>
      <c r="AG575" s="44" cm="1">
        <f t="array" ref="AG575">_xll.BDH(AF575,"FUT_AGGTE_OPEN_INT",A575)</f>
        <v>493608</v>
      </c>
      <c r="AH575" s="44">
        <f t="shared" si="384"/>
        <v>49360800</v>
      </c>
      <c r="AI575" s="48">
        <f t="shared" si="385"/>
        <v>0.80367782815513522</v>
      </c>
      <c r="AK575" s="44" cm="1">
        <f t="array" ref="AK575">_xll.BDH("COMXSILV Comdty","PX_Last", N575)</f>
        <v>420277.59</v>
      </c>
      <c r="AL575" s="15" t="s">
        <v>50</v>
      </c>
      <c r="AM575" s="47" cm="1">
        <f t="array" ref="AM575">_xll.BDH(AL575,"FUT_AGGTE_OPEN_INT",A575)</f>
        <v>151548</v>
      </c>
      <c r="AN575" s="45">
        <f t="shared" si="386"/>
        <v>554.64617151001664</v>
      </c>
      <c r="AO575" s="46">
        <f t="shared" si="387"/>
        <v>42027759000</v>
      </c>
      <c r="AP575" s="46">
        <f t="shared" si="388"/>
        <v>757740</v>
      </c>
    </row>
    <row r="576" spans="1:42" x14ac:dyDescent="0.2">
      <c r="A576" s="71">
        <v>45723</v>
      </c>
      <c r="B576" s="16" cm="1">
        <f t="array" ref="B576">_xll.BADDPERIODS(A576, "PER=WD", "NUMBEROFPERIODS=2", "BUSDAYADJ=-2", "CDR=GQ", "CDR=P9")</f>
        <v>45727</v>
      </c>
      <c r="C576" s="15" cm="1">
        <f t="array" ref="C576">_xll.BDH("XAU Curncy","PX_LAST",A576,A576)</f>
        <v>2909.1</v>
      </c>
      <c r="D576" s="15" t="str" cm="1">
        <f t="array" ref="D576">_xll.BDP("GCJ5 Comdty",$M$32)</f>
        <v>01/04/2025</v>
      </c>
      <c r="E576" s="15">
        <f t="shared" si="381"/>
        <v>21</v>
      </c>
      <c r="F576" s="23">
        <v>3.5000000000000003E-2</v>
      </c>
      <c r="G576" s="28">
        <f t="shared" si="355"/>
        <v>5.9394125000000004</v>
      </c>
      <c r="H576" s="12">
        <v>7.5</v>
      </c>
      <c r="I576" s="101">
        <f t="shared" si="382"/>
        <v>1.5605874999999996</v>
      </c>
      <c r="J576" s="26">
        <v>4</v>
      </c>
      <c r="K576" s="26">
        <v>6</v>
      </c>
      <c r="L576" s="26">
        <v>8</v>
      </c>
      <c r="N576" s="71">
        <v>45723</v>
      </c>
      <c r="O576" s="16" cm="1">
        <f t="array" ref="O576">_xll.BADDPERIODS(N576, "PER=WD", "NUMBEROFPERIODS=2", "BUSDAYADJ=-2", "CDR=GQ", "CDR=P9")</f>
        <v>45727</v>
      </c>
      <c r="P576" s="15" cm="1">
        <f t="array" ref="P576">_xll.BDH("XAG Curncy","PX_LAST",N576,N576)</f>
        <v>32.537500000000001</v>
      </c>
      <c r="Q576" s="15" t="str" cm="1">
        <f t="array" ref="Q576">_xll.BDP("SIK5 Comdty",$M$32)</f>
        <v>01/05/2025</v>
      </c>
      <c r="R576" s="15">
        <f t="shared" si="389"/>
        <v>51</v>
      </c>
      <c r="S576" s="23">
        <v>0</v>
      </c>
      <c r="T576" s="21">
        <f t="shared" si="320"/>
        <v>0</v>
      </c>
      <c r="U576" s="12">
        <v>0.52</v>
      </c>
      <c r="V576" s="102">
        <f t="shared" ref="V576:V633" si="390">100*(U576-T576)</f>
        <v>52</v>
      </c>
      <c r="W576" s="15">
        <v>15</v>
      </c>
      <c r="X576" s="15">
        <v>20</v>
      </c>
      <c r="Y576" s="15">
        <v>25</v>
      </c>
      <c r="Z576" s="18">
        <f t="shared" si="373"/>
        <v>0</v>
      </c>
      <c r="AA576" s="18">
        <f t="shared" si="374"/>
        <v>52</v>
      </c>
      <c r="AB576" s="18">
        <f t="shared" si="375"/>
        <v>52</v>
      </c>
      <c r="AE576" s="44" cm="1">
        <f t="array" ref="AE576">_xll.BDH("COMXGOLD Comdty","PX_Last", N576)</f>
        <v>39766633.539999999</v>
      </c>
      <c r="AF576" s="15" t="s">
        <v>49</v>
      </c>
      <c r="AG576" s="44" cm="1">
        <f t="array" ref="AG576">_xll.BDH(AF576,"FUT_AGGTE_OPEN_INT",A576)</f>
        <v>499776</v>
      </c>
      <c r="AH576" s="44">
        <f t="shared" si="384"/>
        <v>49977600</v>
      </c>
      <c r="AI576" s="48">
        <f t="shared" si="385"/>
        <v>0.79568913953451148</v>
      </c>
      <c r="AK576" s="44" cm="1">
        <f t="array" ref="AK576">_xll.BDH("COMXSILV Comdty","PX_Last", N576)</f>
        <v>424898.47</v>
      </c>
      <c r="AL576" s="15" t="s">
        <v>50</v>
      </c>
      <c r="AM576" s="47" cm="1">
        <f t="array" ref="AM576">_xll.BDH(AL576,"FUT_AGGTE_OPEN_INT",A576)</f>
        <v>151275</v>
      </c>
      <c r="AN576" s="45">
        <f t="shared" si="386"/>
        <v>561.75636423731612</v>
      </c>
      <c r="AO576" s="46">
        <f t="shared" si="387"/>
        <v>42489847000</v>
      </c>
      <c r="AP576" s="46">
        <f t="shared" si="388"/>
        <v>756375</v>
      </c>
    </row>
    <row r="577" spans="1:42" x14ac:dyDescent="0.2">
      <c r="A577" s="71">
        <v>45726</v>
      </c>
      <c r="B577" s="16" cm="1">
        <f t="array" ref="B577">_xll.BADDPERIODS(A577, "PER=WD", "NUMBEROFPERIODS=2", "BUSDAYADJ=-2", "CDR=GQ", "CDR=P9")</f>
        <v>45728</v>
      </c>
      <c r="C577" s="15" cm="1">
        <f t="array" ref="C577">_xll.BDH("XAU Curncy","PX_LAST",A577,A577)</f>
        <v>2888.71</v>
      </c>
      <c r="D577" s="15" t="str" cm="1">
        <f t="array" ref="D577">_xll.BDP("GCJ5 Comdty",$M$32)</f>
        <v>01/04/2025</v>
      </c>
      <c r="E577" s="15">
        <f t="shared" si="381"/>
        <v>20</v>
      </c>
      <c r="F577" s="23">
        <v>3.5000000000000003E-2</v>
      </c>
      <c r="G577" s="28">
        <f t="shared" si="355"/>
        <v>5.6169361111111114</v>
      </c>
      <c r="H577" s="12">
        <v>6.75</v>
      </c>
      <c r="I577" s="101">
        <f t="shared" si="382"/>
        <v>1.1330638888888886</v>
      </c>
      <c r="J577" s="26">
        <v>4</v>
      </c>
      <c r="K577" s="26">
        <v>6</v>
      </c>
      <c r="L577" s="26">
        <v>8</v>
      </c>
      <c r="N577" s="71">
        <v>45726</v>
      </c>
      <c r="O577" s="16" cm="1">
        <f t="array" ref="O577">_xll.BADDPERIODS(N577, "PER=WD", "NUMBEROFPERIODS=2", "BUSDAYADJ=-2", "CDR=GQ", "CDR=P9")</f>
        <v>45728</v>
      </c>
      <c r="P577" s="15" cm="1">
        <f t="array" ref="P577">_xll.BDH("XAG Curncy","PX_LAST",N577,N577)</f>
        <v>32.107900000000001</v>
      </c>
      <c r="Q577" s="15" t="str" cm="1">
        <f t="array" ref="Q577">_xll.BDP("SIK5 Comdty",$M$32)</f>
        <v>01/05/2025</v>
      </c>
      <c r="R577" s="15">
        <f t="shared" si="389"/>
        <v>50</v>
      </c>
      <c r="S577" s="23">
        <v>0</v>
      </c>
      <c r="T577" s="21">
        <f t="shared" si="320"/>
        <v>0</v>
      </c>
      <c r="U577" s="12">
        <v>0.45</v>
      </c>
      <c r="V577" s="102">
        <f t="shared" si="390"/>
        <v>45</v>
      </c>
      <c r="W577" s="15">
        <v>15</v>
      </c>
      <c r="X577" s="15">
        <v>20</v>
      </c>
      <c r="Y577" s="15">
        <v>25</v>
      </c>
      <c r="Z577" s="18">
        <f t="shared" si="373"/>
        <v>0</v>
      </c>
      <c r="AA577" s="18">
        <f t="shared" si="374"/>
        <v>45</v>
      </c>
      <c r="AB577" s="18">
        <f t="shared" si="375"/>
        <v>45</v>
      </c>
      <c r="AE577" s="44" cm="1">
        <f t="array" ref="AE577">_xll.BDH("COMXGOLD Comdty","PX_Last", N577)</f>
        <v>39948156.891000003</v>
      </c>
      <c r="AF577" s="15" t="s">
        <v>49</v>
      </c>
      <c r="AG577" s="44" cm="1">
        <f t="array" ref="AG577">_xll.BDH(AF577,"FUT_AGGTE_OPEN_INT",A577)</f>
        <v>505149</v>
      </c>
      <c r="AH577" s="44">
        <f t="shared" si="384"/>
        <v>50514900</v>
      </c>
      <c r="AI577" s="48">
        <f t="shared" si="385"/>
        <v>0.79081928086564568</v>
      </c>
      <c r="AK577" s="44" cm="1">
        <f t="array" ref="AK577">_xll.BDH("COMXSILV Comdty","PX_Last", N577)</f>
        <v>430278.16</v>
      </c>
      <c r="AL577" s="15" t="s">
        <v>50</v>
      </c>
      <c r="AM577" s="47" cm="1">
        <f t="array" ref="AM577">_xll.BDH(AL577,"FUT_AGGTE_OPEN_INT",A577)</f>
        <v>152782</v>
      </c>
      <c r="AN577" s="45">
        <f t="shared" si="386"/>
        <v>563.25766124281654</v>
      </c>
      <c r="AO577" s="46">
        <f t="shared" si="387"/>
        <v>43027816000</v>
      </c>
      <c r="AP577" s="46">
        <f t="shared" si="388"/>
        <v>763910</v>
      </c>
    </row>
    <row r="578" spans="1:42" x14ac:dyDescent="0.2">
      <c r="A578" s="71">
        <v>45727</v>
      </c>
      <c r="B578" s="16" cm="1">
        <f t="array" ref="B578">_xll.BADDPERIODS(A578, "PER=WD", "NUMBEROFPERIODS=2", "BUSDAYADJ=-2", "CDR=GQ", "CDR=P9")</f>
        <v>45729</v>
      </c>
      <c r="C578" s="15" cm="1">
        <f t="array" ref="C578">_xll.BDH("XAU Curncy","PX_LAST",A578,A578)</f>
        <v>2915.9</v>
      </c>
      <c r="D578" s="15" t="str" cm="1">
        <f t="array" ref="D578">_xll.BDP("GCJ5 Comdty",$M$32)</f>
        <v>01/04/2025</v>
      </c>
      <c r="E578" s="15">
        <f t="shared" si="381"/>
        <v>19</v>
      </c>
      <c r="F578" s="23">
        <v>0.04</v>
      </c>
      <c r="G578" s="28">
        <f t="shared" si="355"/>
        <v>6.155788888888889</v>
      </c>
      <c r="H578" s="12">
        <v>7.5</v>
      </c>
      <c r="I578" s="101">
        <f t="shared" si="382"/>
        <v>1.344211111111111</v>
      </c>
      <c r="J578" s="26">
        <v>4</v>
      </c>
      <c r="K578" s="26">
        <v>6</v>
      </c>
      <c r="L578" s="26">
        <v>8</v>
      </c>
      <c r="N578" s="71">
        <v>45727</v>
      </c>
      <c r="O578" s="16" cm="1">
        <f t="array" ref="O578">_xll.BADDPERIODS(N578, "PER=WD", "NUMBEROFPERIODS=2", "BUSDAYADJ=-2", "CDR=GQ", "CDR=P9")</f>
        <v>45729</v>
      </c>
      <c r="P578" s="15" cm="1">
        <f t="array" ref="P578">_xll.BDH("XAG Curncy","PX_LAST",N578,N578)</f>
        <v>32.942599999999999</v>
      </c>
      <c r="Q578" s="15" t="str" cm="1">
        <f t="array" ref="Q578">_xll.BDP("SIK5 Comdty",$M$32)</f>
        <v>01/05/2025</v>
      </c>
      <c r="R578" s="15">
        <f t="shared" si="389"/>
        <v>49</v>
      </c>
      <c r="S578" s="23">
        <v>-0.01</v>
      </c>
      <c r="T578" s="21">
        <f t="shared" si="320"/>
        <v>-4.4838538888888883E-2</v>
      </c>
      <c r="U578" s="12">
        <v>0.45</v>
      </c>
      <c r="V578" s="102">
        <f t="shared" si="390"/>
        <v>49.483853888888888</v>
      </c>
      <c r="W578" s="15">
        <v>15</v>
      </c>
      <c r="X578" s="15">
        <v>20</v>
      </c>
      <c r="Y578" s="15">
        <v>25</v>
      </c>
      <c r="Z578" s="18">
        <f t="shared" si="373"/>
        <v>-4.4838538888888886</v>
      </c>
      <c r="AA578" s="18">
        <f t="shared" si="374"/>
        <v>45</v>
      </c>
      <c r="AB578" s="18">
        <f t="shared" si="375"/>
        <v>49.483853888888888</v>
      </c>
      <c r="AE578" s="44" cm="1">
        <f t="array" ref="AE578">_xll.BDH("COMXGOLD Comdty","PX_Last", N578)</f>
        <v>40117945.640000001</v>
      </c>
      <c r="AF578" s="15" t="s">
        <v>49</v>
      </c>
      <c r="AG578" s="44" cm="1">
        <f t="array" ref="AG578">_xll.BDH(AF578,"FUT_AGGTE_OPEN_INT",A578)</f>
        <v>511276</v>
      </c>
      <c r="AH578" s="44">
        <f t="shared" si="384"/>
        <v>51127600</v>
      </c>
      <c r="AI578" s="48">
        <f t="shared" si="385"/>
        <v>0.78466318857133921</v>
      </c>
      <c r="AK578" s="44" cm="1">
        <f t="array" ref="AK578">_xll.BDH("COMXSILV Comdty","PX_Last", N578)</f>
        <v>433759.09</v>
      </c>
      <c r="AL578" s="15" t="s">
        <v>50</v>
      </c>
      <c r="AM578" s="47" cm="1">
        <f t="array" ref="AM578">_xll.BDH(AL578,"FUT_AGGTE_OPEN_INT",A578)</f>
        <v>155263</v>
      </c>
      <c r="AN578" s="45">
        <f t="shared" si="386"/>
        <v>558.74109092314336</v>
      </c>
      <c r="AO578" s="46">
        <f t="shared" si="387"/>
        <v>43375909000</v>
      </c>
      <c r="AP578" s="46">
        <f t="shared" si="388"/>
        <v>776315</v>
      </c>
    </row>
    <row r="579" spans="1:42" x14ac:dyDescent="0.2">
      <c r="A579" s="71">
        <v>45728</v>
      </c>
      <c r="B579" s="16" cm="1">
        <f t="array" ref="B579">_xll.BADDPERIODS(A579, "PER=WD", "NUMBEROFPERIODS=2", "BUSDAYADJ=-2", "CDR=GQ", "CDR=P9")</f>
        <v>45730</v>
      </c>
      <c r="C579" s="15" cm="1">
        <f t="array" ref="C579">_xll.BDH("XAU Curncy","PX_LAST",A579,A579)</f>
        <v>2934.77</v>
      </c>
      <c r="D579" s="15" t="str" cm="1">
        <f t="array" ref="D579">_xll.BDP("GCJ5 Comdty",$M$32)</f>
        <v>01/04/2025</v>
      </c>
      <c r="E579" s="15">
        <f t="shared" si="381"/>
        <v>18</v>
      </c>
      <c r="F579" s="23">
        <v>4.0500000000000001E-2</v>
      </c>
      <c r="G579" s="28">
        <f t="shared" si="355"/>
        <v>5.9429092500000005</v>
      </c>
      <c r="H579" s="12">
        <v>7</v>
      </c>
      <c r="I579" s="101">
        <f t="shared" si="382"/>
        <v>1.0570907499999995</v>
      </c>
      <c r="J579" s="26">
        <v>4</v>
      </c>
      <c r="K579" s="26">
        <v>6</v>
      </c>
      <c r="L579" s="26">
        <v>8</v>
      </c>
      <c r="N579" s="71">
        <v>45728</v>
      </c>
      <c r="O579" s="16" cm="1">
        <f t="array" ref="O579">_xll.BADDPERIODS(N579, "PER=WD", "NUMBEROFPERIODS=2", "BUSDAYADJ=-2", "CDR=GQ", "CDR=P9")</f>
        <v>45730</v>
      </c>
      <c r="P579" s="15" cm="1">
        <f t="array" ref="P579">_xll.BDH("XAG Curncy","PX_LAST",N579,N579)</f>
        <v>33.2453</v>
      </c>
      <c r="Q579" s="15" t="str" cm="1">
        <f t="array" ref="Q579">_xll.BDP("SIK5 Comdty",$M$32)</f>
        <v>01/05/2025</v>
      </c>
      <c r="R579" s="15">
        <f t="shared" si="389"/>
        <v>48</v>
      </c>
      <c r="S579" s="23">
        <v>-0.01</v>
      </c>
      <c r="T579" s="21">
        <f t="shared" si="320"/>
        <v>-4.4327066666666665E-2</v>
      </c>
      <c r="U579" s="12">
        <v>0.54</v>
      </c>
      <c r="V579" s="102">
        <f t="shared" si="390"/>
        <v>58.432706666666668</v>
      </c>
      <c r="W579" s="15">
        <v>15</v>
      </c>
      <c r="X579" s="15">
        <v>20</v>
      </c>
      <c r="Y579" s="15">
        <v>25</v>
      </c>
      <c r="Z579" s="18">
        <f t="shared" si="373"/>
        <v>-4.4327066666666664</v>
      </c>
      <c r="AA579" s="18">
        <f t="shared" si="374"/>
        <v>54</v>
      </c>
      <c r="AB579" s="18">
        <f t="shared" si="375"/>
        <v>58.432706666666668</v>
      </c>
      <c r="AE579" s="44" cm="1">
        <f t="array" ref="AE579">_xll.BDH("COMXGOLD Comdty","PX_Last", N579)</f>
        <v>40150064.489</v>
      </c>
      <c r="AF579" s="15" t="s">
        <v>49</v>
      </c>
      <c r="AG579" s="44" cm="1">
        <f t="array" ref="AG579">_xll.BDH(AF579,"FUT_AGGTE_OPEN_INT",A579)</f>
        <v>508714</v>
      </c>
      <c r="AH579" s="44">
        <f t="shared" si="384"/>
        <v>50871400</v>
      </c>
      <c r="AI579" s="48">
        <f t="shared" si="385"/>
        <v>0.7892463051734373</v>
      </c>
      <c r="AK579" s="44" cm="1">
        <f t="array" ref="AK579">_xll.BDH("COMXSILV Comdty","PX_Last", N579)</f>
        <v>436429.63</v>
      </c>
      <c r="AL579" s="15" t="s">
        <v>50</v>
      </c>
      <c r="AM579" s="47" cm="1">
        <f t="array" ref="AM579">_xll.BDH(AL579,"FUT_AGGTE_OPEN_INT",A579)</f>
        <v>159618</v>
      </c>
      <c r="AN579" s="45">
        <f t="shared" si="386"/>
        <v>546.84262426543364</v>
      </c>
      <c r="AO579" s="46">
        <f t="shared" si="387"/>
        <v>43642963000</v>
      </c>
      <c r="AP579" s="46">
        <f t="shared" si="388"/>
        <v>798090</v>
      </c>
    </row>
    <row r="580" spans="1:42" x14ac:dyDescent="0.2">
      <c r="A580" s="71">
        <v>45729</v>
      </c>
      <c r="B580" s="16" cm="1">
        <f t="array" ref="B580">_xll.BADDPERIODS(A580, "PER=WD", "NUMBEROFPERIODS=2", "BUSDAYADJ=-2", "CDR=GQ", "CDR=P9")</f>
        <v>45733</v>
      </c>
      <c r="C580" s="15" cm="1">
        <f t="array" ref="C580">_xll.BDH("XAU Curncy","PX_LAST",A580,A580)</f>
        <v>2989.18</v>
      </c>
      <c r="D580" s="15" t="str" cm="1">
        <f t="array" ref="D580">_xll.BDP("GCJ5 Comdty",$M$32)</f>
        <v>01/04/2025</v>
      </c>
      <c r="E580" s="15">
        <f t="shared" si="381"/>
        <v>15</v>
      </c>
      <c r="F580" s="23">
        <v>4.0500000000000001E-2</v>
      </c>
      <c r="G580" s="28">
        <f t="shared" si="355"/>
        <v>5.0442412499999998</v>
      </c>
      <c r="H580" s="12">
        <v>12.5</v>
      </c>
      <c r="I580" s="101">
        <f t="shared" si="382"/>
        <v>7.4557587500000002</v>
      </c>
      <c r="J580" s="26">
        <v>4</v>
      </c>
      <c r="K580" s="26">
        <v>6</v>
      </c>
      <c r="L580" s="26">
        <v>8</v>
      </c>
      <c r="N580" s="71">
        <v>45729</v>
      </c>
      <c r="O580" s="16" cm="1">
        <f t="array" ref="O580">_xll.BADDPERIODS(N580, "PER=WD", "NUMBEROFPERIODS=2", "BUSDAYADJ=-2", "CDR=GQ", "CDR=P9")</f>
        <v>45733</v>
      </c>
      <c r="P580" s="15" cm="1">
        <f t="array" ref="P580">_xll.BDH("XAG Curncy","PX_LAST",N580,N580)</f>
        <v>33.867899999999999</v>
      </c>
      <c r="Q580" s="15" t="str" cm="1">
        <f t="array" ref="Q580">_xll.BDP("SIK5 Comdty",$M$32)</f>
        <v>01/05/2025</v>
      </c>
      <c r="R580" s="15">
        <f t="shared" si="389"/>
        <v>45</v>
      </c>
      <c r="S580" s="23">
        <v>-0.01</v>
      </c>
      <c r="T580" s="21">
        <f t="shared" si="320"/>
        <v>-4.2334875000000001E-2</v>
      </c>
      <c r="U580" s="12">
        <v>0.64</v>
      </c>
      <c r="V580" s="102">
        <f t="shared" si="390"/>
        <v>68.233487499999995</v>
      </c>
      <c r="W580" s="15">
        <v>15</v>
      </c>
      <c r="X580" s="15">
        <v>20</v>
      </c>
      <c r="Y580" s="15">
        <v>25</v>
      </c>
      <c r="Z580" s="18">
        <f t="shared" si="373"/>
        <v>-4.2334874999999998</v>
      </c>
      <c r="AA580" s="18">
        <f t="shared" si="374"/>
        <v>64</v>
      </c>
      <c r="AB580" s="18">
        <f t="shared" si="375"/>
        <v>68.233487499999995</v>
      </c>
      <c r="AE580" s="44" cm="1">
        <f t="array" ref="AE580">_xll.BDH("COMXGOLD Comdty","PX_Last", N580)</f>
        <v>40559729.864</v>
      </c>
      <c r="AF580" s="15" t="s">
        <v>49</v>
      </c>
      <c r="AG580" s="44" cm="1">
        <f t="array" ref="AG580">_xll.BDH(AF580,"FUT_AGGTE_OPEN_INT",A580)</f>
        <v>526145</v>
      </c>
      <c r="AH580" s="44">
        <f t="shared" si="384"/>
        <v>52614500</v>
      </c>
      <c r="AI580" s="48">
        <f t="shared" si="385"/>
        <v>0.77088501960486178</v>
      </c>
      <c r="AK580" s="44" cm="1">
        <f t="array" ref="AK580">_xll.BDH("COMXSILV Comdty","PX_Last", N580)</f>
        <v>440821.47</v>
      </c>
      <c r="AL580" s="15" t="s">
        <v>50</v>
      </c>
      <c r="AM580" s="47" cm="1">
        <f t="array" ref="AM580">_xll.BDH(AL580,"FUT_AGGTE_OPEN_INT",A580)</f>
        <v>164930</v>
      </c>
      <c r="AN580" s="45">
        <f t="shared" si="386"/>
        <v>534.55583580913117</v>
      </c>
      <c r="AO580" s="46">
        <f t="shared" si="387"/>
        <v>44082147000</v>
      </c>
      <c r="AP580" s="46">
        <f t="shared" si="388"/>
        <v>824650</v>
      </c>
    </row>
    <row r="581" spans="1:42" x14ac:dyDescent="0.2">
      <c r="A581" s="71">
        <v>45730</v>
      </c>
      <c r="B581" s="16" cm="1">
        <f t="array" ref="B581">_xll.BADDPERIODS(A581, "PER=WD", "NUMBEROFPERIODS=2", "BUSDAYADJ=-2", "CDR=GQ", "CDR=P9")</f>
        <v>45734</v>
      </c>
      <c r="C581" s="15" cm="1">
        <f t="array" ref="C581">_xll.BDH("XAU Curncy","PX_LAST",A581,A581)</f>
        <v>2984.16</v>
      </c>
      <c r="D581" s="15" t="str" cm="1">
        <f t="array" ref="D581">_xll.BDP("GCJ5 Comdty",$M$32)</f>
        <v>01/04/2025</v>
      </c>
      <c r="E581" s="15">
        <f t="shared" si="381"/>
        <v>14</v>
      </c>
      <c r="F581" s="23">
        <v>4.0500000000000001E-2</v>
      </c>
      <c r="G581" s="28">
        <f t="shared" si="355"/>
        <v>4.7000519999999995</v>
      </c>
      <c r="H581" s="12">
        <v>11</v>
      </c>
      <c r="I581" s="101">
        <f t="shared" si="382"/>
        <v>6.2999480000000005</v>
      </c>
      <c r="J581" s="26">
        <v>4</v>
      </c>
      <c r="K581" s="26">
        <v>6</v>
      </c>
      <c r="L581" s="26">
        <v>8</v>
      </c>
      <c r="N581" s="71">
        <v>45730</v>
      </c>
      <c r="O581" s="16" cm="1">
        <f t="array" ref="O581">_xll.BADDPERIODS(N581, "PER=WD", "NUMBEROFPERIODS=2", "BUSDAYADJ=-2", "CDR=GQ", "CDR=P9")</f>
        <v>45734</v>
      </c>
      <c r="P581" s="15" cm="1">
        <f t="array" ref="P581">_xll.BDH("XAG Curncy","PX_LAST",N581,N581)</f>
        <v>33.799399999999999</v>
      </c>
      <c r="Q581" s="15" t="str" cm="1">
        <f t="array" ref="Q581">_xll.BDP("SIK5 Comdty",$M$32)</f>
        <v>01/05/2025</v>
      </c>
      <c r="R581" s="15">
        <f t="shared" si="389"/>
        <v>44</v>
      </c>
      <c r="S581" s="23">
        <v>5.0000000000000001E-3</v>
      </c>
      <c r="T581" s="21">
        <f t="shared" si="320"/>
        <v>2.0655188888888888E-2</v>
      </c>
      <c r="U581" s="12">
        <v>0.67</v>
      </c>
      <c r="V581" s="102">
        <f t="shared" si="390"/>
        <v>64.934481111111126</v>
      </c>
      <c r="W581" s="15">
        <v>15</v>
      </c>
      <c r="X581" s="15">
        <v>20</v>
      </c>
      <c r="Y581" s="15">
        <v>25</v>
      </c>
      <c r="Z581" s="18">
        <f t="shared" si="373"/>
        <v>2.0655188888888887</v>
      </c>
      <c r="AA581" s="18">
        <f t="shared" si="374"/>
        <v>67</v>
      </c>
      <c r="AB581" s="18">
        <f t="shared" si="375"/>
        <v>64.934481111111126</v>
      </c>
      <c r="AE581" s="44" cm="1">
        <f t="array" ref="AE581">_xll.BDH("COMXGOLD Comdty","PX_Last", N581)</f>
        <v>40431740.259999998</v>
      </c>
      <c r="AF581" s="15" t="s">
        <v>49</v>
      </c>
      <c r="AG581" s="44" cm="1">
        <f t="array" ref="AG581">_xll.BDH(AF581,"FUT_AGGTE_OPEN_INT",A581)</f>
        <v>532348</v>
      </c>
      <c r="AH581" s="44">
        <f t="shared" ref="AH581:AH586" si="391">AG581*$AG$17</f>
        <v>53234800</v>
      </c>
      <c r="AI581" s="48">
        <f t="shared" ref="AI581:AI586" si="392">AE581/AH581</f>
        <v>0.75949830298977361</v>
      </c>
      <c r="AK581" s="44" cm="1">
        <f t="array" ref="AK581">_xll.BDH("COMXSILV Comdty","PX_Last", N581)</f>
        <v>443699.06</v>
      </c>
      <c r="AL581" s="15" t="s">
        <v>50</v>
      </c>
      <c r="AM581" s="47" cm="1">
        <f t="array" ref="AM581">_xll.BDH(AL581,"FUT_AGGTE_OPEN_INT",A581)</f>
        <v>166394</v>
      </c>
      <c r="AN581" s="45">
        <f t="shared" ref="AN581:AN586" si="393">(AO581/AP581)/100</f>
        <v>533.311369400339</v>
      </c>
      <c r="AO581" s="46">
        <f t="shared" ref="AO581:AO586" si="394">AK581*100000</f>
        <v>44369906000</v>
      </c>
      <c r="AP581" s="46">
        <f t="shared" ref="AP581:AP585" si="395">(AM581*5000)/1000</f>
        <v>831970</v>
      </c>
    </row>
    <row r="582" spans="1:42" x14ac:dyDescent="0.2">
      <c r="A582" s="71">
        <v>45733</v>
      </c>
      <c r="B582" s="16" cm="1">
        <f t="array" ref="B582">_xll.BADDPERIODS(A582, "PER=WD", "NUMBEROFPERIODS=2", "BUSDAYADJ=-2", "CDR=GQ", "CDR=P9")</f>
        <v>45735</v>
      </c>
      <c r="C582" s="15" cm="1">
        <f t="array" ref="C582">_xll.BDH("XAU Curncy","PX_LAST",A582,A582)</f>
        <v>3000.6</v>
      </c>
      <c r="D582" s="15" t="str" cm="1">
        <f t="array" ref="D582">_xll.BDP("GCJ5 Comdty",$M$32)</f>
        <v>01/04/2025</v>
      </c>
      <c r="E582" s="15">
        <f t="shared" ref="E582:E591" si="396">_xlfn.DAYS(D582,B582)</f>
        <v>13</v>
      </c>
      <c r="F582" s="23">
        <v>4.0500000000000001E-2</v>
      </c>
      <c r="G582" s="28">
        <f t="shared" si="355"/>
        <v>4.3883774999999998</v>
      </c>
      <c r="H582" s="12">
        <v>8.5</v>
      </c>
      <c r="I582" s="104">
        <f t="shared" si="382"/>
        <v>4.1116225000000002</v>
      </c>
      <c r="J582" s="26">
        <v>4</v>
      </c>
      <c r="K582" s="26">
        <v>6</v>
      </c>
      <c r="L582" s="26">
        <v>8</v>
      </c>
      <c r="N582" s="71">
        <v>45733</v>
      </c>
      <c r="O582" s="16" cm="1">
        <f t="array" ref="O582">_xll.BADDPERIODS(N582, "PER=WD", "NUMBEROFPERIODS=2", "BUSDAYADJ=-2", "CDR=GQ", "CDR=P9")</f>
        <v>45735</v>
      </c>
      <c r="P582" s="15" cm="1">
        <f t="array" ref="P582">_xll.BDH("XAG Curncy","PX_LAST",N582,N582)</f>
        <v>33.8628</v>
      </c>
      <c r="Q582" s="15" t="str" cm="1">
        <f t="array" ref="Q582">_xll.BDP("SIK5 Comdty",$M$32)</f>
        <v>01/05/2025</v>
      </c>
      <c r="R582" s="15">
        <f t="shared" ref="R582:R586" si="397">_xlfn.DAYS(Q582,O582)</f>
        <v>43</v>
      </c>
      <c r="S582" s="23">
        <v>5.0000000000000001E-3</v>
      </c>
      <c r="T582" s="21">
        <f t="shared" si="320"/>
        <v>2.022361666666667E-2</v>
      </c>
      <c r="U582" s="12">
        <v>0.57999999999999996</v>
      </c>
      <c r="V582" s="103">
        <f t="shared" si="390"/>
        <v>55.977638333333324</v>
      </c>
      <c r="W582" s="15">
        <v>15</v>
      </c>
      <c r="X582" s="15">
        <v>20</v>
      </c>
      <c r="Y582" s="15">
        <v>25</v>
      </c>
      <c r="Z582" s="18">
        <f t="shared" si="373"/>
        <v>2.0223616666666668</v>
      </c>
      <c r="AA582" s="18">
        <f t="shared" si="374"/>
        <v>57.999999999999993</v>
      </c>
      <c r="AB582" s="18">
        <f t="shared" si="375"/>
        <v>55.977638333333324</v>
      </c>
      <c r="AE582" s="44" cm="1">
        <f t="array" ref="AE582">_xll.BDH("COMXGOLD Comdty","PX_Last", N582)</f>
        <v>40465964.07</v>
      </c>
      <c r="AF582" s="15" t="s">
        <v>49</v>
      </c>
      <c r="AG582" s="44" cm="1">
        <f t="array" ref="AG582">_xll.BDH(AF582,"FUT_AGGTE_OPEN_INT",A582)</f>
        <v>531211</v>
      </c>
      <c r="AH582" s="44">
        <f t="shared" si="391"/>
        <v>53121100</v>
      </c>
      <c r="AI582" s="48">
        <f t="shared" si="392"/>
        <v>0.76176818759400688</v>
      </c>
      <c r="AK582" s="44" cm="1">
        <f t="array" ref="AK582">_xll.BDH("COMXSILV Comdty","PX_Last", N582)</f>
        <v>445423.16</v>
      </c>
      <c r="AL582" s="15" t="s">
        <v>50</v>
      </c>
      <c r="AM582" s="47" cm="1">
        <f t="array" ref="AM582">_xll.BDH(AL582,"FUT_AGGTE_OPEN_INT",A582)</f>
        <v>167249</v>
      </c>
      <c r="AN582" s="45">
        <f t="shared" si="393"/>
        <v>532.64672434513807</v>
      </c>
      <c r="AO582" s="46">
        <f t="shared" si="394"/>
        <v>44542316000</v>
      </c>
      <c r="AP582" s="46">
        <f t="shared" si="395"/>
        <v>836245</v>
      </c>
    </row>
    <row r="583" spans="1:42" x14ac:dyDescent="0.2">
      <c r="A583" s="71">
        <v>45734</v>
      </c>
      <c r="B583" s="16" cm="1">
        <f t="array" ref="B583">_xll.BADDPERIODS(A583, "PER=WD", "NUMBEROFPERIODS=2", "BUSDAYADJ=-2", "CDR=GQ", "CDR=P9")</f>
        <v>45736</v>
      </c>
      <c r="C583" s="15" cm="1">
        <f t="array" ref="C583">_xll.BDH("XAU Curncy","PX_LAST",A583,A583)</f>
        <v>3034.73</v>
      </c>
      <c r="D583" s="15" t="str" cm="1">
        <f t="array" ref="D583">_xll.BDP("GCJ5 Comdty",$M$32)</f>
        <v>01/04/2025</v>
      </c>
      <c r="E583" s="15">
        <f t="shared" si="396"/>
        <v>12</v>
      </c>
      <c r="F583" s="23">
        <v>4.1000000000000002E-2</v>
      </c>
      <c r="G583" s="28">
        <f t="shared" si="355"/>
        <v>4.1474643333333336</v>
      </c>
      <c r="H583" s="12">
        <v>7.5</v>
      </c>
      <c r="I583" s="104">
        <f t="shared" si="382"/>
        <v>3.3525356666666664</v>
      </c>
      <c r="J583" s="26">
        <v>4</v>
      </c>
      <c r="K583" s="26">
        <v>6</v>
      </c>
      <c r="L583" s="26">
        <v>8</v>
      </c>
      <c r="N583" s="71">
        <v>45734</v>
      </c>
      <c r="O583" s="16" cm="1">
        <f t="array" ref="O583">_xll.BADDPERIODS(N583, "PER=WD", "NUMBEROFPERIODS=2", "BUSDAYADJ=-2", "CDR=GQ", "CDR=P9")</f>
        <v>45736</v>
      </c>
      <c r="P583" s="15" cm="1">
        <f t="array" ref="P583">_xll.BDH("XAG Curncy","PX_LAST",N583,N583)</f>
        <v>34.013599999999997</v>
      </c>
      <c r="Q583" s="15" t="str" cm="1">
        <f t="array" ref="Q583">_xll.BDP("SIK5 Comdty",$M$32)</f>
        <v>01/05/2025</v>
      </c>
      <c r="R583" s="15">
        <f t="shared" si="397"/>
        <v>42</v>
      </c>
      <c r="S583" s="23">
        <v>2.5000000000000001E-3</v>
      </c>
      <c r="T583" s="21">
        <f t="shared" si="320"/>
        <v>9.920633333333333E-3</v>
      </c>
      <c r="U583" s="12">
        <v>0.7</v>
      </c>
      <c r="V583" s="103">
        <f t="shared" si="390"/>
        <v>69.007936666666652</v>
      </c>
      <c r="W583" s="15">
        <v>15</v>
      </c>
      <c r="X583" s="15">
        <v>20</v>
      </c>
      <c r="Y583" s="15">
        <v>25</v>
      </c>
      <c r="Z583" s="18">
        <f t="shared" si="373"/>
        <v>0.9920633333333333</v>
      </c>
      <c r="AA583" s="18">
        <f t="shared" si="374"/>
        <v>70</v>
      </c>
      <c r="AB583" s="18">
        <f t="shared" si="375"/>
        <v>69.007936666666652</v>
      </c>
      <c r="AE583" s="44" cm="1">
        <f t="array" ref="AE583">_xll.BDH("COMXGOLD Comdty","PX_Last", N583)</f>
        <v>41124434.134000003</v>
      </c>
      <c r="AF583" s="15" t="s">
        <v>49</v>
      </c>
      <c r="AG583" s="44" cm="1">
        <f t="array" ref="AG583">_xll.BDH(AF583,"FUT_AGGTE_OPEN_INT",A583)</f>
        <v>533566</v>
      </c>
      <c r="AH583" s="44">
        <f t="shared" si="391"/>
        <v>53356600</v>
      </c>
      <c r="AI583" s="48">
        <f t="shared" si="392"/>
        <v>0.77074690167664361</v>
      </c>
      <c r="AK583" s="44" cm="1">
        <f t="array" ref="AK583">_xll.BDH("COMXSILV Comdty","PX_Last", N583)</f>
        <v>448907.22</v>
      </c>
      <c r="AL583" s="15" t="s">
        <v>50</v>
      </c>
      <c r="AM583" s="47" cm="1">
        <f t="array" ref="AM583">_xll.BDH(AL583,"FUT_AGGTE_OPEN_INT",A583)</f>
        <v>170566</v>
      </c>
      <c r="AN583" s="45">
        <f t="shared" si="393"/>
        <v>526.37362663133331</v>
      </c>
      <c r="AO583" s="46">
        <f t="shared" si="394"/>
        <v>44890722000</v>
      </c>
      <c r="AP583" s="46">
        <f t="shared" si="395"/>
        <v>852830</v>
      </c>
    </row>
    <row r="584" spans="1:42" x14ac:dyDescent="0.2">
      <c r="A584" s="71">
        <v>45735</v>
      </c>
      <c r="B584" s="16" cm="1">
        <f t="array" ref="B584">_xll.BADDPERIODS(A584, "PER=WD", "NUMBEROFPERIODS=2", "BUSDAYADJ=-2", "CDR=GQ", "CDR=P9")</f>
        <v>45737</v>
      </c>
      <c r="C584" s="15" cm="1">
        <f t="array" ref="C584">_xll.BDH("XAU Curncy","PX_LAST",A584,A584)</f>
        <v>3047.79</v>
      </c>
      <c r="D584" s="15" t="str" cm="1">
        <f t="array" ref="D584">_xll.BDP("GCJ5 Comdty",$M$32)</f>
        <v>01/04/2025</v>
      </c>
      <c r="E584" s="15">
        <f t="shared" si="396"/>
        <v>11</v>
      </c>
      <c r="F584" s="23">
        <v>4.1500000000000002E-2</v>
      </c>
      <c r="G584" s="28">
        <f t="shared" si="355"/>
        <v>3.8647670416666666</v>
      </c>
      <c r="H584" s="12">
        <v>9.5</v>
      </c>
      <c r="I584" s="104">
        <f t="shared" si="382"/>
        <v>5.6352329583333329</v>
      </c>
      <c r="J584" s="26">
        <v>4</v>
      </c>
      <c r="K584" s="26">
        <v>6</v>
      </c>
      <c r="L584" s="26">
        <v>8</v>
      </c>
      <c r="N584" s="71">
        <v>45735</v>
      </c>
      <c r="O584" s="16" cm="1">
        <f t="array" ref="O584">_xll.BADDPERIODS(N584, "PER=WD", "NUMBEROFPERIODS=2", "BUSDAYADJ=-2", "CDR=GQ", "CDR=P9")</f>
        <v>45737</v>
      </c>
      <c r="P584" s="15" cm="1">
        <f t="array" ref="P584">_xll.BDH("XAG Curncy","PX_LAST",N584,N584)</f>
        <v>33.7958</v>
      </c>
      <c r="Q584" s="15" t="str" cm="1">
        <f t="array" ref="Q584">_xll.BDP("SIK5 Comdty",$M$32)</f>
        <v>01/05/2025</v>
      </c>
      <c r="R584" s="15">
        <f t="shared" si="397"/>
        <v>41</v>
      </c>
      <c r="S584" s="23">
        <v>0</v>
      </c>
      <c r="T584" s="21">
        <f t="shared" si="320"/>
        <v>0</v>
      </c>
      <c r="U584" s="12">
        <v>0.73</v>
      </c>
      <c r="V584" s="103">
        <f t="shared" si="390"/>
        <v>73</v>
      </c>
      <c r="W584" s="15">
        <v>15</v>
      </c>
      <c r="X584" s="15">
        <v>20</v>
      </c>
      <c r="Y584" s="15">
        <v>25</v>
      </c>
      <c r="Z584" s="18">
        <f t="shared" si="373"/>
        <v>0</v>
      </c>
      <c r="AA584" s="18">
        <f t="shared" si="374"/>
        <v>73</v>
      </c>
      <c r="AB584" s="18">
        <f t="shared" si="375"/>
        <v>73</v>
      </c>
      <c r="AE584" s="44" cm="1">
        <f t="array" ref="AE584">_xll.BDH("COMXGOLD Comdty","PX_Last", N584)</f>
        <v>41446851.251000002</v>
      </c>
      <c r="AF584" s="15" t="s">
        <v>49</v>
      </c>
      <c r="AG584" s="44" cm="1">
        <f t="array" ref="AG584">_xll.BDH(AF584,"FUT_AGGTE_OPEN_INT",A584)</f>
        <v>537836</v>
      </c>
      <c r="AH584" s="44">
        <f t="shared" si="391"/>
        <v>53783600</v>
      </c>
      <c r="AI584" s="48">
        <f t="shared" si="392"/>
        <v>0.77062248066325056</v>
      </c>
      <c r="AK584" s="44" cm="1">
        <f t="array" ref="AK584">_xll.BDH("COMXSILV Comdty","PX_Last", N584)</f>
        <v>453064.25</v>
      </c>
      <c r="AL584" s="15" t="s">
        <v>50</v>
      </c>
      <c r="AM584" s="47" cm="1">
        <f t="array" ref="AM584">_xll.BDH(AL584,"FUT_AGGTE_OPEN_INT",A584)</f>
        <v>169407</v>
      </c>
      <c r="AN584" s="45">
        <f t="shared" si="393"/>
        <v>534.88256093313737</v>
      </c>
      <c r="AO584" s="46">
        <f t="shared" si="394"/>
        <v>45306425000</v>
      </c>
      <c r="AP584" s="46">
        <f t="shared" si="395"/>
        <v>847035</v>
      </c>
    </row>
    <row r="585" spans="1:42" x14ac:dyDescent="0.2">
      <c r="A585" s="71">
        <v>45736</v>
      </c>
      <c r="B585" s="16" cm="1">
        <f t="array" ref="B585">_xll.BADDPERIODS(A585, "PER=WD", "NUMBEROFPERIODS=2", "BUSDAYADJ=-2", "CDR=GQ", "CDR=P9")</f>
        <v>45740</v>
      </c>
      <c r="C585" s="15" cm="1">
        <f t="array" ref="C585">_xll.BDH("XAU Curncy","PX_LAST",A585,A585)</f>
        <v>3044.9</v>
      </c>
      <c r="D585" s="15" t="str" cm="1">
        <f t="array" ref="D585">_xll.BDP("GCJ5 Comdty",$M$32)</f>
        <v>01/04/2025</v>
      </c>
      <c r="E585" s="15">
        <f t="shared" si="396"/>
        <v>8</v>
      </c>
      <c r="F585" s="23">
        <v>4.2500000000000003E-2</v>
      </c>
      <c r="G585" s="28">
        <f t="shared" si="355"/>
        <v>2.8757388888888897</v>
      </c>
      <c r="H585" s="12">
        <v>8.5</v>
      </c>
      <c r="I585" s="104">
        <f t="shared" si="382"/>
        <v>5.6242611111111103</v>
      </c>
      <c r="J585" s="26">
        <v>4</v>
      </c>
      <c r="K585" s="26">
        <v>6</v>
      </c>
      <c r="L585" s="26">
        <v>8</v>
      </c>
      <c r="N585" s="71">
        <v>45736</v>
      </c>
      <c r="O585" s="16" cm="1">
        <f t="array" ref="O585">_xll.BADDPERIODS(N585, "PER=WD", "NUMBEROFPERIODS=2", "BUSDAYADJ=-2", "CDR=GQ", "CDR=P9")</f>
        <v>45740</v>
      </c>
      <c r="P585" s="15" cm="1">
        <f t="array" ref="P585">_xll.BDH("XAG Curncy","PX_LAST",N585,N585)</f>
        <v>33.591200000000001</v>
      </c>
      <c r="Q585" s="15" t="str" cm="1">
        <f t="array" ref="Q585">_xll.BDP("SIK5 Comdty",$M$32)</f>
        <v>01/05/2025</v>
      </c>
      <c r="R585" s="15">
        <f t="shared" si="397"/>
        <v>38</v>
      </c>
      <c r="S585" s="23">
        <v>2.5000000000000001E-3</v>
      </c>
      <c r="T585" s="21">
        <f t="shared" si="320"/>
        <v>8.8643444444444445E-3</v>
      </c>
      <c r="U585" s="12">
        <v>0.56999999999999995</v>
      </c>
      <c r="V585" s="103">
        <f t="shared" si="390"/>
        <v>56.113565555555553</v>
      </c>
      <c r="W585" s="15">
        <v>15</v>
      </c>
      <c r="X585" s="15">
        <v>20</v>
      </c>
      <c r="Y585" s="15">
        <v>25</v>
      </c>
      <c r="Z585" s="18">
        <f t="shared" si="373"/>
        <v>0.88643444444444441</v>
      </c>
      <c r="AA585" s="18">
        <f t="shared" si="374"/>
        <v>56.999999999999993</v>
      </c>
      <c r="AB585" s="18">
        <f t="shared" si="375"/>
        <v>56.113565555555553</v>
      </c>
      <c r="AE585" s="44" cm="1">
        <f t="array" ref="AE585">_xll.BDH("COMXGOLD Comdty","PX_Last", N585)</f>
        <v>41594745.805</v>
      </c>
      <c r="AF585" s="15" t="s">
        <v>49</v>
      </c>
      <c r="AG585" s="44" cm="1">
        <f t="array" ref="AG585">_xll.BDH(AF585,"FUT_AGGTE_OPEN_INT",A585)</f>
        <v>532731</v>
      </c>
      <c r="AH585" s="44">
        <f t="shared" si="391"/>
        <v>53273100</v>
      </c>
      <c r="AI585" s="48">
        <f t="shared" si="392"/>
        <v>0.78078328096168614</v>
      </c>
      <c r="AK585" s="44" cm="1">
        <f t="array" ref="AK585">_xll.BDH("COMXSILV Comdty","PX_Last", N585)</f>
        <v>456485.84</v>
      </c>
      <c r="AL585" s="15" t="s">
        <v>50</v>
      </c>
      <c r="AM585" s="47" cm="1">
        <f t="array" ref="AM585">_xll.BDH(AL585,"FUT_AGGTE_OPEN_INT",A585)</f>
        <v>168343</v>
      </c>
      <c r="AN585" s="45">
        <f t="shared" si="393"/>
        <v>542.32827025774759</v>
      </c>
      <c r="AO585" s="46">
        <f t="shared" si="394"/>
        <v>45648584000</v>
      </c>
      <c r="AP585" s="46">
        <f t="shared" si="395"/>
        <v>841715</v>
      </c>
    </row>
    <row r="586" spans="1:42" x14ac:dyDescent="0.2">
      <c r="A586" s="71">
        <v>45737</v>
      </c>
      <c r="B586" s="16" cm="1">
        <f t="array" ref="B586">_xll.BADDPERIODS(A586, "PER=WD", "NUMBEROFPERIODS=2", "BUSDAYADJ=-2", "CDR=GQ", "CDR=P9")</f>
        <v>45741</v>
      </c>
      <c r="C586" s="15" cm="1">
        <f t="array" ref="C586">_xll.BDH("XAU Curncy","PX_LAST",A586,A586)</f>
        <v>3022.15</v>
      </c>
      <c r="D586" s="15" t="str" cm="1">
        <f t="array" ref="D586">_xll.BDP("GCJ5 Comdty",$M$32)</f>
        <v>01/04/2025</v>
      </c>
      <c r="E586" s="15">
        <f t="shared" si="396"/>
        <v>7</v>
      </c>
      <c r="F586" s="23">
        <v>4.2999999999999997E-2</v>
      </c>
      <c r="G586" s="28">
        <f t="shared" si="355"/>
        <v>2.5268531944444446</v>
      </c>
      <c r="H586" s="12">
        <v>6</v>
      </c>
      <c r="I586" s="104">
        <f t="shared" si="382"/>
        <v>3.4731468055555554</v>
      </c>
      <c r="J586" s="26">
        <v>4</v>
      </c>
      <c r="K586" s="26">
        <v>6</v>
      </c>
      <c r="L586" s="26">
        <v>8</v>
      </c>
      <c r="N586" s="71">
        <v>45737</v>
      </c>
      <c r="O586" s="16" cm="1">
        <f t="array" ref="O586">_xll.BADDPERIODS(N586, "PER=WD", "NUMBEROFPERIODS=2", "BUSDAYADJ=-2", "CDR=GQ", "CDR=P9")</f>
        <v>45741</v>
      </c>
      <c r="P586" s="15" cm="1">
        <f t="array" ref="P586">_xll.BDH("XAG Curncy","PX_LAST",N586,N586)</f>
        <v>33.032800000000002</v>
      </c>
      <c r="Q586" s="15" t="str" cm="1">
        <f t="array" ref="Q586">_xll.BDP("SIK5 Comdty",$M$32)</f>
        <v>01/05/2025</v>
      </c>
      <c r="R586" s="15">
        <f t="shared" si="397"/>
        <v>37</v>
      </c>
      <c r="S586" s="23">
        <v>2.5000000000000001E-3</v>
      </c>
      <c r="T586" s="21">
        <f t="shared" si="320"/>
        <v>8.4875944444444441E-3</v>
      </c>
      <c r="U586" s="12">
        <v>0.53</v>
      </c>
      <c r="V586" s="103">
        <f t="shared" si="390"/>
        <v>52.151240555555553</v>
      </c>
      <c r="W586" s="15">
        <v>15</v>
      </c>
      <c r="X586" s="15">
        <v>20</v>
      </c>
      <c r="Y586" s="15">
        <v>25</v>
      </c>
      <c r="Z586" s="18">
        <f t="shared" si="373"/>
        <v>0.8487594444444444</v>
      </c>
      <c r="AA586" s="18">
        <f t="shared" si="374"/>
        <v>53</v>
      </c>
      <c r="AB586" s="18">
        <f t="shared" si="375"/>
        <v>52.151240555555553</v>
      </c>
      <c r="AE586" s="44" cm="1">
        <f t="array" ref="AE586">_xll.BDH("COMXGOLD Comdty","PX_Last", N586)</f>
        <v>41891156.381999999</v>
      </c>
      <c r="AF586" s="15" t="s">
        <v>49</v>
      </c>
      <c r="AG586" s="44" cm="1">
        <f t="array" ref="AG586">_xll.BDH(AF586,"FUT_AGGTE_OPEN_INT",A586)</f>
        <v>519140</v>
      </c>
      <c r="AH586" s="44">
        <f t="shared" si="391"/>
        <v>51914000</v>
      </c>
      <c r="AI586" s="48">
        <f t="shared" si="392"/>
        <v>0.80693370539738796</v>
      </c>
      <c r="AK586" s="44" cm="1">
        <f t="array" ref="AK586">_xll.BDH("COMXSILV Comdty","PX_Last", N586)</f>
        <v>458086.84</v>
      </c>
      <c r="AL586" s="15" t="s">
        <v>50</v>
      </c>
      <c r="AM586" s="47" cm="1">
        <f t="array" ref="AM586">_xll.BDH(AL586,"FUT_AGGTE_OPEN_INT",A586)</f>
        <v>167309</v>
      </c>
      <c r="AN586" s="45">
        <f t="shared" si="393"/>
        <v>547.59378156584523</v>
      </c>
      <c r="AO586" s="46">
        <f t="shared" si="394"/>
        <v>45808684000</v>
      </c>
      <c r="AP586" s="106">
        <f>(AM586*5000)/1000</f>
        <v>836545</v>
      </c>
    </row>
    <row r="587" spans="1:42" x14ac:dyDescent="0.2">
      <c r="A587" s="71">
        <v>45740</v>
      </c>
      <c r="B587" s="16" cm="1">
        <f t="array" ref="B587">_xll.BADDPERIODS(A587, "PER=WD", "NUMBEROFPERIODS=2", "BUSDAYADJ=-2", "CDR=GQ", "CDR=P9")</f>
        <v>45742</v>
      </c>
      <c r="C587" s="15" cm="1">
        <f t="array" ref="C587">_xll.BDH("XAU Curncy","PX_LAST",A587,A587)</f>
        <v>3011.04</v>
      </c>
      <c r="D587" s="15" t="str" cm="1">
        <f t="array" ref="D587">_xll.BDP("GCJ5 Comdty",$M$32)</f>
        <v>01/04/2025</v>
      </c>
      <c r="E587" s="15">
        <f t="shared" si="396"/>
        <v>6</v>
      </c>
      <c r="F587" s="23">
        <v>4.2999999999999997E-2</v>
      </c>
      <c r="G587" s="28">
        <f t="shared" si="355"/>
        <v>2.1579119999999996</v>
      </c>
      <c r="H587" s="12">
        <v>5.5</v>
      </c>
      <c r="I587" s="105">
        <f t="shared" si="382"/>
        <v>3.3420880000000004</v>
      </c>
      <c r="J587" s="26">
        <v>4</v>
      </c>
      <c r="K587" s="26">
        <v>6</v>
      </c>
      <c r="L587" s="26">
        <v>8</v>
      </c>
      <c r="N587" s="71">
        <v>45740</v>
      </c>
      <c r="O587" s="16" cm="1">
        <f t="array" ref="O587">_xll.BADDPERIODS(N587, "PER=WD", "NUMBEROFPERIODS=2", "BUSDAYADJ=-2", "CDR=GQ", "CDR=P9")</f>
        <v>45742</v>
      </c>
      <c r="P587" s="15" cm="1">
        <f t="array" ref="P587">_xll.BDH("XAG Curncy","PX_LAST",N587,N587)</f>
        <v>33.016599999999997</v>
      </c>
      <c r="Q587" s="15" t="str" cm="1">
        <f t="array" ref="Q587">_xll.BDP("SIK5 Comdty",$M$32)</f>
        <v>01/05/2025</v>
      </c>
      <c r="R587" s="15">
        <f t="shared" ref="R587:R591" si="398">_xlfn.DAYS(Q587,O587)</f>
        <v>36</v>
      </c>
      <c r="S587" s="23">
        <v>5.0000000000000001E-3</v>
      </c>
      <c r="T587" s="21">
        <f t="shared" si="320"/>
        <v>1.65083E-2</v>
      </c>
      <c r="U587" s="12">
        <v>0.52</v>
      </c>
      <c r="V587" s="103">
        <f t="shared" si="390"/>
        <v>50.349170000000001</v>
      </c>
      <c r="W587" s="15">
        <v>15</v>
      </c>
      <c r="X587" s="15">
        <v>20</v>
      </c>
      <c r="Y587" s="15">
        <v>25</v>
      </c>
      <c r="Z587" s="18">
        <f t="shared" ref="Z587:Z596" si="399">100*T587</f>
        <v>1.65083</v>
      </c>
      <c r="AA587" s="18">
        <f t="shared" ref="AA587:AA596" si="400">U587*100</f>
        <v>52</v>
      </c>
      <c r="AB587" s="18">
        <f t="shared" ref="AB587:AB596" si="401">V587</f>
        <v>50.349170000000001</v>
      </c>
      <c r="AE587" s="44" cm="1">
        <f t="array" ref="AE587">_xll.BDH("COMXGOLD Comdty","PX_Last", N587)</f>
        <v>42364382.770999998</v>
      </c>
      <c r="AF587" s="15" t="s">
        <v>49</v>
      </c>
      <c r="AG587" s="44" cm="1">
        <f t="array" ref="AG587">_xll.BDH(AF587,"FUT_AGGTE_OPEN_INT",A587)</f>
        <v>506999</v>
      </c>
      <c r="AH587" s="44">
        <f t="shared" ref="AH587:AH591" si="402">AG587*$AG$17</f>
        <v>50699900</v>
      </c>
      <c r="AI587" s="48">
        <f t="shared" ref="AI587:AI591" si="403">AE587/AH587</f>
        <v>0.83559105187584193</v>
      </c>
      <c r="AK587" s="44" cm="1">
        <f t="array" ref="AK587">_xll.BDH("COMXSILV Comdty","PX_Last", N587)</f>
        <v>460151.16</v>
      </c>
      <c r="AL587" s="15" t="s">
        <v>50</v>
      </c>
      <c r="AM587" s="47" cm="1">
        <f t="array" ref="AM587">_xll.BDH(AL587,"FUT_AGGTE_OPEN_INT",A587)</f>
        <v>167074</v>
      </c>
      <c r="AN587" s="45">
        <f t="shared" ref="AN587:AN591" si="404">(AO587/AP587)/100</f>
        <v>550.83515089122182</v>
      </c>
      <c r="AO587" s="46">
        <f t="shared" ref="AO587:AO591" si="405">AK587*100000</f>
        <v>46015116000</v>
      </c>
      <c r="AP587" s="46">
        <f t="shared" ref="AP587:AP591" si="406">(AM587*5000)/1000</f>
        <v>835370</v>
      </c>
    </row>
    <row r="588" spans="1:42" x14ac:dyDescent="0.2">
      <c r="A588" s="71">
        <v>45741</v>
      </c>
      <c r="B588" s="16" cm="1">
        <f t="array" ref="B588">_xll.BADDPERIODS(A588, "PER=WD", "NUMBEROFPERIODS=2", "BUSDAYADJ=-2", "CDR=GQ", "CDR=P9")</f>
        <v>45743</v>
      </c>
      <c r="C588" s="15" cm="1">
        <f t="array" ref="C588">_xll.BDH("XAU Curncy","PX_LAST",A588,A588)</f>
        <v>3020.09</v>
      </c>
      <c r="D588" s="15" t="str" cm="1">
        <f t="array" ref="D588">_xll.BDP("GCJ5 Comdty",$M$32)</f>
        <v>01/04/2025</v>
      </c>
      <c r="E588" s="15">
        <f t="shared" si="396"/>
        <v>5</v>
      </c>
      <c r="F588" s="23">
        <v>4.2500000000000003E-2</v>
      </c>
      <c r="G588" s="28">
        <f t="shared" si="355"/>
        <v>1.7826920138888889</v>
      </c>
      <c r="H588" s="12">
        <v>5</v>
      </c>
      <c r="I588" s="105">
        <f t="shared" si="382"/>
        <v>3.2173079861111109</v>
      </c>
      <c r="J588" s="26">
        <v>4</v>
      </c>
      <c r="K588" s="26">
        <v>6</v>
      </c>
      <c r="L588" s="26">
        <v>8</v>
      </c>
      <c r="N588" s="71">
        <v>45741</v>
      </c>
      <c r="O588" s="16" cm="1">
        <f t="array" ref="O588">_xll.BADDPERIODS(N588, "PER=WD", "NUMBEROFPERIODS=2", "BUSDAYADJ=-2", "CDR=GQ", "CDR=P9")</f>
        <v>45743</v>
      </c>
      <c r="P588" s="15" cm="1">
        <f t="array" ref="P588">_xll.BDH("XAG Curncy","PX_LAST",N588,N588)</f>
        <v>33.7301</v>
      </c>
      <c r="Q588" s="15" t="str" cm="1">
        <f t="array" ref="Q588">_xll.BDP("SIK5 Comdty",$M$32)</f>
        <v>01/05/2025</v>
      </c>
      <c r="R588" s="15">
        <f t="shared" si="398"/>
        <v>35</v>
      </c>
      <c r="S588" s="23">
        <v>-5.0000000000000001E-3</v>
      </c>
      <c r="T588" s="21">
        <f t="shared" si="320"/>
        <v>-1.6396576388888889E-2</v>
      </c>
      <c r="U588" s="12">
        <v>0.55000000000000004</v>
      </c>
      <c r="V588" s="103">
        <f>100*(U588-T588)</f>
        <v>56.639657638888899</v>
      </c>
      <c r="W588" s="15">
        <v>15</v>
      </c>
      <c r="X588" s="15">
        <v>20</v>
      </c>
      <c r="Y588" s="15">
        <v>25</v>
      </c>
      <c r="Z588" s="18">
        <f t="shared" si="399"/>
        <v>-1.639657638888889</v>
      </c>
      <c r="AA588" s="18">
        <f t="shared" si="400"/>
        <v>55.000000000000007</v>
      </c>
      <c r="AB588" s="18">
        <f t="shared" si="401"/>
        <v>56.639657638888899</v>
      </c>
      <c r="AE588" s="44" cm="1">
        <f t="array" ref="AE588">_xll.BDH("COMXGOLD Comdty","PX_Last", N588)</f>
        <v>42553452.869999997</v>
      </c>
      <c r="AF588" s="15" t="s">
        <v>49</v>
      </c>
      <c r="AG588" s="44" cm="1">
        <f t="array" ref="AG588">_xll.BDH(AF588,"FUT_AGGTE_OPEN_INT",A588)</f>
        <v>511482</v>
      </c>
      <c r="AH588" s="44">
        <f t="shared" si="402"/>
        <v>51148200</v>
      </c>
      <c r="AI588" s="48">
        <f t="shared" si="403"/>
        <v>0.83196383978321808</v>
      </c>
      <c r="AK588" s="44" cm="1">
        <f t="array" ref="AK588">_xll.BDH("COMXSILV Comdty","PX_Last", N588)</f>
        <v>463534.22</v>
      </c>
      <c r="AL588" s="15" t="s">
        <v>50</v>
      </c>
      <c r="AM588" s="47" cm="1">
        <f t="array" ref="AM588">_xll.BDH(AL588,"FUT_AGGTE_OPEN_INT",A588)</f>
        <v>169628</v>
      </c>
      <c r="AN588" s="45">
        <f t="shared" si="404"/>
        <v>546.53031339165705</v>
      </c>
      <c r="AO588" s="46">
        <f t="shared" si="405"/>
        <v>46353422000</v>
      </c>
      <c r="AP588" s="46">
        <f t="shared" si="406"/>
        <v>848140</v>
      </c>
    </row>
    <row r="589" spans="1:42" x14ac:dyDescent="0.2">
      <c r="A589" s="71">
        <v>45742</v>
      </c>
      <c r="B589" s="16" cm="1">
        <f t="array" ref="B589">_xll.BADDPERIODS(A589, "PER=WD", "NUMBEROFPERIODS=2", "BUSDAYADJ=-2", "CDR=GQ", "CDR=P9")</f>
        <v>45744</v>
      </c>
      <c r="C589" s="15" cm="1">
        <f t="array" ref="C589">_xll.BDH("XAU Curncy","PX_LAST",A589,A589)</f>
        <v>3019.38</v>
      </c>
      <c r="D589" s="15" t="str" cm="1">
        <f t="array" ref="D589">_xll.BDP("GCJ5 Comdty",$M$32)</f>
        <v>01/04/2025</v>
      </c>
      <c r="E589" s="15">
        <f t="shared" si="396"/>
        <v>4</v>
      </c>
      <c r="F589" s="23">
        <v>4.2500000000000003E-2</v>
      </c>
      <c r="G589" s="28">
        <f t="shared" si="355"/>
        <v>1.4258183333333336</v>
      </c>
      <c r="H589" s="12">
        <v>8</v>
      </c>
      <c r="I589" s="105">
        <f t="shared" si="382"/>
        <v>6.5741816666666661</v>
      </c>
      <c r="J589" s="26">
        <v>4</v>
      </c>
      <c r="K589" s="26">
        <v>6</v>
      </c>
      <c r="L589" s="26">
        <v>8</v>
      </c>
      <c r="N589" s="71">
        <v>45742</v>
      </c>
      <c r="O589" s="16" cm="1">
        <f t="array" ref="O589">_xll.BADDPERIODS(N589, "PER=WD", "NUMBEROFPERIODS=2", "BUSDAYADJ=-2", "CDR=GQ", "CDR=P9")</f>
        <v>45744</v>
      </c>
      <c r="P589" s="15" cm="1">
        <f t="array" ref="P589">_xll.BDH("XAG Curncy","PX_LAST",N589,N589)</f>
        <v>33.633499999999998</v>
      </c>
      <c r="Q589" s="15" t="str" cm="1">
        <f t="array" ref="Q589">_xll.BDP("SIK5 Comdty",$M$32)</f>
        <v>01/05/2025</v>
      </c>
      <c r="R589" s="15">
        <f t="shared" si="398"/>
        <v>34</v>
      </c>
      <c r="S589" s="23">
        <v>-5.0000000000000001E-3</v>
      </c>
      <c r="T589" s="21">
        <f t="shared" si="320"/>
        <v>-1.5882486111111111E-2</v>
      </c>
      <c r="U589" s="12">
        <v>0.57999999999999996</v>
      </c>
      <c r="V589" s="103">
        <f t="shared" si="390"/>
        <v>59.588248611111105</v>
      </c>
      <c r="W589" s="15">
        <v>15</v>
      </c>
      <c r="X589" s="15">
        <v>20</v>
      </c>
      <c r="Y589" s="15">
        <v>25</v>
      </c>
      <c r="Z589" s="18">
        <f t="shared" si="399"/>
        <v>-1.5882486111111112</v>
      </c>
      <c r="AA589" s="18">
        <f t="shared" si="400"/>
        <v>57.999999999999993</v>
      </c>
      <c r="AB589" s="18">
        <f t="shared" si="401"/>
        <v>59.588248611111105</v>
      </c>
      <c r="AE589" s="44" cm="1">
        <f t="array" ref="AE589">_xll.BDH("COMXGOLD Comdty","PX_Last", N589)</f>
        <v>42936235.651000001</v>
      </c>
      <c r="AF589" s="15" t="s">
        <v>49</v>
      </c>
      <c r="AG589" s="44" cm="1">
        <f t="array" ref="AG589">_xll.BDH(AF589,"FUT_AGGTE_OPEN_INT",A589)</f>
        <v>508083</v>
      </c>
      <c r="AH589" s="44">
        <f t="shared" si="402"/>
        <v>50808300</v>
      </c>
      <c r="AI589" s="48">
        <f t="shared" si="403"/>
        <v>0.84506341780772043</v>
      </c>
      <c r="AK589" s="44" cm="1">
        <f t="array" ref="AK589">_xll.BDH("COMXSILV Comdty","PX_Last", N589)</f>
        <v>467152.5</v>
      </c>
      <c r="AL589" s="15" t="s">
        <v>50</v>
      </c>
      <c r="AM589" s="47" cm="1">
        <f t="array" ref="AM589">_xll.BDH(AL589,"FUT_AGGTE_OPEN_INT",A589)</f>
        <v>168786</v>
      </c>
      <c r="AN589" s="45">
        <f t="shared" si="404"/>
        <v>553.54413280722338</v>
      </c>
      <c r="AO589" s="46">
        <f t="shared" si="405"/>
        <v>46715250000</v>
      </c>
      <c r="AP589" s="46">
        <f t="shared" si="406"/>
        <v>843930</v>
      </c>
    </row>
    <row r="590" spans="1:42" x14ac:dyDescent="0.2">
      <c r="A590" s="71">
        <v>45743</v>
      </c>
      <c r="B590" s="16" cm="1">
        <f t="array" ref="B590">_xll.BADDPERIODS(A590, "PER=WD", "NUMBEROFPERIODS=2", "BUSDAYADJ=-2", "CDR=GQ", "CDR=P9")</f>
        <v>45747</v>
      </c>
      <c r="C590" s="15" cm="1">
        <f t="array" ref="C590">_xll.BDH("XAU Curncy","PX_LAST",A590,A590)</f>
        <v>3057.29</v>
      </c>
      <c r="D590" s="15" t="str" cm="1">
        <f t="array" ref="D590">_xll.BDP("GCJ5 Comdty",$M$32)</f>
        <v>01/04/2025</v>
      </c>
      <c r="E590" s="15">
        <f t="shared" si="396"/>
        <v>1</v>
      </c>
      <c r="F590" s="23">
        <v>4.2500000000000003E-2</v>
      </c>
      <c r="G590" s="28">
        <f t="shared" si="355"/>
        <v>0.36093006944444445</v>
      </c>
      <c r="H590" s="12">
        <v>8</v>
      </c>
      <c r="I590" s="105">
        <f t="shared" si="382"/>
        <v>7.6390699305555554</v>
      </c>
      <c r="J590" s="26">
        <v>4</v>
      </c>
      <c r="K590" s="26">
        <v>6</v>
      </c>
      <c r="L590" s="26">
        <v>8</v>
      </c>
      <c r="N590" s="71">
        <v>45743</v>
      </c>
      <c r="O590" s="16" cm="1">
        <f t="array" ref="O590">_xll.BADDPERIODS(N590, "PER=WD", "NUMBEROFPERIODS=2", "BUSDAYADJ=-2", "CDR=GQ", "CDR=P9")</f>
        <v>45747</v>
      </c>
      <c r="P590" s="15" cm="1">
        <f t="array" ref="P590">_xll.BDH("XAG Curncy","PX_LAST",N590,N590)</f>
        <v>34.412799999999997</v>
      </c>
      <c r="Q590" s="15" t="str" cm="1">
        <f t="array" ref="Q590">_xll.BDP("SIK5 Comdty",$M$32)</f>
        <v>01/05/2025</v>
      </c>
      <c r="R590" s="15">
        <f t="shared" si="398"/>
        <v>31</v>
      </c>
      <c r="S590" s="23">
        <v>0</v>
      </c>
      <c r="T590" s="21">
        <f t="shared" si="320"/>
        <v>0</v>
      </c>
      <c r="U590" s="12">
        <v>0.56000000000000005</v>
      </c>
      <c r="V590" s="103">
        <f t="shared" si="390"/>
        <v>56.000000000000007</v>
      </c>
      <c r="W590" s="15">
        <v>15</v>
      </c>
      <c r="X590" s="15">
        <v>20</v>
      </c>
      <c r="Y590" s="15">
        <v>25</v>
      </c>
      <c r="Z590" s="18">
        <f t="shared" si="399"/>
        <v>0</v>
      </c>
      <c r="AA590" s="18">
        <f t="shared" si="400"/>
        <v>56.000000000000007</v>
      </c>
      <c r="AB590" s="18">
        <f t="shared" si="401"/>
        <v>56.000000000000007</v>
      </c>
      <c r="AE590" s="44" cm="1">
        <f t="array" ref="AE590">_xll.BDH("COMXGOLD Comdty","PX_Last", N590)</f>
        <v>43168312.089000002</v>
      </c>
      <c r="AF590" s="15" t="s">
        <v>49</v>
      </c>
      <c r="AG590" s="44" cm="1">
        <f t="array" ref="AG590">_xll.BDH(AF590,"FUT_AGGTE_OPEN_INT",A590)</f>
        <v>512637</v>
      </c>
      <c r="AH590" s="44">
        <f t="shared" si="402"/>
        <v>51263700</v>
      </c>
      <c r="AI590" s="48">
        <f t="shared" si="403"/>
        <v>0.84208342528923974</v>
      </c>
      <c r="AK590" s="44" cm="1">
        <f t="array" ref="AK590">_xll.BDH("COMXSILV Comdty","PX_Last", N590)</f>
        <v>468447.28</v>
      </c>
      <c r="AL590" s="15" t="s">
        <v>50</v>
      </c>
      <c r="AM590" s="47" cm="1">
        <f t="array" ref="AM590">_xll.BDH(AL590,"FUT_AGGTE_OPEN_INT",A590)</f>
        <v>172497</v>
      </c>
      <c r="AN590" s="45">
        <f t="shared" si="404"/>
        <v>543.13672701554231</v>
      </c>
      <c r="AO590" s="46">
        <f t="shared" si="405"/>
        <v>46844728000</v>
      </c>
      <c r="AP590" s="46">
        <f t="shared" si="406"/>
        <v>862485</v>
      </c>
    </row>
    <row r="591" spans="1:42" x14ac:dyDescent="0.2">
      <c r="A591" s="71">
        <v>45744</v>
      </c>
      <c r="B591" s="16" cm="1">
        <f t="array" ref="B591">_xll.BADDPERIODS(A591, "PER=WD", "NUMBEROFPERIODS=2", "BUSDAYADJ=-2", "CDR=GQ", "CDR=P9")</f>
        <v>45748</v>
      </c>
      <c r="C591" s="15" cm="1">
        <f t="array" ref="C591">_xll.BDH("XAU Curncy","PX_LAST",A591,A591)</f>
        <v>3085.12</v>
      </c>
      <c r="D591" s="15" t="str" cm="1">
        <f t="array" ref="D591">_xll.BDP("GCm5 Comdty",$M$32)</f>
        <v>02/06/2025</v>
      </c>
      <c r="E591" s="15">
        <f t="shared" si="396"/>
        <v>62</v>
      </c>
      <c r="F591" s="23">
        <v>4.2000000000000003E-2</v>
      </c>
      <c r="G591" s="28">
        <f t="shared" si="355"/>
        <v>22.315701333333333</v>
      </c>
      <c r="H591" s="12">
        <v>35</v>
      </c>
      <c r="I591" s="105">
        <f t="shared" si="382"/>
        <v>12.684298666666667</v>
      </c>
      <c r="J591" s="26">
        <v>4</v>
      </c>
      <c r="K591" s="26">
        <v>6</v>
      </c>
      <c r="L591" s="26">
        <v>8</v>
      </c>
      <c r="N591" s="71">
        <v>45744</v>
      </c>
      <c r="O591" s="16" cm="1">
        <f t="array" ref="O591">_xll.BADDPERIODS(N591, "PER=WD", "NUMBEROFPERIODS=2", "BUSDAYADJ=-2", "CDR=GQ", "CDR=P9")</f>
        <v>45748</v>
      </c>
      <c r="P591" s="15" cm="1">
        <f t="array" ref="P591">_xll.BDH("XAG Curncy","PX_LAST",N591,N591)</f>
        <v>34.125500000000002</v>
      </c>
      <c r="Q591" s="15" t="str" cm="1">
        <f t="array" ref="Q591">_xll.BDP("SIK5 Comdty",$M$32)</f>
        <v>01/05/2025</v>
      </c>
      <c r="R591" s="15">
        <f t="shared" si="398"/>
        <v>30</v>
      </c>
      <c r="S591" s="23">
        <v>0</v>
      </c>
      <c r="T591" s="21">
        <f t="shared" si="320"/>
        <v>0</v>
      </c>
      <c r="U591" s="12">
        <v>0.75</v>
      </c>
      <c r="V591" s="103">
        <f t="shared" si="390"/>
        <v>75</v>
      </c>
      <c r="W591" s="15">
        <v>15</v>
      </c>
      <c r="X591" s="15">
        <v>20</v>
      </c>
      <c r="Y591" s="15">
        <v>25</v>
      </c>
      <c r="Z591" s="18">
        <f t="shared" si="399"/>
        <v>0</v>
      </c>
      <c r="AA591" s="18">
        <f t="shared" si="400"/>
        <v>75</v>
      </c>
      <c r="AB591" s="18">
        <f t="shared" si="401"/>
        <v>75</v>
      </c>
      <c r="AE591" s="44" cm="1">
        <f t="array" ref="AE591">_xll.BDH("COMXGOLD Comdty","PX_Last", N591)</f>
        <v>43347625.917999998</v>
      </c>
      <c r="AF591" s="15" t="s">
        <v>58</v>
      </c>
      <c r="AG591" s="44" cm="1">
        <f t="array" ref="AG591">_xll.BDH(AF591,"FUT_AGGTE_OPEN_INT",A591)</f>
        <v>574824</v>
      </c>
      <c r="AH591" s="44">
        <f t="shared" si="402"/>
        <v>57482400</v>
      </c>
      <c r="AI591" s="48">
        <f t="shared" si="403"/>
        <v>0.75410257605806297</v>
      </c>
      <c r="AK591" s="44" cm="1">
        <f t="array" ref="AK591">_xll.BDH("COMXSILV Comdty","PX_Last", N591)</f>
        <v>472420.06</v>
      </c>
      <c r="AL591" s="15" t="s">
        <v>50</v>
      </c>
      <c r="AM591" s="47" cm="1">
        <f t="array" ref="AM591">_xll.BDH(AL591,"FUT_AGGTE_OPEN_INT",A591)</f>
        <v>174494</v>
      </c>
      <c r="AN591" s="45">
        <f t="shared" si="404"/>
        <v>541.47427418707809</v>
      </c>
      <c r="AO591" s="46">
        <f t="shared" si="405"/>
        <v>47242006000</v>
      </c>
      <c r="AP591" s="46">
        <f t="shared" si="406"/>
        <v>872470</v>
      </c>
    </row>
    <row r="592" spans="1:42" x14ac:dyDescent="0.2">
      <c r="A592" s="71">
        <v>45747</v>
      </c>
      <c r="B592" s="16" cm="1">
        <f t="array" ref="B592">_xll.BADDPERIODS(A592, "PER=WD", "NUMBEROFPERIODS=2", "BUSDAYADJ=-2", "CDR=GQ", "CDR=P9")</f>
        <v>45749</v>
      </c>
      <c r="C592" s="15" cm="1">
        <f t="array" ref="C592">_xll.BDH("XAU Curncy","PX_LAST",A592,A592)</f>
        <v>3123.57</v>
      </c>
      <c r="D592" s="15" t="str" cm="1">
        <f t="array" ref="D592">_xll.BDP("GCm5 Comdty",$M$32)</f>
        <v>02/06/2025</v>
      </c>
      <c r="E592" s="15">
        <f t="shared" ref="E592:E642" si="407">_xlfn.DAYS(D592,B592)</f>
        <v>61</v>
      </c>
      <c r="F592" s="23">
        <v>4.1500000000000002E-2</v>
      </c>
      <c r="G592" s="28">
        <f t="shared" si="355"/>
        <v>21.964770708333337</v>
      </c>
      <c r="H592" s="12">
        <v>34</v>
      </c>
      <c r="I592" s="107">
        <f t="shared" si="382"/>
        <v>12.035229291666663</v>
      </c>
      <c r="J592" s="26">
        <v>4</v>
      </c>
      <c r="K592" s="26">
        <v>6</v>
      </c>
      <c r="L592" s="26">
        <v>8</v>
      </c>
      <c r="N592" s="71">
        <v>45747</v>
      </c>
      <c r="O592" s="16" cm="1">
        <f t="array" ref="O592">_xll.BADDPERIODS(N592, "PER=WD", "NUMBEROFPERIODS=2", "BUSDAYADJ=-2", "CDR=GQ", "CDR=P9")</f>
        <v>45749</v>
      </c>
      <c r="P592" s="15" cm="1">
        <f t="array" ref="P592">_xll.BDH("XAG Curncy","PX_LAST",N592,N592)</f>
        <v>34.085900000000002</v>
      </c>
      <c r="Q592" s="15" t="str" cm="1">
        <f t="array" ref="Q592">_xll.BDP("SIK5 Comdty",$M$32)</f>
        <v>01/05/2025</v>
      </c>
      <c r="R592" s="15">
        <f t="shared" ref="R592:R642" si="408">_xlfn.DAYS(Q592,O592)</f>
        <v>29</v>
      </c>
      <c r="S592" s="23">
        <v>-0.01</v>
      </c>
      <c r="T592" s="21">
        <f t="shared" si="320"/>
        <v>-2.7458086111111113E-2</v>
      </c>
      <c r="U592" s="12">
        <v>0.68</v>
      </c>
      <c r="V592" s="108">
        <f t="shared" si="390"/>
        <v>70.745808611111116</v>
      </c>
      <c r="W592" s="15">
        <v>15</v>
      </c>
      <c r="X592" s="15">
        <v>20</v>
      </c>
      <c r="Y592" s="15">
        <v>25</v>
      </c>
      <c r="Z592" s="18">
        <f t="shared" si="399"/>
        <v>-2.7458086111111113</v>
      </c>
      <c r="AA592" s="18">
        <f t="shared" si="400"/>
        <v>68</v>
      </c>
      <c r="AB592" s="18">
        <f t="shared" si="401"/>
        <v>70.745808611111116</v>
      </c>
      <c r="AE592" s="44" cm="1">
        <f t="array" ref="AE592">_xll.BDH("COMXGOLD Comdty","PX_Last", N592)</f>
        <v>43806863.431000002</v>
      </c>
      <c r="AF592" s="15" t="s">
        <v>58</v>
      </c>
      <c r="AG592" s="44" cm="1">
        <f t="array" ref="AG592">_xll.BDH(AF592,"FUT_AGGTE_OPEN_INT",A592)</f>
        <v>505772</v>
      </c>
      <c r="AH592" s="44">
        <f t="shared" ref="AH592:AH595" si="409">AG592*$AG$17</f>
        <v>50577200</v>
      </c>
      <c r="AI592" s="48">
        <f t="shared" ref="AI592:AI596" si="410">AE592/AH592</f>
        <v>0.86613856502534747</v>
      </c>
      <c r="AK592" s="44" cm="1">
        <f t="array" ref="AK592">_xll.BDH("COMXSILV Comdty","PX_Last", N592)</f>
        <v>475357.56</v>
      </c>
      <c r="AL592" s="15" t="s">
        <v>50</v>
      </c>
      <c r="AM592" s="47" cm="1">
        <f t="array" ref="AM592">_xll.BDH(AL592,"FUT_AGGTE_OPEN_INT",A592)</f>
        <v>170975</v>
      </c>
      <c r="AN592" s="45">
        <f t="shared" ref="AN592:AN596" si="411">(AO592/AP592)/100</f>
        <v>556.05504898376955</v>
      </c>
      <c r="AO592" s="46">
        <f t="shared" ref="AO592:AO596" si="412">AK592*100000</f>
        <v>47535756000</v>
      </c>
      <c r="AP592" s="46">
        <f t="shared" ref="AP592:AP596" si="413">(AM592*5000)/1000</f>
        <v>854875</v>
      </c>
    </row>
    <row r="593" spans="1:42" x14ac:dyDescent="0.2">
      <c r="A593" s="71">
        <v>45748</v>
      </c>
      <c r="B593" s="16" cm="1">
        <f t="array" ref="B593">_xll.BADDPERIODS(A593, "PER=WD", "NUMBEROFPERIODS=2", "BUSDAYADJ=-2", "CDR=GQ", "CDR=P9")</f>
        <v>45750</v>
      </c>
      <c r="C593" s="15" cm="1">
        <f t="array" ref="C593">_xll.BDH("XAU Curncy","PX_LAST",A593,A593)</f>
        <v>3113.38</v>
      </c>
      <c r="D593" s="15" t="str" cm="1">
        <f t="array" ref="D593">_xll.BDP("GCm5 Comdty",$M$32)</f>
        <v>02/06/2025</v>
      </c>
      <c r="E593" s="15">
        <f t="shared" si="407"/>
        <v>60</v>
      </c>
      <c r="F593" s="23">
        <v>4.0500000000000001E-2</v>
      </c>
      <c r="G593" s="28">
        <f t="shared" si="355"/>
        <v>21.015315000000001</v>
      </c>
      <c r="H593" s="12">
        <v>32</v>
      </c>
      <c r="I593" s="107">
        <f t="shared" si="382"/>
        <v>10.984684999999999</v>
      </c>
      <c r="J593" s="26">
        <v>4</v>
      </c>
      <c r="K593" s="26">
        <v>6</v>
      </c>
      <c r="L593" s="26">
        <v>8</v>
      </c>
      <c r="N593" s="71">
        <v>45748</v>
      </c>
      <c r="O593" s="16" cm="1">
        <f t="array" ref="O593">_xll.BADDPERIODS(N593, "PER=WD", "NUMBEROFPERIODS=2", "BUSDAYADJ=-2", "CDR=GQ", "CDR=P9")</f>
        <v>45750</v>
      </c>
      <c r="P593" s="15" cm="1">
        <f t="array" ref="P593">_xll.BDH("XAG Curncy","PX_LAST",N593,N593)</f>
        <v>33.694800000000001</v>
      </c>
      <c r="Q593" s="15" t="str" cm="1">
        <f t="array" ref="Q593">_xll.BDP("SIK5 Comdty",$M$32)</f>
        <v>01/05/2025</v>
      </c>
      <c r="R593" s="15">
        <f t="shared" si="408"/>
        <v>28</v>
      </c>
      <c r="S593" s="23">
        <v>-1.4999999999999999E-2</v>
      </c>
      <c r="T593" s="21">
        <f t="shared" si="320"/>
        <v>-3.9310600000000001E-2</v>
      </c>
      <c r="U593" s="12">
        <v>0.72</v>
      </c>
      <c r="V593" s="108">
        <f t="shared" si="390"/>
        <v>75.931059999999988</v>
      </c>
      <c r="W593" s="15">
        <v>15</v>
      </c>
      <c r="X593" s="15">
        <v>20</v>
      </c>
      <c r="Y593" s="15">
        <v>25</v>
      </c>
      <c r="Z593" s="18">
        <f t="shared" si="399"/>
        <v>-3.93106</v>
      </c>
      <c r="AA593" s="18">
        <f t="shared" si="400"/>
        <v>72</v>
      </c>
      <c r="AB593" s="18">
        <f t="shared" si="401"/>
        <v>75.931059999999988</v>
      </c>
      <c r="AE593" s="44" cm="1">
        <f t="array" ref="AE593">_xll.BDH("COMXGOLD Comdty","PX_Last", N593)</f>
        <v>44111657.873000003</v>
      </c>
      <c r="AF593" s="15" t="s">
        <v>58</v>
      </c>
      <c r="AG593" s="44" cm="1">
        <f t="array" ref="AG593">_xll.BDH(AF593,"FUT_AGGTE_OPEN_INT",A593)</f>
        <v>498746</v>
      </c>
      <c r="AH593" s="44">
        <f t="shared" si="409"/>
        <v>49874600</v>
      </c>
      <c r="AI593" s="48">
        <f t="shared" si="410"/>
        <v>0.88445136147457826</v>
      </c>
      <c r="AK593" s="44" cm="1">
        <f t="array" ref="AK593">_xll.BDH("COMXSILV Comdty","PX_Last", N593)</f>
        <v>478458.44</v>
      </c>
      <c r="AL593" s="15" t="s">
        <v>50</v>
      </c>
      <c r="AM593" s="47" cm="1">
        <f t="array" ref="AM593">_xll.BDH(AL593,"FUT_AGGTE_OPEN_INT",A593)</f>
        <v>170197</v>
      </c>
      <c r="AN593" s="45">
        <f t="shared" si="411"/>
        <v>562.2407445489639</v>
      </c>
      <c r="AO593" s="46">
        <f t="shared" si="412"/>
        <v>47845844000</v>
      </c>
      <c r="AP593" s="46">
        <f t="shared" si="413"/>
        <v>850985</v>
      </c>
    </row>
    <row r="594" spans="1:42" x14ac:dyDescent="0.2">
      <c r="A594" s="71">
        <v>45749</v>
      </c>
      <c r="B594" s="16" cm="1">
        <f t="array" ref="B594">_xll.BADDPERIODS(A594, "PER=WD", "NUMBEROFPERIODS=2", "BUSDAYADJ=-2", "CDR=GQ", "CDR=P9")</f>
        <v>45751</v>
      </c>
      <c r="C594" s="15" cm="1">
        <f t="array" ref="C594">_xll.BDH("XAU Curncy","PX_LAST",A594,A594)</f>
        <v>3134.17</v>
      </c>
      <c r="D594" s="15" t="str" cm="1">
        <f t="array" ref="D594">_xll.BDP("GCm5 Comdty",$M$32)</f>
        <v>02/06/2025</v>
      </c>
      <c r="E594" s="15">
        <f t="shared" si="407"/>
        <v>59</v>
      </c>
      <c r="F594" s="23">
        <v>3.95E-2</v>
      </c>
      <c r="G594" s="28">
        <f t="shared" si="355"/>
        <v>20.289397736111113</v>
      </c>
      <c r="H594" s="12">
        <v>36</v>
      </c>
      <c r="I594" s="107">
        <f t="shared" si="382"/>
        <v>15.710602263888887</v>
      </c>
      <c r="J594" s="26">
        <v>4</v>
      </c>
      <c r="K594" s="26">
        <v>6</v>
      </c>
      <c r="L594" s="26">
        <v>8</v>
      </c>
      <c r="N594" s="71">
        <v>45749</v>
      </c>
      <c r="O594" s="16" cm="1">
        <f t="array" ref="O594">_xll.BADDPERIODS(N594, "PER=WD", "NUMBEROFPERIODS=2", "BUSDAYADJ=-2", "CDR=GQ", "CDR=P9")</f>
        <v>45751</v>
      </c>
      <c r="P594" s="15" cm="1">
        <f t="array" ref="P594">_xll.BDH("XAG Curncy","PX_LAST",N594,N594)</f>
        <v>33.880000000000003</v>
      </c>
      <c r="Q594" s="15" t="str" cm="1">
        <f t="array" ref="Q594">_xll.BDP("SIK5 Comdty",$M$32)</f>
        <v>01/05/2025</v>
      </c>
      <c r="R594" s="15">
        <f t="shared" si="408"/>
        <v>27</v>
      </c>
      <c r="S594" s="23">
        <v>-0.01</v>
      </c>
      <c r="T594" s="21">
        <f t="shared" si="320"/>
        <v>-2.5409999999999999E-2</v>
      </c>
      <c r="U594" s="12">
        <v>0.75</v>
      </c>
      <c r="V594" s="108">
        <f t="shared" si="390"/>
        <v>77.541000000000011</v>
      </c>
      <c r="W594" s="15">
        <v>15</v>
      </c>
      <c r="X594" s="15">
        <v>20</v>
      </c>
      <c r="Y594" s="15">
        <v>25</v>
      </c>
      <c r="Z594" s="18">
        <f t="shared" si="399"/>
        <v>-2.5409999999999999</v>
      </c>
      <c r="AA594" s="18">
        <f t="shared" si="400"/>
        <v>75</v>
      </c>
      <c r="AB594" s="18">
        <f t="shared" si="401"/>
        <v>77.541000000000011</v>
      </c>
      <c r="AE594" s="44" cm="1">
        <f t="array" ref="AE594">_xll.BDH("COMXGOLD Comdty","PX_Last", N594)</f>
        <v>44463990.811999999</v>
      </c>
      <c r="AF594" s="15" t="s">
        <v>58</v>
      </c>
      <c r="AG594" s="44" cm="1">
        <f t="array" ref="AG594">_xll.BDH(AF594,"FUT_AGGTE_OPEN_INT",A594)</f>
        <v>493720</v>
      </c>
      <c r="AH594" s="44">
        <f t="shared" si="409"/>
        <v>49372000</v>
      </c>
      <c r="AI594" s="48">
        <f t="shared" si="410"/>
        <v>0.90059124224256659</v>
      </c>
      <c r="AK594" s="44" cm="1">
        <f t="array" ref="AK594">_xll.BDH("COMXSILV Comdty","PX_Last", N594)</f>
        <v>482570.16</v>
      </c>
      <c r="AL594" s="15" t="s">
        <v>50</v>
      </c>
      <c r="AM594" s="47" cm="1">
        <f t="array" ref="AM594">_xll.BDH(AL594,"FUT_AGGTE_OPEN_INT",A594)</f>
        <v>172290</v>
      </c>
      <c r="AN594" s="45">
        <f t="shared" si="411"/>
        <v>560.18359742294967</v>
      </c>
      <c r="AO594" s="46">
        <f t="shared" si="412"/>
        <v>48257016000</v>
      </c>
      <c r="AP594" s="46">
        <f t="shared" si="413"/>
        <v>861450</v>
      </c>
    </row>
    <row r="595" spans="1:42" x14ac:dyDescent="0.2">
      <c r="A595" s="71">
        <v>45750</v>
      </c>
      <c r="B595" s="16" cm="1">
        <f t="array" ref="B595">_xll.BADDPERIODS(A595, "PER=WD", "NUMBEROFPERIODS=2", "BUSDAYADJ=-2", "CDR=GQ", "CDR=P9")</f>
        <v>45754</v>
      </c>
      <c r="C595" s="15" cm="1">
        <f t="array" ref="C595">_xll.BDH("XAU Curncy","PX_LAST",A595,A595)</f>
        <v>3115.34</v>
      </c>
      <c r="D595" s="15" t="str" cm="1">
        <f t="array" ref="D595">_xll.BDP("GCm5 Comdty",$M$32)</f>
        <v>02/06/2025</v>
      </c>
      <c r="E595" s="15">
        <f t="shared" si="407"/>
        <v>56</v>
      </c>
      <c r="F595" s="23">
        <v>4.1000000000000002E-2</v>
      </c>
      <c r="G595" s="28">
        <f t="shared" si="355"/>
        <v>19.868946222222224</v>
      </c>
      <c r="H595" s="12">
        <v>22</v>
      </c>
      <c r="I595" s="107">
        <f t="shared" si="382"/>
        <v>2.131053777777776</v>
      </c>
      <c r="J595" s="26">
        <v>4</v>
      </c>
      <c r="K595" s="26">
        <v>6</v>
      </c>
      <c r="L595" s="26">
        <v>8</v>
      </c>
      <c r="N595" s="71">
        <v>45750</v>
      </c>
      <c r="O595" s="16" cm="1">
        <f t="array" ref="O595">_xll.BADDPERIODS(N595, "PER=WD", "NUMBEROFPERIODS=2", "BUSDAYADJ=-2", "CDR=GQ", "CDR=P9")</f>
        <v>45754</v>
      </c>
      <c r="P595" s="15" cm="1">
        <f t="array" ref="P595">_xll.BDH("XAG Curncy","PX_LAST",N595,N595)</f>
        <v>31.8552</v>
      </c>
      <c r="Q595" s="15" t="str" cm="1">
        <f t="array" ref="Q595">_xll.BDP("SIK5 Comdty",$M$32)</f>
        <v>01/05/2025</v>
      </c>
      <c r="R595" s="15">
        <f t="shared" si="408"/>
        <v>24</v>
      </c>
      <c r="S595" s="23">
        <v>0.02</v>
      </c>
      <c r="T595" s="21">
        <f t="shared" si="320"/>
        <v>4.2473599999999993E-2</v>
      </c>
      <c r="U595" s="12">
        <v>0.11</v>
      </c>
      <c r="V595" s="108">
        <f t="shared" si="390"/>
        <v>6.7526400000000013</v>
      </c>
      <c r="W595" s="15">
        <v>15</v>
      </c>
      <c r="X595" s="15">
        <v>20</v>
      </c>
      <c r="Y595" s="15">
        <v>25</v>
      </c>
      <c r="Z595" s="18">
        <f t="shared" si="399"/>
        <v>4.2473599999999996</v>
      </c>
      <c r="AA595" s="18">
        <f t="shared" si="400"/>
        <v>11</v>
      </c>
      <c r="AB595" s="18">
        <f t="shared" si="401"/>
        <v>6.7526400000000013</v>
      </c>
      <c r="AE595" s="44" cm="1">
        <f t="array" ref="AE595">_xll.BDH("COMXGOLD Comdty","PX_Last", N595)</f>
        <v>45046650.789999999</v>
      </c>
      <c r="AF595" s="15" t="s">
        <v>58</v>
      </c>
      <c r="AG595" s="44" cm="1">
        <f t="array" ref="AG595">_xll.BDH(AF595,"FUT_AGGTE_OPEN_INT",A595)</f>
        <v>485008</v>
      </c>
      <c r="AH595" s="44">
        <f t="shared" si="409"/>
        <v>48500800</v>
      </c>
      <c r="AI595" s="48">
        <f t="shared" si="410"/>
        <v>0.92878160339623261</v>
      </c>
      <c r="AK595" s="44" cm="1">
        <f t="array" ref="AK595">_xll.BDH("COMXSILV Comdty","PX_Last", N595)</f>
        <v>484931.19</v>
      </c>
      <c r="AL595" s="15" t="s">
        <v>50</v>
      </c>
      <c r="AM595" s="47" cm="1">
        <f t="array" ref="AM595">_xll.BDH(AL595,"FUT_AGGTE_OPEN_INT",A595)</f>
        <v>167442</v>
      </c>
      <c r="AN595" s="45">
        <f t="shared" si="411"/>
        <v>579.22288314759737</v>
      </c>
      <c r="AO595" s="46">
        <f t="shared" si="412"/>
        <v>48493119000</v>
      </c>
      <c r="AP595" s="46">
        <f t="shared" si="413"/>
        <v>837210</v>
      </c>
    </row>
    <row r="596" spans="1:42" x14ac:dyDescent="0.2">
      <c r="A596" s="71">
        <v>45751</v>
      </c>
      <c r="B596" s="16" cm="1">
        <f t="array" ref="B596">_xll.BADDPERIODS(A596, "PER=WD", "NUMBEROFPERIODS=2", "BUSDAYADJ=-2", "CDR=GQ", "CDR=P9")</f>
        <v>45755</v>
      </c>
      <c r="C596" s="15" cm="1">
        <f t="array" ref="C596">_xll.BDH("XAU Curncy","PX_LAST",A596,A596)</f>
        <v>3038.24</v>
      </c>
      <c r="D596" s="15" t="str" cm="1">
        <f t="array" ref="D596">_xll.BDP("GCm5 Comdty",$M$32)</f>
        <v>02/06/2025</v>
      </c>
      <c r="E596" s="15">
        <f t="shared" si="407"/>
        <v>55</v>
      </c>
      <c r="F596" s="23">
        <v>4.0500000000000001E-2</v>
      </c>
      <c r="G596" s="28">
        <f t="shared" si="355"/>
        <v>18.799109999999999</v>
      </c>
      <c r="H596" s="12">
        <v>18</v>
      </c>
      <c r="I596" s="107">
        <f t="shared" si="382"/>
        <v>-0.79910999999999888</v>
      </c>
      <c r="J596" s="26">
        <v>4</v>
      </c>
      <c r="K596" s="26">
        <v>6</v>
      </c>
      <c r="L596" s="26">
        <v>8</v>
      </c>
      <c r="N596" s="71">
        <v>45751</v>
      </c>
      <c r="O596" s="16" cm="1">
        <f t="array" ref="O596">_xll.BADDPERIODS(N596, "PER=WD", "NUMBEROFPERIODS=2", "BUSDAYADJ=-2", "CDR=GQ", "CDR=P9")</f>
        <v>45755</v>
      </c>
      <c r="P596" s="15" cm="1">
        <f t="array" ref="P596">_xll.BDH("XAG Curncy","PX_LAST",N596,N596)</f>
        <v>29.5855</v>
      </c>
      <c r="Q596" s="15" t="str" cm="1">
        <f t="array" ref="Q596">_xll.BDP("SIK5 Comdty",$M$32)</f>
        <v>01/05/2025</v>
      </c>
      <c r="R596" s="15">
        <f t="shared" si="408"/>
        <v>23</v>
      </c>
      <c r="S596" s="23">
        <v>2.2499999999999999E-2</v>
      </c>
      <c r="T596" s="21">
        <f t="shared" si="320"/>
        <v>4.2529156249999998E-2</v>
      </c>
      <c r="U596" s="12">
        <v>0</v>
      </c>
      <c r="V596" s="108">
        <f t="shared" si="390"/>
        <v>-4.252915625</v>
      </c>
      <c r="W596" s="15">
        <v>15</v>
      </c>
      <c r="X596" s="15">
        <v>20</v>
      </c>
      <c r="Y596" s="15">
        <v>25</v>
      </c>
      <c r="Z596" s="18">
        <f t="shared" si="399"/>
        <v>4.252915625</v>
      </c>
      <c r="AA596" s="18">
        <f t="shared" si="400"/>
        <v>0</v>
      </c>
      <c r="AB596" s="18">
        <f t="shared" si="401"/>
        <v>-4.252915625</v>
      </c>
      <c r="AE596" s="44" cm="1">
        <f t="array" ref="AE596">_xll.BDH("COMXGOLD Comdty","PX_Last", N596)</f>
        <v>45071696.424999997</v>
      </c>
      <c r="AF596" s="15" t="s">
        <v>58</v>
      </c>
      <c r="AG596" s="44" cm="1">
        <f t="array" ref="AG596">_xll.BDH(AF596,"FUT_AGGTE_OPEN_INT",A596)</f>
        <v>467059</v>
      </c>
      <c r="AH596" s="44">
        <f>AG596*$AG$17</f>
        <v>46705900</v>
      </c>
      <c r="AI596" s="48">
        <f t="shared" si="410"/>
        <v>0.96501076791154861</v>
      </c>
      <c r="AK596" s="44" cm="1">
        <f t="array" ref="AK596">_xll.BDH("COMXSILV Comdty","PX_Last", N596)</f>
        <v>490077.03</v>
      </c>
      <c r="AL596" s="15" t="s">
        <v>50</v>
      </c>
      <c r="AM596" s="47" cm="1">
        <f t="array" ref="AM596">_xll.BDH(AL596,"FUT_AGGTE_OPEN_INT",A596)</f>
        <v>166618</v>
      </c>
      <c r="AN596" s="45">
        <f t="shared" si="411"/>
        <v>588.26420914907158</v>
      </c>
      <c r="AO596" s="46">
        <f t="shared" si="412"/>
        <v>49007703000</v>
      </c>
      <c r="AP596" s="46">
        <f t="shared" si="413"/>
        <v>833090</v>
      </c>
    </row>
    <row r="597" spans="1:42" x14ac:dyDescent="0.2">
      <c r="A597" s="71">
        <v>45754</v>
      </c>
      <c r="B597" s="16" cm="1">
        <f t="array" ref="B597">_xll.BADDPERIODS(A597, "PER=WD", "NUMBEROFPERIODS=2", "BUSDAYADJ=-2", "CDR=GQ", "CDR=P9")</f>
        <v>45756</v>
      </c>
      <c r="C597" s="15" cm="1">
        <f t="array" ref="C597">_xll.BDH("XAU Curncy","PX_LAST",A597,A597)</f>
        <v>2983.28</v>
      </c>
      <c r="D597" s="15" t="str" cm="1">
        <f t="array" ref="D597">_xll.BDP("GCm5 Comdty",$M$32)</f>
        <v>02/06/2025</v>
      </c>
      <c r="E597" s="15">
        <f t="shared" si="407"/>
        <v>54</v>
      </c>
      <c r="F597" s="23">
        <v>3.8800000000000001E-2</v>
      </c>
      <c r="G597" s="28">
        <f t="shared" si="355"/>
        <v>17.3626896</v>
      </c>
      <c r="H597" s="12">
        <v>17</v>
      </c>
      <c r="I597" s="110">
        <f t="shared" si="382"/>
        <v>-0.3626895999999995</v>
      </c>
      <c r="J597" s="26">
        <v>4</v>
      </c>
      <c r="K597" s="26">
        <v>6</v>
      </c>
      <c r="L597" s="26">
        <v>8</v>
      </c>
      <c r="N597" s="71">
        <v>45754</v>
      </c>
      <c r="O597" s="16" cm="1">
        <f t="array" ref="O597">_xll.BADDPERIODS(N597, "PER=WD", "NUMBEROFPERIODS=2", "BUSDAYADJ=-2", "CDR=GQ", "CDR=P9")</f>
        <v>45756</v>
      </c>
      <c r="P597" s="15" cm="1">
        <f t="array" ref="P597">_xll.BDH("XAG Curncy","PX_LAST",N597,N597)</f>
        <v>30.0824</v>
      </c>
      <c r="Q597" s="15" t="str" cm="1">
        <f t="array" ref="Q597">_xll.BDP("SIK5 Comdty",$M$32)</f>
        <v>01/05/2025</v>
      </c>
      <c r="R597" s="15">
        <f t="shared" si="408"/>
        <v>22</v>
      </c>
      <c r="S597" s="23">
        <v>0.02</v>
      </c>
      <c r="T597" s="21">
        <f t="shared" si="320"/>
        <v>3.6767377777777777E-2</v>
      </c>
      <c r="U597" s="12">
        <v>0</v>
      </c>
      <c r="V597" s="111">
        <f t="shared" si="390"/>
        <v>-3.6767377777777774</v>
      </c>
      <c r="W597" s="15">
        <v>15</v>
      </c>
      <c r="X597" s="15">
        <v>20</v>
      </c>
      <c r="Y597" s="15">
        <v>25</v>
      </c>
      <c r="Z597" s="18">
        <f t="shared" ref="Z597:Z660" si="414">100*T597</f>
        <v>3.6767377777777774</v>
      </c>
      <c r="AA597" s="18">
        <f t="shared" ref="AA597:AA660" si="415">U597*100</f>
        <v>0</v>
      </c>
      <c r="AB597" s="18">
        <f t="shared" ref="AB597:AB660" si="416">V597</f>
        <v>-3.6767377777777774</v>
      </c>
      <c r="AE597" s="44" cm="1">
        <f t="array" ref="AE597">_xll.BDH("COMXGOLD Comdty","PX_Last", N597)</f>
        <v>45064217.276000001</v>
      </c>
      <c r="AF597" s="15" t="s">
        <v>58</v>
      </c>
      <c r="AG597" s="44" cm="1">
        <f t="array" ref="AG597">_xll.BDH(AF597,"FUT_AGGTE_OPEN_INT",A597)</f>
        <v>473354</v>
      </c>
      <c r="AH597" s="44">
        <f t="shared" ref="AH597:AH660" si="417">AG597*$AG$17</f>
        <v>47335400</v>
      </c>
      <c r="AI597" s="48">
        <f t="shared" ref="AI597:AI660" si="418">AE597/AH597</f>
        <v>0.9520193613236605</v>
      </c>
      <c r="AK597" s="44" cm="1">
        <f t="array" ref="AK597">_xll.BDH("COMXSILV Comdty","PX_Last", N597)</f>
        <v>492042.44</v>
      </c>
      <c r="AL597" s="15" t="s">
        <v>50</v>
      </c>
      <c r="AM597" s="47" cm="1">
        <f t="array" ref="AM597">_xll.BDH(AL597,"FUT_AGGTE_OPEN_INT",A597)</f>
        <v>169288</v>
      </c>
      <c r="AN597" s="45">
        <f t="shared" ref="AN597:AN647" si="419">(AO597/AP597)/100</f>
        <v>581.30811398327114</v>
      </c>
      <c r="AO597" s="46">
        <f t="shared" ref="AO597:AO647" si="420">AK597*100000</f>
        <v>49204244000</v>
      </c>
      <c r="AP597" s="46">
        <f t="shared" ref="AP597:AP647" si="421">(AM597*5000)/1000</f>
        <v>846440</v>
      </c>
    </row>
    <row r="598" spans="1:42" x14ac:dyDescent="0.2">
      <c r="A598" s="71">
        <v>45755</v>
      </c>
      <c r="B598" s="16" cm="1">
        <f t="array" ref="B598">_xll.BADDPERIODS(A598, "PER=WD", "NUMBEROFPERIODS=2", "BUSDAYADJ=-2", "CDR=GQ", "CDR=P9")</f>
        <v>45757</v>
      </c>
      <c r="C598" s="15" cm="1">
        <f t="array" ref="C598">_xll.BDH("XAU Curncy","PX_LAST",A598,A598)</f>
        <v>2983.27</v>
      </c>
      <c r="D598" s="15" t="str" cm="1">
        <f t="array" ref="D598">_xll.BDP("GCm5 Comdty",$M$32)</f>
        <v>02/06/2025</v>
      </c>
      <c r="E598" s="15">
        <f t="shared" si="407"/>
        <v>53</v>
      </c>
      <c r="F598" s="23">
        <v>3.9E-2</v>
      </c>
      <c r="G598" s="28">
        <f t="shared" si="355"/>
        <v>17.128941916666669</v>
      </c>
      <c r="H598" s="12">
        <v>14</v>
      </c>
      <c r="I598" s="110">
        <f t="shared" si="382"/>
        <v>-3.128941916666669</v>
      </c>
      <c r="J598" s="26">
        <v>4</v>
      </c>
      <c r="K598" s="26">
        <v>6</v>
      </c>
      <c r="L598" s="26">
        <v>8</v>
      </c>
      <c r="N598" s="71">
        <v>45755</v>
      </c>
      <c r="O598" s="16" cm="1">
        <f t="array" ref="O598">_xll.BADDPERIODS(N598, "PER=WD", "NUMBEROFPERIODS=2", "BUSDAYADJ=-2", "CDR=GQ", "CDR=P9")</f>
        <v>45757</v>
      </c>
      <c r="P598" s="15" cm="1">
        <f t="array" ref="P598">_xll.BDH("XAG Curncy","PX_LAST",N598,N598)</f>
        <v>29.805</v>
      </c>
      <c r="Q598" s="15" t="str" cm="1">
        <f t="array" ref="Q598">_xll.BDP("SIK5 Comdty",$M$32)</f>
        <v>01/05/2025</v>
      </c>
      <c r="R598" s="15">
        <f t="shared" si="408"/>
        <v>21</v>
      </c>
      <c r="S598" s="23">
        <v>1.7999999999999999E-2</v>
      </c>
      <c r="T598" s="21">
        <f t="shared" si="320"/>
        <v>3.1295249999999997E-2</v>
      </c>
      <c r="U598" s="12">
        <v>-0.02</v>
      </c>
      <c r="V598" s="111">
        <f t="shared" si="390"/>
        <v>-5.1295250000000001</v>
      </c>
      <c r="W598" s="15">
        <v>15</v>
      </c>
      <c r="X598" s="15">
        <v>20</v>
      </c>
      <c r="Y598" s="15">
        <v>25</v>
      </c>
      <c r="Z598" s="18">
        <f t="shared" si="414"/>
        <v>3.1295249999999997</v>
      </c>
      <c r="AA598" s="18">
        <f t="shared" si="415"/>
        <v>-2</v>
      </c>
      <c r="AB598" s="18">
        <f t="shared" si="416"/>
        <v>-5.1295250000000001</v>
      </c>
      <c r="AE598" s="44" cm="1">
        <f t="array" ref="AE598">_xll.BDH("COMXGOLD Comdty","PX_Last", N598)</f>
        <v>44953662.925999999</v>
      </c>
      <c r="AF598" s="15" t="s">
        <v>58</v>
      </c>
      <c r="AG598" s="44" cm="1">
        <f t="array" ref="AG598">_xll.BDH(AF598,"FUT_AGGTE_OPEN_INT",A598)</f>
        <v>445468</v>
      </c>
      <c r="AH598" s="44">
        <f t="shared" si="417"/>
        <v>44546800</v>
      </c>
      <c r="AI598" s="48">
        <f t="shared" si="418"/>
        <v>1.0091333816570438</v>
      </c>
      <c r="AK598" s="44" cm="1">
        <f t="array" ref="AK598">_xll.BDH("COMXSILV Comdty","PX_Last", N598)</f>
        <v>492994.22</v>
      </c>
      <c r="AL598" s="15" t="s">
        <v>50</v>
      </c>
      <c r="AM598" s="47" cm="1">
        <f t="array" ref="AM598">_xll.BDH(AL598,"FUT_AGGTE_OPEN_INT",A598)</f>
        <v>154289</v>
      </c>
      <c r="AN598" s="45">
        <f t="shared" si="419"/>
        <v>639.05297202004033</v>
      </c>
      <c r="AO598" s="46">
        <f t="shared" si="420"/>
        <v>49299422000</v>
      </c>
      <c r="AP598" s="46">
        <f t="shared" si="421"/>
        <v>771445</v>
      </c>
    </row>
    <row r="599" spans="1:42" x14ac:dyDescent="0.2">
      <c r="A599" s="71">
        <v>45756</v>
      </c>
      <c r="B599" s="16" cm="1">
        <f t="array" ref="B599">_xll.BADDPERIODS(A599, "PER=WD", "NUMBEROFPERIODS=2", "BUSDAYADJ=-2", "CDR=GQ", "CDR=P9")</f>
        <v>45758</v>
      </c>
      <c r="C599" s="15" cm="1">
        <f t="array" ref="C599">_xll.BDH("XAU Curncy","PX_LAST",A599,A599)</f>
        <v>3082.7</v>
      </c>
      <c r="D599" s="15" t="str" cm="1">
        <f t="array" ref="D599">_xll.BDP("GCm5 Comdty",$M$32)</f>
        <v>02/06/2025</v>
      </c>
      <c r="E599" s="15">
        <f t="shared" si="407"/>
        <v>52</v>
      </c>
      <c r="F599" s="23">
        <v>4.1500000000000002E-2</v>
      </c>
      <c r="G599" s="28">
        <f t="shared" si="355"/>
        <v>18.479073888888887</v>
      </c>
      <c r="H599" s="12">
        <v>17.5</v>
      </c>
      <c r="I599" s="110">
        <f t="shared" si="382"/>
        <v>-0.97907388888888747</v>
      </c>
      <c r="J599" s="26">
        <v>4</v>
      </c>
      <c r="K599" s="26">
        <v>6</v>
      </c>
      <c r="L599" s="26">
        <v>8</v>
      </c>
      <c r="N599" s="71">
        <v>45756</v>
      </c>
      <c r="O599" s="16" cm="1">
        <f t="array" ref="O599">_xll.BADDPERIODS(N599, "PER=WD", "NUMBEROFPERIODS=2", "BUSDAYADJ=-2", "CDR=GQ", "CDR=P9")</f>
        <v>45758</v>
      </c>
      <c r="P599" s="15" cm="1">
        <f t="array" ref="P599">_xll.BDH("XAG Curncy","PX_LAST",N599,N599)</f>
        <v>31.037700000000001</v>
      </c>
      <c r="Q599" s="15" t="str" cm="1">
        <f t="array" ref="Q599">_xll.BDP("SIK5 Comdty",$M$32)</f>
        <v>01/05/2025</v>
      </c>
      <c r="R599" s="15">
        <f t="shared" si="408"/>
        <v>20</v>
      </c>
      <c r="S599" s="23">
        <v>0.02</v>
      </c>
      <c r="T599" s="21">
        <f t="shared" si="320"/>
        <v>3.4486333333333334E-2</v>
      </c>
      <c r="U599" s="12">
        <v>-0.02</v>
      </c>
      <c r="V599" s="111">
        <f t="shared" si="390"/>
        <v>-5.4486333333333334</v>
      </c>
      <c r="W599" s="15">
        <v>15</v>
      </c>
      <c r="X599" s="15">
        <v>20</v>
      </c>
      <c r="Y599" s="15">
        <v>25</v>
      </c>
      <c r="Z599" s="18">
        <f t="shared" si="414"/>
        <v>3.4486333333333334</v>
      </c>
      <c r="AA599" s="18">
        <f t="shared" si="415"/>
        <v>-2</v>
      </c>
      <c r="AB599" s="18">
        <f t="shared" si="416"/>
        <v>-5.4486333333333334</v>
      </c>
      <c r="AE599" s="44" cm="1">
        <f t="array" ref="AE599">_xll.BDH("COMXGOLD Comdty","PX_Last", N599)</f>
        <v>44872041.831</v>
      </c>
      <c r="AF599" s="15" t="s">
        <v>58</v>
      </c>
      <c r="AG599" s="44" cm="1">
        <f t="array" ref="AG599">_xll.BDH(AF599,"FUT_AGGTE_OPEN_INT",A599)</f>
        <v>449087</v>
      </c>
      <c r="AH599" s="44">
        <f t="shared" si="417"/>
        <v>44908700</v>
      </c>
      <c r="AI599" s="48">
        <f t="shared" si="418"/>
        <v>0.99918371787649163</v>
      </c>
      <c r="AK599" s="44" cm="1">
        <f t="array" ref="AK599">_xll.BDH("COMXSILV Comdty","PX_Last", N599)</f>
        <v>494816.47</v>
      </c>
      <c r="AL599" s="15" t="s">
        <v>50</v>
      </c>
      <c r="AM599" s="47" cm="1">
        <f t="array" ref="AM599">_xll.BDH(AL599,"FUT_AGGTE_OPEN_INT",A599)</f>
        <v>151180</v>
      </c>
      <c r="AN599" s="45">
        <f t="shared" si="419"/>
        <v>654.60572827093529</v>
      </c>
      <c r="AO599" s="46">
        <f t="shared" si="420"/>
        <v>49481647000</v>
      </c>
      <c r="AP599" s="46">
        <f t="shared" si="421"/>
        <v>755900</v>
      </c>
    </row>
    <row r="600" spans="1:42" x14ac:dyDescent="0.2">
      <c r="A600" s="71">
        <v>45757</v>
      </c>
      <c r="B600" s="16" cm="1">
        <f t="array" ref="B600">_xll.BADDPERIODS(A600, "PER=WD", "NUMBEROFPERIODS=2", "BUSDAYADJ=-2", "CDR=GQ", "CDR=P9")</f>
        <v>45761</v>
      </c>
      <c r="C600" s="15" cm="1">
        <f t="array" ref="C600">_xll.BDH("XAU Curncy","PX_LAST",A600,A600)</f>
        <v>3176.23</v>
      </c>
      <c r="D600" s="15" t="str" cm="1">
        <f t="array" ref="D600">_xll.BDP("GCm5 Comdty",$M$32)</f>
        <v>02/06/2025</v>
      </c>
      <c r="E600" s="15">
        <f t="shared" si="407"/>
        <v>49</v>
      </c>
      <c r="F600" s="23">
        <v>4.2999999999999997E-2</v>
      </c>
      <c r="G600" s="28">
        <f t="shared" si="355"/>
        <v>18.589768361111108</v>
      </c>
      <c r="H600" s="12">
        <v>16.5</v>
      </c>
      <c r="I600" s="110">
        <f t="shared" si="382"/>
        <v>-2.0897683611111084</v>
      </c>
      <c r="J600" s="26">
        <v>4</v>
      </c>
      <c r="K600" s="26">
        <v>6</v>
      </c>
      <c r="L600" s="26">
        <v>8</v>
      </c>
      <c r="N600" s="71">
        <v>45757</v>
      </c>
      <c r="O600" s="16" cm="1">
        <f t="array" ref="O600">_xll.BADDPERIODS(N600, "PER=WD", "NUMBEROFPERIODS=2", "BUSDAYADJ=-2", "CDR=GQ", "CDR=P9")</f>
        <v>45761</v>
      </c>
      <c r="P600" s="15" cm="1">
        <f t="array" ref="P600">_xll.BDH("XAG Curncy","PX_LAST",N600,N600)</f>
        <v>31.2239</v>
      </c>
      <c r="Q600" s="15" t="str" cm="1">
        <f t="array" ref="Q600">_xll.BDP("SIK5 Comdty",$M$32)</f>
        <v>01/05/2025</v>
      </c>
      <c r="R600" s="15">
        <f t="shared" si="408"/>
        <v>17</v>
      </c>
      <c r="S600" s="23">
        <v>2.5000000000000001E-2</v>
      </c>
      <c r="T600" s="21">
        <f t="shared" si="320"/>
        <v>3.6861548611111114E-2</v>
      </c>
      <c r="U600" s="12">
        <v>-0.06</v>
      </c>
      <c r="V600" s="111">
        <f t="shared" si="390"/>
        <v>-9.6861548611111115</v>
      </c>
      <c r="W600" s="15">
        <v>15</v>
      </c>
      <c r="X600" s="15">
        <v>20</v>
      </c>
      <c r="Y600" s="15">
        <v>25</v>
      </c>
      <c r="Z600" s="18">
        <f t="shared" si="414"/>
        <v>3.6861548611111115</v>
      </c>
      <c r="AA600" s="18">
        <f t="shared" si="415"/>
        <v>-6</v>
      </c>
      <c r="AB600" s="18">
        <f t="shared" si="416"/>
        <v>-9.6861548611111115</v>
      </c>
      <c r="AE600" s="44" cm="1">
        <f t="array" ref="AE600">_xll.BDH("COMXGOLD Comdty","PX_Last", N600)</f>
        <v>44792798.390000001</v>
      </c>
      <c r="AF600" s="15" t="s">
        <v>58</v>
      </c>
      <c r="AG600" s="44" cm="1">
        <f t="array" ref="AG600">_xll.BDH(AF600,"FUT_AGGTE_OPEN_INT",A600)</f>
        <v>459504</v>
      </c>
      <c r="AH600" s="44">
        <f t="shared" si="417"/>
        <v>45950400</v>
      </c>
      <c r="AI600" s="48">
        <f t="shared" si="418"/>
        <v>0.97480758361189457</v>
      </c>
      <c r="AK600" s="44" cm="1">
        <f t="array" ref="AK600">_xll.BDH("COMXSILV Comdty","PX_Last", N600)</f>
        <v>496236.16</v>
      </c>
      <c r="AL600" s="15" t="s">
        <v>50</v>
      </c>
      <c r="AM600" s="47" cm="1">
        <f t="array" ref="AM600">_xll.BDH(AL600,"FUT_AGGTE_OPEN_INT",A600)</f>
        <v>150668</v>
      </c>
      <c r="AN600" s="45">
        <f t="shared" si="419"/>
        <v>658.71473703772529</v>
      </c>
      <c r="AO600" s="46">
        <f t="shared" si="420"/>
        <v>49623616000</v>
      </c>
      <c r="AP600" s="46">
        <f t="shared" si="421"/>
        <v>753340</v>
      </c>
    </row>
    <row r="601" spans="1:42" x14ac:dyDescent="0.2">
      <c r="A601" s="71">
        <v>45761</v>
      </c>
      <c r="B601" s="16" cm="1">
        <f t="array" ref="B601">_xll.BADDPERIODS(A601, "PER=WD", "NUMBEROFPERIODS=2", "BUSDAYADJ=-2", "CDR=GQ", "CDR=P9")</f>
        <v>45763</v>
      </c>
      <c r="C601" s="15" cm="1">
        <f t="array" ref="C601">_xll.BDH("XAU Curncy","PX_LAST",A601,A601)</f>
        <v>3210.93</v>
      </c>
      <c r="D601" s="15" t="str" cm="1">
        <f t="array" ref="D601">_xll.BDP("GCm5 Comdty",$M$32)</f>
        <v>02/06/2025</v>
      </c>
      <c r="E601" s="15">
        <f t="shared" si="407"/>
        <v>47</v>
      </c>
      <c r="F601" s="23">
        <v>4.4499999999999998E-2</v>
      </c>
      <c r="G601" s="28">
        <f t="shared" si="355"/>
        <v>18.654611374999998</v>
      </c>
      <c r="H601" s="12">
        <v>16.5</v>
      </c>
      <c r="I601" s="110">
        <f t="shared" si="382"/>
        <v>-2.1546113749999982</v>
      </c>
      <c r="J601" s="26">
        <v>4</v>
      </c>
      <c r="K601" s="26">
        <v>6</v>
      </c>
      <c r="L601" s="26">
        <v>8</v>
      </c>
      <c r="N601" s="71">
        <v>45761</v>
      </c>
      <c r="O601" s="16" cm="1">
        <f t="array" ref="O601">_xll.BADDPERIODS(N601, "PER=WD", "NUMBEROFPERIODS=2", "BUSDAYADJ=-2", "CDR=GQ", "CDR=P9")</f>
        <v>45763</v>
      </c>
      <c r="P601" s="15" cm="1">
        <f t="array" ref="P601">_xll.BDH("XAG Curncy","PX_LAST",N601,N601)</f>
        <v>32.3474</v>
      </c>
      <c r="Q601" s="15" t="str" cm="1">
        <f t="array" ref="Q601">_xll.BDP("SIK5 Comdty",$M$32)</f>
        <v>01/05/2025</v>
      </c>
      <c r="R601" s="15">
        <f t="shared" si="408"/>
        <v>15</v>
      </c>
      <c r="S601" s="23">
        <v>3.5000000000000003E-2</v>
      </c>
      <c r="T601" s="21">
        <f t="shared" si="320"/>
        <v>4.7173291666666672E-2</v>
      </c>
      <c r="U601" s="12">
        <v>-2.5000000000000001E-2</v>
      </c>
      <c r="V601" s="111">
        <f t="shared" si="390"/>
        <v>-7.2173291666666666</v>
      </c>
      <c r="W601" s="15">
        <v>15</v>
      </c>
      <c r="X601" s="15">
        <v>20</v>
      </c>
      <c r="Y601" s="15">
        <v>25</v>
      </c>
      <c r="Z601" s="18">
        <f t="shared" si="414"/>
        <v>4.7173291666666675</v>
      </c>
      <c r="AA601" s="18">
        <f t="shared" si="415"/>
        <v>-2.5</v>
      </c>
      <c r="AB601" s="18">
        <f t="shared" si="416"/>
        <v>-7.2173291666666666</v>
      </c>
      <c r="AE601" s="44" cm="1">
        <f t="array" ref="AE601">_xll.BDH("COMXGOLD Comdty","PX_Last", N601)</f>
        <v>44511572.504000001</v>
      </c>
      <c r="AF601" s="15" t="s">
        <v>58</v>
      </c>
      <c r="AG601" s="44" cm="1">
        <f t="array" ref="AG601">_xll.BDH(AF601,"FUT_AGGTE_OPEN_INT",A601)</f>
        <v>454327</v>
      </c>
      <c r="AH601" s="44">
        <f t="shared" si="417"/>
        <v>45432700</v>
      </c>
      <c r="AI601" s="48">
        <f t="shared" si="418"/>
        <v>0.97972545113981779</v>
      </c>
      <c r="AK601" s="44" cm="1">
        <f t="array" ref="AK601">_xll.BDH("COMXSILV Comdty","PX_Last", N601)</f>
        <v>498195.41</v>
      </c>
      <c r="AL601" s="15" t="s">
        <v>50</v>
      </c>
      <c r="AM601" s="47" cm="1">
        <f t="array" ref="AM601">_xll.BDH(AL601,"FUT_AGGTE_OPEN_INT",A601)</f>
        <v>145245</v>
      </c>
      <c r="AN601" s="45">
        <f t="shared" si="419"/>
        <v>686.00696753760883</v>
      </c>
      <c r="AO601" s="46">
        <f t="shared" si="420"/>
        <v>49819541000</v>
      </c>
      <c r="AP601" s="46">
        <f t="shared" si="421"/>
        <v>726225</v>
      </c>
    </row>
    <row r="602" spans="1:42" x14ac:dyDescent="0.2">
      <c r="A602" s="71">
        <v>45762</v>
      </c>
      <c r="B602" s="16" cm="1">
        <f t="array" ref="B602">_xll.BADDPERIODS(A602, "PER=WD", "NUMBEROFPERIODS=2", "BUSDAYADJ=-2", "CDR=GQ", "CDR=P9")</f>
        <v>45764</v>
      </c>
      <c r="C602" s="15" cm="1">
        <f t="array" ref="C602">_xll.BDH("XAU Curncy","PX_LAST",A602,A602)</f>
        <v>3230.72</v>
      </c>
      <c r="D602" s="15" t="str" cm="1">
        <f t="array" ref="D602">_xll.BDP("GCm5 Comdty",$M$32)</f>
        <v>02/06/2025</v>
      </c>
      <c r="E602" s="15">
        <f t="shared" si="407"/>
        <v>46</v>
      </c>
      <c r="F602" s="23">
        <v>4.4499999999999998E-2</v>
      </c>
      <c r="G602" s="28">
        <f t="shared" si="355"/>
        <v>18.370232888888886</v>
      </c>
      <c r="H602" s="12">
        <v>16.5</v>
      </c>
      <c r="I602" s="110">
        <f t="shared" si="382"/>
        <v>-1.8702328888888857</v>
      </c>
      <c r="J602" s="26">
        <v>4</v>
      </c>
      <c r="K602" s="26">
        <v>6</v>
      </c>
      <c r="L602" s="26">
        <v>8</v>
      </c>
      <c r="N602" s="71">
        <v>45762</v>
      </c>
      <c r="O602" s="16" cm="1">
        <f t="array" ref="O602">_xll.BADDPERIODS(N602, "PER=WD", "NUMBEROFPERIODS=2", "BUSDAYADJ=-2", "CDR=GQ", "CDR=P9")</f>
        <v>45764</v>
      </c>
      <c r="P602" s="15" cm="1">
        <f t="array" ref="P602">_xll.BDH("XAG Curncy","PX_LAST",N602,N602)</f>
        <v>32.319899999999997</v>
      </c>
      <c r="Q602" s="15" t="str" cm="1">
        <f t="array" ref="Q602">_xll.BDP("SIK5 Comdty",$M$32)</f>
        <v>01/05/2025</v>
      </c>
      <c r="R602" s="15">
        <f t="shared" si="408"/>
        <v>14</v>
      </c>
      <c r="S602" s="23">
        <v>3.5000000000000003E-2</v>
      </c>
      <c r="T602" s="21">
        <f t="shared" si="320"/>
        <v>4.3990974999999995E-2</v>
      </c>
      <c r="U602" s="12">
        <v>-2.5000000000000001E-2</v>
      </c>
      <c r="V602" s="111">
        <f t="shared" si="390"/>
        <v>-6.8990974999999999</v>
      </c>
      <c r="W602" s="15">
        <v>15</v>
      </c>
      <c r="X602" s="15">
        <v>20</v>
      </c>
      <c r="Y602" s="15">
        <v>25</v>
      </c>
      <c r="Z602" s="18">
        <f t="shared" si="414"/>
        <v>4.3990974999999999</v>
      </c>
      <c r="AA602" s="18">
        <f t="shared" si="415"/>
        <v>-2.5</v>
      </c>
      <c r="AB602" s="18">
        <f t="shared" si="416"/>
        <v>-6.8990974999999999</v>
      </c>
      <c r="AE602" s="44" cm="1">
        <f t="array" ref="AE602">_xll.BDH("COMXGOLD Comdty","PX_Last", N602)</f>
        <v>44012358.136</v>
      </c>
      <c r="AF602" s="15" t="s">
        <v>58</v>
      </c>
      <c r="AG602" s="44" cm="1">
        <f t="array" ref="AG602">_xll.BDH(AF602,"FUT_AGGTE_OPEN_INT",A602)</f>
        <v>456628</v>
      </c>
      <c r="AH602" s="44">
        <f t="shared" si="417"/>
        <v>45662800</v>
      </c>
      <c r="AI602" s="48">
        <f t="shared" si="418"/>
        <v>0.96385587690636576</v>
      </c>
      <c r="AK602" s="44" cm="1">
        <f t="array" ref="AK602">_xll.BDH("COMXSILV Comdty","PX_Last", N602)</f>
        <v>498846.94</v>
      </c>
      <c r="AL602" s="15" t="s">
        <v>50</v>
      </c>
      <c r="AM602" s="47" cm="1">
        <f t="array" ref="AM602">_xll.BDH(AL602,"FUT_AGGTE_OPEN_INT",A602)</f>
        <v>144400</v>
      </c>
      <c r="AN602" s="45">
        <f t="shared" si="419"/>
        <v>690.92373961218834</v>
      </c>
      <c r="AO602" s="46">
        <f t="shared" si="420"/>
        <v>49884694000</v>
      </c>
      <c r="AP602" s="46">
        <f t="shared" si="421"/>
        <v>722000</v>
      </c>
    </row>
    <row r="603" spans="1:42" x14ac:dyDescent="0.2">
      <c r="A603" s="71">
        <v>45763</v>
      </c>
      <c r="B603" s="16" cm="1">
        <f t="array" ref="B603">_xll.BADDPERIODS(A603, "PER=WD", "NUMBEROFPERIODS=2", "BUSDAYADJ=-2", "CDR=GQ", "CDR=P9")</f>
        <v>45769</v>
      </c>
      <c r="C603" s="15" cm="1">
        <f t="array" ref="C603">_xll.BDH("XAU Curncy","PX_LAST",A603,A603)</f>
        <v>3343.12</v>
      </c>
      <c r="D603" s="15" t="str" cm="1">
        <f t="array" ref="D603">_xll.BDP("GCm5 Comdty",$M$32)</f>
        <v>02/06/2025</v>
      </c>
      <c r="E603" s="15">
        <f t="shared" si="407"/>
        <v>41</v>
      </c>
      <c r="F603" s="23">
        <v>4.3999999999999997E-2</v>
      </c>
      <c r="G603" s="28">
        <f t="shared" si="355"/>
        <v>16.752745777777776</v>
      </c>
      <c r="H603" s="12">
        <v>16.5</v>
      </c>
      <c r="I603" s="110">
        <f t="shared" si="382"/>
        <v>-0.25274577777777552</v>
      </c>
      <c r="J603" s="26">
        <v>4</v>
      </c>
      <c r="K603" s="26">
        <v>6</v>
      </c>
      <c r="L603" s="26">
        <v>8</v>
      </c>
      <c r="N603" s="71">
        <v>45763</v>
      </c>
      <c r="O603" s="16" cm="1">
        <f t="array" ref="O603">_xll.BADDPERIODS(N603, "PER=WD", "NUMBEROFPERIODS=2", "BUSDAYADJ=-2", "CDR=GQ", "CDR=P9")</f>
        <v>45769</v>
      </c>
      <c r="P603" s="15" cm="1">
        <f t="array" ref="P603">_xll.BDH("XAG Curncy","PX_LAST",N603,N603)</f>
        <v>32.765500000000003</v>
      </c>
      <c r="Q603" s="15" t="str" cm="1">
        <f t="array" ref="Q603">_xll.BDP("SIK5 Comdty",$M$32)</f>
        <v>01/05/2025</v>
      </c>
      <c r="R603" s="15">
        <f t="shared" si="408"/>
        <v>9</v>
      </c>
      <c r="S603" s="23">
        <v>3.5000000000000003E-2</v>
      </c>
      <c r="T603" s="21">
        <f t="shared" si="320"/>
        <v>2.8669812500000006E-2</v>
      </c>
      <c r="U603" s="12">
        <v>0.02</v>
      </c>
      <c r="V603" s="111">
        <f t="shared" si="390"/>
        <v>-0.86698125000000059</v>
      </c>
      <c r="W603" s="15">
        <v>15</v>
      </c>
      <c r="X603" s="15">
        <v>20</v>
      </c>
      <c r="Y603" s="15">
        <v>25</v>
      </c>
      <c r="Z603" s="18">
        <f t="shared" si="414"/>
        <v>2.8669812500000007</v>
      </c>
      <c r="AA603" s="18">
        <f t="shared" si="415"/>
        <v>2</v>
      </c>
      <c r="AB603" s="18">
        <f t="shared" si="416"/>
        <v>-0.86698125000000059</v>
      </c>
      <c r="AE603" s="44" cm="1">
        <f t="array" ref="AE603">_xll.BDH("COMXGOLD Comdty","PX_Last", N603)</f>
        <v>43617474.373000003</v>
      </c>
      <c r="AF603" s="15" t="s">
        <v>58</v>
      </c>
      <c r="AG603" s="44" cm="1">
        <f t="array" ref="AG603">_xll.BDH(AF603,"FUT_AGGTE_OPEN_INT",A603)</f>
        <v>463490</v>
      </c>
      <c r="AH603" s="44">
        <f t="shared" si="417"/>
        <v>46349000</v>
      </c>
      <c r="AI603" s="48">
        <f t="shared" si="418"/>
        <v>0.94106613676670481</v>
      </c>
      <c r="AK603" s="44" cm="1">
        <f t="array" ref="AK603">_xll.BDH("COMXSILV Comdty","PX_Last", N603)</f>
        <v>498568.81</v>
      </c>
      <c r="AL603" s="15" t="s">
        <v>50</v>
      </c>
      <c r="AM603" s="47" cm="1">
        <f t="array" ref="AM603">_xll.BDH(AL603,"FUT_AGGTE_OPEN_INT",A603)</f>
        <v>143634</v>
      </c>
      <c r="AN603" s="45">
        <f t="shared" si="419"/>
        <v>694.22115933553334</v>
      </c>
      <c r="AO603" s="46">
        <f t="shared" si="420"/>
        <v>49856881000</v>
      </c>
      <c r="AP603" s="46">
        <f t="shared" si="421"/>
        <v>718170</v>
      </c>
    </row>
    <row r="604" spans="1:42" x14ac:dyDescent="0.2">
      <c r="A604" s="71">
        <v>45764</v>
      </c>
      <c r="B604" s="16" cm="1">
        <f t="array" ref="B604">_xll.BADDPERIODS(A604, "PER=WD", "NUMBEROFPERIODS=2", "BUSDAYADJ=-2", "CDR=GQ", "CDR=P9")</f>
        <v>45770</v>
      </c>
      <c r="C604" s="15" cm="1">
        <f t="array" ref="C604">_xll.BDH("XAU Curncy","PX_LAST",A604,A604)</f>
        <v>3326.85</v>
      </c>
      <c r="D604" s="15" t="str" cm="1">
        <f t="array" ref="D604">_xll.BDP("GCm5 Comdty",$M$32)</f>
        <v>02/06/2025</v>
      </c>
      <c r="E604" s="15">
        <f t="shared" si="407"/>
        <v>40</v>
      </c>
      <c r="F604" s="23">
        <v>4.4999999999999998E-2</v>
      </c>
      <c r="G604" s="28">
        <f t="shared" si="355"/>
        <v>16.634249999999998</v>
      </c>
      <c r="H604" s="12">
        <v>13.5</v>
      </c>
      <c r="I604" s="110">
        <f t="shared" si="382"/>
        <v>-3.134249999999998</v>
      </c>
      <c r="J604" s="26">
        <v>4</v>
      </c>
      <c r="K604" s="26">
        <v>6</v>
      </c>
      <c r="L604" s="26">
        <v>8</v>
      </c>
      <c r="N604" s="71">
        <v>45764</v>
      </c>
      <c r="O604" s="16" cm="1">
        <f t="array" ref="O604">_xll.BADDPERIODS(N604, "PER=WD", "NUMBEROFPERIODS=2", "BUSDAYADJ=-2", "CDR=GQ", "CDR=P9")</f>
        <v>45770</v>
      </c>
      <c r="P604" s="15" cm="1">
        <f t="array" ref="P604">_xll.BDH("XAG Curncy","PX_LAST",N604,N604)</f>
        <v>32.555100000000003</v>
      </c>
      <c r="Q604" s="15" t="str" cm="1">
        <f t="array" ref="Q604">_xll.BDP("SIK5 Comdty",$M$32)</f>
        <v>01/05/2025</v>
      </c>
      <c r="R604" s="15">
        <f t="shared" si="408"/>
        <v>8</v>
      </c>
      <c r="S604" s="23">
        <v>2.75E-2</v>
      </c>
      <c r="T604" s="21">
        <f t="shared" si="320"/>
        <v>1.9894783333333336E-2</v>
      </c>
      <c r="U604" s="12">
        <v>1.4999999999999999E-2</v>
      </c>
      <c r="V604" s="111">
        <f t="shared" si="390"/>
        <v>-0.48947833333333363</v>
      </c>
      <c r="W604" s="15">
        <v>15</v>
      </c>
      <c r="X604" s="15">
        <v>20</v>
      </c>
      <c r="Y604" s="15">
        <v>25</v>
      </c>
      <c r="Z604" s="18">
        <f t="shared" si="414"/>
        <v>1.9894783333333337</v>
      </c>
      <c r="AA604" s="18">
        <f t="shared" si="415"/>
        <v>1.5</v>
      </c>
      <c r="AB604" s="18">
        <f t="shared" si="416"/>
        <v>-0.48947833333333363</v>
      </c>
      <c r="AE604" s="44" cm="1">
        <f t="array" ref="AE604">_xll.BDH("COMXGOLD Comdty","PX_Last", N604)</f>
        <v>43209722.965000004</v>
      </c>
      <c r="AF604" s="15" t="s">
        <v>58</v>
      </c>
      <c r="AG604" s="44" cm="1">
        <f t="array" ref="AG604">_xll.BDH(AF604,"FUT_AGGTE_OPEN_INT",A604)</f>
        <v>460535</v>
      </c>
      <c r="AH604" s="44">
        <f t="shared" si="417"/>
        <v>46053500</v>
      </c>
      <c r="AI604" s="48">
        <f t="shared" si="418"/>
        <v>0.9382505773719696</v>
      </c>
      <c r="AK604" s="44" cm="1">
        <f t="array" ref="AK604">_xll.BDH("COMXSILV Comdty","PX_Last", N604)</f>
        <v>499103.56</v>
      </c>
      <c r="AL604" s="15" t="s">
        <v>50</v>
      </c>
      <c r="AM604" s="47" cm="1">
        <f t="array" ref="AM604">_xll.BDH(AL604,"FUT_AGGTE_OPEN_INT",A604)</f>
        <v>142451</v>
      </c>
      <c r="AN604" s="45">
        <f t="shared" si="419"/>
        <v>700.73717980217759</v>
      </c>
      <c r="AO604" s="46">
        <f t="shared" si="420"/>
        <v>49910356000</v>
      </c>
      <c r="AP604" s="46">
        <f t="shared" si="421"/>
        <v>712255</v>
      </c>
    </row>
    <row r="605" spans="1:42" x14ac:dyDescent="0.2">
      <c r="A605" s="71">
        <v>45768</v>
      </c>
      <c r="B605" s="16" cm="1">
        <f t="array" ref="B605">_xll.BADDPERIODS(A605, "PER=WD", "NUMBEROFPERIODS=2", "BUSDAYADJ=-2", "CDR=GQ", "CDR=P9")</f>
        <v>45770</v>
      </c>
      <c r="C605" s="15" cm="1">
        <f t="array" ref="C605">_xll.BDH("XAU Curncy","PX_LAST",A605,A605)</f>
        <v>3423.98</v>
      </c>
      <c r="D605" s="15" t="str" cm="1">
        <f t="array" ref="D605">_xll.BDP("GCm5 Comdty",$M$32)</f>
        <v>02/06/2025</v>
      </c>
      <c r="E605" s="15">
        <f t="shared" si="407"/>
        <v>40</v>
      </c>
      <c r="F605" s="23">
        <v>4.2500000000000003E-2</v>
      </c>
      <c r="G605" s="28">
        <f t="shared" si="355"/>
        <v>16.168794444444444</v>
      </c>
      <c r="H605" s="12">
        <v>12</v>
      </c>
      <c r="I605" s="110">
        <f t="shared" si="382"/>
        <v>-4.168794444444444</v>
      </c>
      <c r="J605" s="26">
        <v>4</v>
      </c>
      <c r="K605" s="26">
        <v>6</v>
      </c>
      <c r="L605" s="26">
        <v>8</v>
      </c>
      <c r="N605" s="71">
        <v>45768</v>
      </c>
      <c r="O605" s="16" cm="1">
        <f t="array" ref="O605">_xll.BADDPERIODS(N605, "PER=WD", "NUMBEROFPERIODS=2", "BUSDAYADJ=-2", "CDR=GQ", "CDR=P9")</f>
        <v>45770</v>
      </c>
      <c r="P605" s="15" cm="1">
        <f t="array" ref="P605">_xll.BDH("XAG Curncy","PX_LAST",N605,N605)</f>
        <v>32.695999999999998</v>
      </c>
      <c r="Q605" s="15" t="str" cm="1">
        <f t="array" ref="Q605">_xll.BDP("SIK5 Comdty",$M$32)</f>
        <v>01/05/2025</v>
      </c>
      <c r="R605" s="15">
        <f t="shared" si="408"/>
        <v>8</v>
      </c>
      <c r="S605" s="23">
        <v>0.02</v>
      </c>
      <c r="T605" s="21">
        <f t="shared" si="320"/>
        <v>1.4531555555555556E-2</v>
      </c>
      <c r="U605" s="12">
        <v>-1.4999999999999999E-2</v>
      </c>
      <c r="V605" s="111">
        <f t="shared" si="390"/>
        <v>-2.9531555555555555</v>
      </c>
      <c r="W605" s="15">
        <v>15</v>
      </c>
      <c r="X605" s="15">
        <v>20</v>
      </c>
      <c r="Y605" s="15">
        <v>25</v>
      </c>
      <c r="Z605" s="18">
        <f t="shared" si="414"/>
        <v>1.4531555555555555</v>
      </c>
      <c r="AA605" s="18">
        <f t="shared" si="415"/>
        <v>-1.5</v>
      </c>
      <c r="AB605" s="18">
        <f t="shared" si="416"/>
        <v>-2.9531555555555555</v>
      </c>
      <c r="AE605" s="44" cm="1">
        <f t="array" ref="AE605">_xll.BDH("COMXGOLD Comdty","PX_Last", N605)</f>
        <v>43094921.600000001</v>
      </c>
      <c r="AF605" s="15" t="s">
        <v>58</v>
      </c>
      <c r="AG605" s="44" cm="1">
        <f t="array" ref="AG605">_xll.BDH(AF605,"FUT_AGGTE_OPEN_INT",A605)</f>
        <v>466325</v>
      </c>
      <c r="AH605" s="44">
        <f t="shared" si="417"/>
        <v>46632500</v>
      </c>
      <c r="AI605" s="48">
        <f t="shared" si="418"/>
        <v>0.9241392076341608</v>
      </c>
      <c r="AK605" s="44" cm="1">
        <f t="array" ref="AK605">_xll.BDH("COMXSILV Comdty","PX_Last", N605)</f>
        <v>497894.78</v>
      </c>
      <c r="AL605" s="15" t="s">
        <v>50</v>
      </c>
      <c r="AM605" s="47" cm="1">
        <f t="array" ref="AM605">_xll.BDH(AL605,"FUT_AGGTE_OPEN_INT",A605)</f>
        <v>144437</v>
      </c>
      <c r="AN605" s="45">
        <f t="shared" si="419"/>
        <v>689.42830438184114</v>
      </c>
      <c r="AO605" s="46">
        <f t="shared" si="420"/>
        <v>49789478000</v>
      </c>
      <c r="AP605" s="46">
        <f t="shared" si="421"/>
        <v>722185</v>
      </c>
    </row>
    <row r="606" spans="1:42" x14ac:dyDescent="0.2">
      <c r="A606" s="71">
        <v>45771</v>
      </c>
      <c r="B606" s="16" cm="1">
        <f t="array" ref="B606">_xll.BADDPERIODS(A606, "PER=WD", "NUMBEROFPERIODS=2", "BUSDAYADJ=-2", "CDR=GQ", "CDR=P9")</f>
        <v>45775</v>
      </c>
      <c r="C606" s="15" cm="1">
        <f t="array" ref="C606">_xll.BDH("XAU Curncy","PX_LAST",A606,A606)</f>
        <v>3349.43</v>
      </c>
      <c r="D606" s="15" t="str" cm="1">
        <f t="array" ref="D606">_xll.BDP("GCm5 Comdty",$M$32)</f>
        <v>02/06/2025</v>
      </c>
      <c r="E606" s="15">
        <f t="shared" si="407"/>
        <v>35</v>
      </c>
      <c r="F606" s="23">
        <v>4.3799999999999999E-2</v>
      </c>
      <c r="G606" s="28">
        <f t="shared" si="355"/>
        <v>14.262989416666665</v>
      </c>
      <c r="H606" s="12">
        <v>10.75</v>
      </c>
      <c r="I606" s="110">
        <f t="shared" si="382"/>
        <v>-3.5129894166666649</v>
      </c>
      <c r="J606" s="26">
        <v>4</v>
      </c>
      <c r="K606" s="26">
        <v>6</v>
      </c>
      <c r="L606" s="26">
        <v>8</v>
      </c>
      <c r="N606" s="71">
        <v>45771</v>
      </c>
      <c r="O606" s="16" cm="1">
        <f t="array" ref="O606">_xll.BADDPERIODS(N606, "PER=WD", "NUMBEROFPERIODS=2", "BUSDAYADJ=-2", "CDR=GQ", "CDR=P9")</f>
        <v>45775</v>
      </c>
      <c r="P606" s="15" cm="1">
        <f t="array" ref="P606">_xll.BDH("XAG Curncy","PX_LAST",N606,N606)</f>
        <v>33.580100000000002</v>
      </c>
      <c r="Q606" s="15" t="str" cm="1">
        <f t="array" ref="Q606">_xll.BDP("SIK5 Comdty",$M$32)</f>
        <v>01/05/2025</v>
      </c>
      <c r="R606" s="15">
        <f t="shared" si="408"/>
        <v>3</v>
      </c>
      <c r="S606" s="23">
        <v>2.2499999999999999E-2</v>
      </c>
      <c r="T606" s="21">
        <f t="shared" si="320"/>
        <v>6.2962687499999994E-3</v>
      </c>
      <c r="U606" s="12">
        <v>-0.01</v>
      </c>
      <c r="V606" s="111">
        <f t="shared" si="390"/>
        <v>-1.6296268749999998</v>
      </c>
      <c r="W606" s="15">
        <v>15</v>
      </c>
      <c r="X606" s="15">
        <v>20</v>
      </c>
      <c r="Y606" s="15">
        <v>25</v>
      </c>
      <c r="Z606" s="18">
        <f t="shared" si="414"/>
        <v>0.62962687499999992</v>
      </c>
      <c r="AA606" s="18">
        <f t="shared" si="415"/>
        <v>-1</v>
      </c>
      <c r="AB606" s="18">
        <f t="shared" si="416"/>
        <v>-1.6296268749999998</v>
      </c>
      <c r="AE606" s="44" cm="1">
        <f t="array" ref="AE606">_xll.BDH("COMXGOLD Comdty","PX_Last", N606)</f>
        <v>41949906.667999998</v>
      </c>
      <c r="AF606" s="15" t="s">
        <v>58</v>
      </c>
      <c r="AG606" s="44" cm="1">
        <f t="array" ref="AG606">_xll.BDH(AF606,"FUT_AGGTE_OPEN_INT",A606)</f>
        <v>446637</v>
      </c>
      <c r="AH606" s="44">
        <f t="shared" si="417"/>
        <v>44663700</v>
      </c>
      <c r="AI606" s="48">
        <f t="shared" si="418"/>
        <v>0.93923939727340089</v>
      </c>
      <c r="AK606" s="44" cm="1">
        <f t="array" ref="AK606">_xll.BDH("COMXSILV Comdty","PX_Last", N606)</f>
        <v>497740.69</v>
      </c>
      <c r="AL606" s="15" t="s">
        <v>50</v>
      </c>
      <c r="AM606" s="47" cm="1">
        <f t="array" ref="AM606">_xll.BDH(AL606,"FUT_AGGTE_OPEN_INT",A606)</f>
        <v>152992</v>
      </c>
      <c r="AN606" s="45">
        <f t="shared" si="419"/>
        <v>650.67544708220044</v>
      </c>
      <c r="AO606" s="46">
        <f t="shared" si="420"/>
        <v>49774069000</v>
      </c>
      <c r="AP606" s="46">
        <f t="shared" si="421"/>
        <v>764960</v>
      </c>
    </row>
    <row r="607" spans="1:42" x14ac:dyDescent="0.2">
      <c r="A607" s="71">
        <v>45772</v>
      </c>
      <c r="B607" s="16" cm="1">
        <f t="array" ref="B607">_xll.BADDPERIODS(A607, "PER=WD", "NUMBEROFPERIODS=2", "BUSDAYADJ=-2", "CDR=GQ", "CDR=P9")</f>
        <v>45776</v>
      </c>
      <c r="C607" s="15" cm="1">
        <f t="array" ref="C607">_xll.BDH("XAU Curncy","PX_LAST",A607,A607)</f>
        <v>3319.72</v>
      </c>
      <c r="D607" s="15" t="str" cm="1">
        <f t="array" ref="D607">_xll.BDP("GCm5 Comdty",$M$32)</f>
        <v>02/06/2025</v>
      </c>
      <c r="E607" s="15">
        <f t="shared" si="407"/>
        <v>34</v>
      </c>
      <c r="F607" s="23">
        <v>4.3999999999999997E-2</v>
      </c>
      <c r="G607" s="28">
        <f t="shared" si="355"/>
        <v>13.795280888888888</v>
      </c>
      <c r="H607" s="12">
        <v>10.25</v>
      </c>
      <c r="I607" s="110">
        <f t="shared" si="382"/>
        <v>-3.5452808888888878</v>
      </c>
      <c r="J607" s="26">
        <v>4</v>
      </c>
      <c r="K607" s="26">
        <v>6</v>
      </c>
      <c r="L607" s="26">
        <v>8</v>
      </c>
      <c r="N607" s="71">
        <v>45772</v>
      </c>
      <c r="O607" s="16" cm="1">
        <f t="array" ref="O607">_xll.BADDPERIODS(N607, "PER=WD", "NUMBEROFPERIODS=2", "BUSDAYADJ=-2", "CDR=GQ", "CDR=P9")</f>
        <v>45776</v>
      </c>
      <c r="P607" s="15" cm="1">
        <f t="array" ref="P607">_xll.BDH("XAG Curncy","PX_LAST",N607,N607)</f>
        <v>33.110199999999999</v>
      </c>
      <c r="Q607" s="15" t="str" cm="1">
        <f t="array" ref="Q607">_xll.BDP("SIK5 Comdty",$M$32)</f>
        <v>01/05/2025</v>
      </c>
      <c r="R607" s="15">
        <f t="shared" si="408"/>
        <v>2</v>
      </c>
      <c r="S607" s="23">
        <v>0.02</v>
      </c>
      <c r="T607" s="21">
        <f t="shared" si="320"/>
        <v>3.6789111111111112E-3</v>
      </c>
      <c r="U607" s="12">
        <v>-0.04</v>
      </c>
      <c r="V607" s="111">
        <f t="shared" si="390"/>
        <v>-4.3678911111111116</v>
      </c>
      <c r="W607" s="15">
        <v>15</v>
      </c>
      <c r="X607" s="15">
        <v>20</v>
      </c>
      <c r="Y607" s="15">
        <v>25</v>
      </c>
      <c r="Z607" s="18">
        <f t="shared" si="414"/>
        <v>0.36789111111111111</v>
      </c>
      <c r="AA607" s="18">
        <f t="shared" si="415"/>
        <v>-4</v>
      </c>
      <c r="AB607" s="18">
        <f t="shared" si="416"/>
        <v>-4.3678911111111116</v>
      </c>
      <c r="AE607" s="44" cm="1">
        <f t="array" ref="AE607">_xll.BDH("COMXGOLD Comdty","PX_Last", N607)</f>
        <v>41705859.417999998</v>
      </c>
      <c r="AF607" s="15" t="s">
        <v>58</v>
      </c>
      <c r="AG607" s="44" cm="1">
        <f t="array" ref="AG607">_xll.BDH(AF607,"FUT_AGGTE_OPEN_INT",A607)</f>
        <v>445548</v>
      </c>
      <c r="AH607" s="44">
        <f t="shared" si="417"/>
        <v>44554800</v>
      </c>
      <c r="AI607" s="48">
        <f t="shared" si="418"/>
        <v>0.93605760586962572</v>
      </c>
      <c r="AK607" s="44" cm="1">
        <f t="array" ref="AK607">_xll.BDH("COMXSILV Comdty","PX_Last", N607)</f>
        <v>497908.25</v>
      </c>
      <c r="AL607" s="15" t="s">
        <v>50</v>
      </c>
      <c r="AM607" s="47" cm="1">
        <f t="array" ref="AM607">_xll.BDH(AL607,"FUT_AGGTE_OPEN_INT",A607)</f>
        <v>154217</v>
      </c>
      <c r="AN607" s="45">
        <f t="shared" si="419"/>
        <v>645.72420679950983</v>
      </c>
      <c r="AO607" s="46">
        <f t="shared" si="420"/>
        <v>49790825000</v>
      </c>
      <c r="AP607" s="46">
        <f t="shared" si="421"/>
        <v>771085</v>
      </c>
    </row>
    <row r="608" spans="1:42" x14ac:dyDescent="0.2">
      <c r="A608" s="71">
        <v>45775</v>
      </c>
      <c r="B608" s="16" cm="1">
        <f t="array" ref="B608">_xll.BADDPERIODS(A608, "PER=WD", "NUMBEROFPERIODS=2", "BUSDAYADJ=-2", "CDR=GQ", "CDR=P9")</f>
        <v>45777</v>
      </c>
      <c r="C608" s="15" cm="1">
        <f t="array" ref="C608">_xll.BDH("XAU Curncy","PX_LAST",A608,A608)</f>
        <v>3343.98</v>
      </c>
      <c r="D608" s="15" t="str" cm="1">
        <f t="array" ref="D608">_xll.BDP("GCm5 Comdty",$M$32)</f>
        <v>02/06/2025</v>
      </c>
      <c r="E608" s="15">
        <f t="shared" si="407"/>
        <v>33</v>
      </c>
      <c r="F608" s="23">
        <v>4.3999999999999997E-2</v>
      </c>
      <c r="G608" s="28">
        <f t="shared" si="355"/>
        <v>13.487385999999999</v>
      </c>
      <c r="H608" s="12">
        <v>10.5</v>
      </c>
      <c r="I608" s="110">
        <f t="shared" si="382"/>
        <v>-2.987385999999999</v>
      </c>
      <c r="J608" s="26">
        <v>4</v>
      </c>
      <c r="K608" s="26">
        <v>6</v>
      </c>
      <c r="L608" s="26">
        <v>8</v>
      </c>
      <c r="N608" s="71">
        <v>45775</v>
      </c>
      <c r="O608" s="16" cm="1">
        <f t="array" ref="O608">_xll.BADDPERIODS(N608, "PER=WD", "NUMBEROFPERIODS=2", "BUSDAYADJ=-2", "CDR=GQ", "CDR=P9")</f>
        <v>45777</v>
      </c>
      <c r="P608" s="15" cm="1">
        <f t="array" ref="P608">_xll.BDH("XAG Curncy","PX_LAST",N608,N608)</f>
        <v>33.1631</v>
      </c>
      <c r="Q608" s="15" t="str" cm="1">
        <f t="array" ref="Q608">_xll.BDP("SIK5 Comdty",$M$32)</f>
        <v>01/05/2025</v>
      </c>
      <c r="R608" s="15">
        <f t="shared" si="408"/>
        <v>1</v>
      </c>
      <c r="S608" s="23">
        <v>0.03</v>
      </c>
      <c r="T608" s="21">
        <f t="shared" si="320"/>
        <v>2.7635916666666669E-3</v>
      </c>
      <c r="U608" s="12">
        <v>0</v>
      </c>
      <c r="V608" s="111">
        <f t="shared" si="390"/>
        <v>-0.27635916666666671</v>
      </c>
      <c r="W608" s="15">
        <v>15</v>
      </c>
      <c r="X608" s="15">
        <v>20</v>
      </c>
      <c r="Y608" s="15">
        <v>25</v>
      </c>
      <c r="Z608" s="18">
        <f t="shared" si="414"/>
        <v>0.27635916666666671</v>
      </c>
      <c r="AA608" s="18">
        <f t="shared" si="415"/>
        <v>0</v>
      </c>
      <c r="AB608" s="18">
        <f t="shared" si="416"/>
        <v>-0.27635916666666671</v>
      </c>
      <c r="AE608" s="44" cm="1">
        <f t="array" ref="AE608">_xll.BDH("COMXGOLD Comdty","PX_Last", N608)</f>
        <v>41619690.387000002</v>
      </c>
      <c r="AF608" s="15" t="s">
        <v>51</v>
      </c>
      <c r="AG608" s="44" cm="1">
        <f t="array" ref="AG608">_xll.BDH(AF608,"FUT_AGGTE_OPEN_INT",A608)</f>
        <v>448075</v>
      </c>
      <c r="AH608" s="44">
        <f t="shared" si="417"/>
        <v>44807500</v>
      </c>
      <c r="AI608" s="48">
        <f t="shared" si="418"/>
        <v>0.92885544578474588</v>
      </c>
      <c r="AK608" s="44" cm="1">
        <f t="array" ref="AK608">_xll.BDH("COMXSILV Comdty","PX_Last", N608)</f>
        <v>497746.31</v>
      </c>
      <c r="AL608" s="15" t="s">
        <v>50</v>
      </c>
      <c r="AM608" s="47" cm="1">
        <f t="array" ref="AM608">_xll.BDH(AL608,"FUT_AGGTE_OPEN_INT",A608)</f>
        <v>154590</v>
      </c>
      <c r="AN608" s="45">
        <f t="shared" si="419"/>
        <v>643.95667248851805</v>
      </c>
      <c r="AO608" s="46">
        <f t="shared" si="420"/>
        <v>49774631000</v>
      </c>
      <c r="AP608" s="46">
        <f t="shared" si="421"/>
        <v>772950</v>
      </c>
    </row>
    <row r="609" spans="1:42" x14ac:dyDescent="0.2">
      <c r="A609" s="71">
        <v>45776</v>
      </c>
      <c r="B609" s="16" cm="1">
        <f t="array" ref="B609">_xll.BADDPERIODS(A609, "PER=WD", "NUMBEROFPERIODS=2", "BUSDAYADJ=-2", "CDR=GQ", "CDR=P9")</f>
        <v>45778</v>
      </c>
      <c r="C609" s="15" cm="1">
        <f t="array" ref="C609">_xll.BDH("XAU Curncy","PX_LAST",A609,A609)</f>
        <v>3317.41</v>
      </c>
      <c r="D609" s="15" t="str" cm="1">
        <f t="array" ref="D609">_xll.BDP("GCm5 Comdty",$M$32)</f>
        <v>02/06/2025</v>
      </c>
      <c r="E609" s="15">
        <f t="shared" si="407"/>
        <v>32</v>
      </c>
      <c r="F609" s="23">
        <v>4.48E-2</v>
      </c>
      <c r="G609" s="28">
        <f t="shared" si="355"/>
        <v>13.210663822222221</v>
      </c>
      <c r="H609" s="12">
        <v>10.25</v>
      </c>
      <c r="I609" s="110">
        <f t="shared" si="382"/>
        <v>-2.9606638222222212</v>
      </c>
      <c r="J609" s="26">
        <v>4</v>
      </c>
      <c r="K609" s="26">
        <v>6</v>
      </c>
      <c r="L609" s="26">
        <v>8</v>
      </c>
      <c r="N609" s="71">
        <v>45776</v>
      </c>
      <c r="O609" s="16" cm="1">
        <f t="array" ref="O609">_xll.BADDPERIODS(N609, "PER=WD", "NUMBEROFPERIODS=2", "BUSDAYADJ=-2", "CDR=GQ", "CDR=P9")</f>
        <v>45778</v>
      </c>
      <c r="P609" s="15" cm="1">
        <f t="array" ref="P609">_xll.BDH("XAG Curncy","PX_LAST",N609,N609)</f>
        <v>32.935499999999998</v>
      </c>
      <c r="Q609" s="15" t="str" cm="1">
        <f t="array" ref="Q609">_xll.BDP("SIK5 Comdty",$M$32)</f>
        <v>01/05/2025</v>
      </c>
      <c r="R609" s="15">
        <f t="shared" si="408"/>
        <v>0</v>
      </c>
      <c r="S609" s="23">
        <v>0.03</v>
      </c>
      <c r="T609" s="21">
        <f t="shared" si="320"/>
        <v>0</v>
      </c>
      <c r="U609" s="12">
        <v>0</v>
      </c>
      <c r="V609" s="111">
        <f t="shared" si="390"/>
        <v>0</v>
      </c>
      <c r="W609" s="15">
        <v>15</v>
      </c>
      <c r="X609" s="15">
        <v>20</v>
      </c>
      <c r="Y609" s="15">
        <v>25</v>
      </c>
      <c r="Z609" s="18">
        <f t="shared" si="414"/>
        <v>0</v>
      </c>
      <c r="AA609" s="18">
        <f t="shared" si="415"/>
        <v>0</v>
      </c>
      <c r="AB609" s="18">
        <f t="shared" si="416"/>
        <v>0</v>
      </c>
      <c r="AE609" s="44" cm="1">
        <f t="array" ref="AE609">_xll.BDH("COMXGOLD Comdty","PX_Last", N609)</f>
        <v>41577603.789999999</v>
      </c>
      <c r="AF609" s="15" t="s">
        <v>51</v>
      </c>
      <c r="AG609" s="44" cm="1">
        <f t="array" ref="AG609">_xll.BDH(AF609,"FUT_AGGTE_OPEN_INT",A609)</f>
        <v>451868</v>
      </c>
      <c r="AH609" s="44">
        <f t="shared" si="417"/>
        <v>45186800</v>
      </c>
      <c r="AI609" s="48">
        <f t="shared" si="418"/>
        <v>0.92012720064266551</v>
      </c>
      <c r="AK609" s="44" cm="1">
        <f t="array" ref="AK609">_xll.BDH("COMXSILV Comdty","PX_Last", N609)</f>
        <v>499098.41</v>
      </c>
      <c r="AL609" s="15" t="s">
        <v>50</v>
      </c>
      <c r="AM609" s="47" cm="1">
        <f t="array" ref="AM609">_xll.BDH(AL609,"FUT_AGGTE_OPEN_INT",A609)</f>
        <v>152669</v>
      </c>
      <c r="AN609" s="45">
        <f t="shared" si="419"/>
        <v>653.8307187444733</v>
      </c>
      <c r="AO609" s="46">
        <f t="shared" si="420"/>
        <v>49909841000</v>
      </c>
      <c r="AP609" s="46">
        <f t="shared" si="421"/>
        <v>763345</v>
      </c>
    </row>
    <row r="610" spans="1:42" x14ac:dyDescent="0.2">
      <c r="A610" s="71">
        <v>45784</v>
      </c>
      <c r="B610" s="16" cm="1">
        <f t="array" ref="B610">_xll.BADDPERIODS(A610, "PER=WD", "NUMBEROFPERIODS=2", "BUSDAYADJ=-2", "CDR=GQ", "CDR=P9")</f>
        <v>45786</v>
      </c>
      <c r="C610" s="15" cm="1">
        <f t="array" ref="C610">_xll.BDH("XAU Curncy","PX_LAST",A610,A610)</f>
        <v>3364.5</v>
      </c>
      <c r="D610" s="15" t="str" cm="1">
        <f t="array" ref="D610">_xll.BDP("GCm5 Comdty",$M$32)</f>
        <v>02/06/2025</v>
      </c>
      <c r="E610" s="15">
        <f t="shared" si="407"/>
        <v>24</v>
      </c>
      <c r="F610" s="23">
        <v>4.53E-2</v>
      </c>
      <c r="G610" s="28">
        <f t="shared" ref="G610:G676" si="422">C610*(E610/360)*F610</f>
        <v>10.160789999999999</v>
      </c>
      <c r="H610" s="12">
        <v>7.25</v>
      </c>
      <c r="I610" s="110">
        <f t="shared" si="382"/>
        <v>-2.9107899999999987</v>
      </c>
      <c r="J610" s="26">
        <v>4</v>
      </c>
      <c r="K610" s="26">
        <v>6</v>
      </c>
      <c r="L610" s="26">
        <v>8</v>
      </c>
      <c r="N610" s="71">
        <v>45784</v>
      </c>
      <c r="O610" s="16" cm="1">
        <f t="array" ref="O610">_xll.BADDPERIODS(N610, "PER=WD", "NUMBEROFPERIODS=2", "BUSDAYADJ=-2", "CDR=GQ", "CDR=P9")</f>
        <v>45786</v>
      </c>
      <c r="P610" s="15" cm="1">
        <f t="array" ref="P610">_xll.BDH("XAG Curncy","PX_LAST",N610,N610)</f>
        <v>32.456200000000003</v>
      </c>
      <c r="Q610" s="15" t="str" cm="1">
        <f t="array" ref="Q610">_xll.BDP("SIN5 Comdty",$M$32)</f>
        <v>01/07/2025</v>
      </c>
      <c r="R610" s="15">
        <f t="shared" si="408"/>
        <v>53</v>
      </c>
      <c r="S610" s="23">
        <v>0.04</v>
      </c>
      <c r="T610" s="21">
        <f t="shared" si="320"/>
        <v>0.19113095555555557</v>
      </c>
      <c r="U610" s="12">
        <v>0.18</v>
      </c>
      <c r="V610" s="111">
        <f t="shared" si="390"/>
        <v>-1.1130955555555571</v>
      </c>
      <c r="W610" s="15">
        <v>15</v>
      </c>
      <c r="X610" s="15">
        <v>20</v>
      </c>
      <c r="Y610" s="15">
        <v>25</v>
      </c>
      <c r="Z610" s="18">
        <f t="shared" si="414"/>
        <v>19.113095555555557</v>
      </c>
      <c r="AA610" s="18">
        <f t="shared" si="415"/>
        <v>18</v>
      </c>
      <c r="AB610" s="18">
        <f t="shared" si="416"/>
        <v>-1.1130955555555571</v>
      </c>
      <c r="AE610" s="44" cm="1">
        <f t="array" ref="AE610">_xll.BDH("COMXGOLD Comdty","PX_Last", N610)</f>
        <v>39681947.656999998</v>
      </c>
      <c r="AF610" s="15" t="s">
        <v>51</v>
      </c>
      <c r="AG610" s="44" cm="1">
        <f t="array" ref="AG610">_xll.BDH(AF610,"FUT_AGGTE_OPEN_INT",A610)</f>
        <v>443832</v>
      </c>
      <c r="AH610" s="44">
        <f t="shared" si="417"/>
        <v>44383200</v>
      </c>
      <c r="AI610" s="48">
        <f t="shared" si="418"/>
        <v>0.89407585881594831</v>
      </c>
      <c r="AK610" s="44" cm="1">
        <f t="array" ref="AK610">_xll.BDH("COMXSILV Comdty","PX_Last", N610)</f>
        <v>501468.81</v>
      </c>
      <c r="AL610" s="15" t="s">
        <v>53</v>
      </c>
      <c r="AM610" s="47" cm="1">
        <f t="array" ref="AM610">_xll.BDH(AL610,"FUT_AGGTE_OPEN_INT",A610)</f>
        <v>138934</v>
      </c>
      <c r="AN610" s="45">
        <f t="shared" si="419"/>
        <v>721.88061957476214</v>
      </c>
      <c r="AO610" s="46">
        <f t="shared" si="420"/>
        <v>50146881000</v>
      </c>
      <c r="AP610" s="46">
        <f t="shared" si="421"/>
        <v>694670</v>
      </c>
    </row>
    <row r="611" spans="1:42" x14ac:dyDescent="0.2">
      <c r="A611" s="71">
        <v>45785</v>
      </c>
      <c r="B611" s="16" cm="1">
        <f t="array" ref="B611">_xll.BADDPERIODS(A611, "PER=WD", "NUMBEROFPERIODS=2", "BUSDAYADJ=-2", "CDR=GQ", "CDR=P9")</f>
        <v>45789</v>
      </c>
      <c r="C611" s="15" cm="1">
        <f t="array" ref="C611">_xll.BDH("XAU Curncy","PX_LAST",A611,A611)</f>
        <v>3305.72</v>
      </c>
      <c r="D611" s="15" t="str" cm="1">
        <f t="array" ref="D611">_xll.BDP("GCm5 Comdty",$M$32)</f>
        <v>02/06/2025</v>
      </c>
      <c r="E611" s="15">
        <f t="shared" si="407"/>
        <v>21</v>
      </c>
      <c r="F611" s="23">
        <v>4.53E-2</v>
      </c>
      <c r="G611" s="28">
        <f t="shared" si="422"/>
        <v>8.7353650999999992</v>
      </c>
      <c r="H611" s="12">
        <v>5.5</v>
      </c>
      <c r="I611" s="110">
        <f t="shared" si="382"/>
        <v>-3.2353650999999992</v>
      </c>
      <c r="J611" s="26">
        <v>4</v>
      </c>
      <c r="K611" s="26">
        <v>6</v>
      </c>
      <c r="L611" s="26">
        <v>8</v>
      </c>
      <c r="N611" s="71">
        <v>45785</v>
      </c>
      <c r="O611" s="16" cm="1">
        <f t="array" ref="O611">_xll.BADDPERIODS(N611, "PER=WD", "NUMBEROFPERIODS=2", "BUSDAYADJ=-2", "CDR=GQ", "CDR=P9")</f>
        <v>45789</v>
      </c>
      <c r="P611" s="15" cm="1">
        <f t="array" ref="P611">_xll.BDH("XAG Curncy","PX_LAST",N611,N611)</f>
        <v>32.463099999999997</v>
      </c>
      <c r="Q611" s="15" t="str" cm="1">
        <f t="array" ref="Q611">_xll.BDP("SIN5 Comdty",$M$32)</f>
        <v>01/07/2025</v>
      </c>
      <c r="R611" s="15">
        <f t="shared" si="408"/>
        <v>50</v>
      </c>
      <c r="S611" s="23">
        <v>0.04</v>
      </c>
      <c r="T611" s="21">
        <f t="shared" si="320"/>
        <v>0.18035055555555554</v>
      </c>
      <c r="U611" s="12">
        <v>0.155</v>
      </c>
      <c r="V611" s="111">
        <f t="shared" si="390"/>
        <v>-2.5350555555555543</v>
      </c>
      <c r="W611" s="15">
        <v>15</v>
      </c>
      <c r="X611" s="15">
        <v>20</v>
      </c>
      <c r="Y611" s="15">
        <v>25</v>
      </c>
      <c r="Z611" s="18">
        <f t="shared" si="414"/>
        <v>18.035055555555555</v>
      </c>
      <c r="AA611" s="18">
        <f t="shared" si="415"/>
        <v>15.5</v>
      </c>
      <c r="AB611" s="18">
        <f t="shared" si="416"/>
        <v>-2.5350555555555543</v>
      </c>
      <c r="AE611" s="44" cm="1">
        <f t="array" ref="AE611">_xll.BDH("COMXGOLD Comdty","PX_Last", N611)</f>
        <v>39131282.686999999</v>
      </c>
      <c r="AF611" s="15" t="s">
        <v>51</v>
      </c>
      <c r="AG611" s="44" cm="1">
        <f t="array" ref="AG611">_xll.BDH(AF611,"FUT_AGGTE_OPEN_INT",A611)</f>
        <v>438431</v>
      </c>
      <c r="AH611" s="44">
        <f t="shared" si="417"/>
        <v>43843100</v>
      </c>
      <c r="AI611" s="48">
        <f t="shared" si="418"/>
        <v>0.89253001468874238</v>
      </c>
      <c r="AK611" s="44" cm="1">
        <f t="array" ref="AK611">_xll.BDH("COMXSILV Comdty","PX_Last", N611)</f>
        <v>502800.09</v>
      </c>
      <c r="AL611" s="15" t="s">
        <v>53</v>
      </c>
      <c r="AM611" s="47" cm="1">
        <f t="array" ref="AM611">_xll.BDH(AL611,"FUT_AGGTE_OPEN_INT",A611)</f>
        <v>136887</v>
      </c>
      <c r="AN611" s="45">
        <f t="shared" si="419"/>
        <v>734.6206579149225</v>
      </c>
      <c r="AO611" s="46">
        <f t="shared" si="420"/>
        <v>50280009000</v>
      </c>
      <c r="AP611" s="46">
        <f t="shared" si="421"/>
        <v>684435</v>
      </c>
    </row>
    <row r="612" spans="1:42" x14ac:dyDescent="0.2">
      <c r="A612" s="71">
        <v>45789</v>
      </c>
      <c r="B612" s="16" cm="1">
        <f t="array" ref="B612">_xll.BADDPERIODS(A612, "PER=WD", "NUMBEROFPERIODS=2", "BUSDAYADJ=-2", "CDR=GQ", "CDR=P9")</f>
        <v>45791</v>
      </c>
      <c r="C612" s="15" cm="1">
        <f t="array" ref="C612">_xll.BDH("XAU Curncy","PX_LAST",A612,A612)</f>
        <v>3236.39</v>
      </c>
      <c r="D612" s="15" t="str" cm="1">
        <f t="array" ref="D612">_xll.BDP("GCm5 Comdty",$M$32)</f>
        <v>02/06/2025</v>
      </c>
      <c r="E612" s="15">
        <f t="shared" si="407"/>
        <v>19</v>
      </c>
      <c r="F612" s="23">
        <v>4.53E-2</v>
      </c>
      <c r="G612" s="28">
        <f t="shared" si="422"/>
        <v>7.7376690916666666</v>
      </c>
      <c r="H612" s="12">
        <v>3.75</v>
      </c>
      <c r="I612" s="110">
        <f t="shared" si="382"/>
        <v>-3.9876690916666666</v>
      </c>
      <c r="J612" s="26">
        <v>4</v>
      </c>
      <c r="K612" s="26">
        <v>6</v>
      </c>
      <c r="L612" s="26">
        <v>8</v>
      </c>
      <c r="N612" s="71">
        <v>45789</v>
      </c>
      <c r="O612" s="16" cm="1">
        <f t="array" ref="O612">_xll.BADDPERIODS(N612, "PER=WD", "NUMBEROFPERIODS=2", "BUSDAYADJ=-2", "CDR=GQ", "CDR=P9")</f>
        <v>45791</v>
      </c>
      <c r="P612" s="15" cm="1">
        <f t="array" ref="P612">_xll.BDH("XAG Curncy","PX_LAST",N612,N612)</f>
        <v>32.6023</v>
      </c>
      <c r="Q612" s="15" t="str" cm="1">
        <f t="array" ref="Q612">_xll.BDP("SIN5 Comdty",$M$32)</f>
        <v>01/07/2025</v>
      </c>
      <c r="R612" s="15">
        <f t="shared" si="408"/>
        <v>48</v>
      </c>
      <c r="S612" s="23">
        <v>0.04</v>
      </c>
      <c r="T612" s="21">
        <f t="shared" si="320"/>
        <v>0.17387893333333335</v>
      </c>
      <c r="U612" s="12">
        <v>0.18</v>
      </c>
      <c r="V612" s="111">
        <f t="shared" si="390"/>
        <v>0.61210666666666469</v>
      </c>
      <c r="W612" s="15">
        <v>15</v>
      </c>
      <c r="X612" s="15">
        <v>20</v>
      </c>
      <c r="Y612" s="15">
        <v>25</v>
      </c>
      <c r="Z612" s="18">
        <f t="shared" si="414"/>
        <v>17.387893333333334</v>
      </c>
      <c r="AA612" s="18">
        <f t="shared" si="415"/>
        <v>18</v>
      </c>
      <c r="AB612" s="18">
        <f t="shared" si="416"/>
        <v>0.61210666666666469</v>
      </c>
      <c r="AE612" s="44" cm="1">
        <f t="array" ref="AE612">_xll.BDH("COMXGOLD Comdty","PX_Last", N612)</f>
        <v>39117173.169</v>
      </c>
      <c r="AF612" s="15" t="s">
        <v>51</v>
      </c>
      <c r="AG612" s="44" cm="1">
        <f t="array" ref="AG612">_xll.BDH(AF612,"FUT_AGGTE_OPEN_INT",A612)</f>
        <v>440560</v>
      </c>
      <c r="AH612" s="44">
        <f t="shared" si="417"/>
        <v>44056000</v>
      </c>
      <c r="AI612" s="48">
        <f t="shared" si="418"/>
        <v>0.88789661269747588</v>
      </c>
      <c r="AK612" s="44" cm="1">
        <f t="array" ref="AK612">_xll.BDH("COMXSILV Comdty","PX_Last", N612)</f>
        <v>504719.47</v>
      </c>
      <c r="AL612" s="15" t="s">
        <v>53</v>
      </c>
      <c r="AM612" s="47" cm="1">
        <f t="array" ref="AM612">_xll.BDH(AL612,"FUT_AGGTE_OPEN_INT",A612)</f>
        <v>137944</v>
      </c>
      <c r="AN612" s="45">
        <f t="shared" si="419"/>
        <v>731.77444470219791</v>
      </c>
      <c r="AO612" s="46">
        <f t="shared" si="420"/>
        <v>50471947000</v>
      </c>
      <c r="AP612" s="46">
        <f t="shared" si="421"/>
        <v>689720</v>
      </c>
    </row>
    <row r="613" spans="1:42" x14ac:dyDescent="0.2">
      <c r="A613" s="71">
        <v>45790</v>
      </c>
      <c r="B613" s="16" cm="1">
        <f t="array" ref="B613">_xll.BADDPERIODS(A613, "PER=WD", "NUMBEROFPERIODS=2", "BUSDAYADJ=-2", "CDR=GQ", "CDR=P9")</f>
        <v>45792</v>
      </c>
      <c r="C613" s="15" cm="1">
        <f t="array" ref="C613">_xll.BDH("XAU Curncy","PX_LAST",A613,A613)</f>
        <v>3250.31</v>
      </c>
      <c r="D613" s="15" t="str" cm="1">
        <f t="array" ref="D613">_xll.BDP("GCm5 Comdty",$M$32)</f>
        <v>02/06/2025</v>
      </c>
      <c r="E613" s="15">
        <f t="shared" si="407"/>
        <v>18</v>
      </c>
      <c r="F613" s="23">
        <v>4.58E-2</v>
      </c>
      <c r="G613" s="28">
        <f t="shared" si="422"/>
        <v>7.4432099000000003</v>
      </c>
      <c r="H613" s="12">
        <v>4.5</v>
      </c>
      <c r="I613" s="110">
        <f t="shared" si="382"/>
        <v>-2.9432099000000003</v>
      </c>
      <c r="J613" s="26">
        <v>4</v>
      </c>
      <c r="K613" s="26">
        <v>6</v>
      </c>
      <c r="L613" s="26">
        <v>8</v>
      </c>
      <c r="N613" s="71">
        <v>45790</v>
      </c>
      <c r="O613" s="16" cm="1">
        <f t="array" ref="O613">_xll.BADDPERIODS(N613, "PER=WD", "NUMBEROFPERIODS=2", "BUSDAYADJ=-2", "CDR=GQ", "CDR=P9")</f>
        <v>45792</v>
      </c>
      <c r="P613" s="15" cm="1">
        <f t="array" ref="P613">_xll.BDH("XAG Curncy","PX_LAST",N613,N613)</f>
        <v>32.927999999999997</v>
      </c>
      <c r="Q613" s="15" t="str" cm="1">
        <f t="array" ref="Q613">_xll.BDP("SIN5 Comdty",$M$32)</f>
        <v>01/07/2025</v>
      </c>
      <c r="R613" s="15">
        <f t="shared" si="408"/>
        <v>47</v>
      </c>
      <c r="S613" s="23">
        <v>0.04</v>
      </c>
      <c r="T613" s="21">
        <f t="shared" si="320"/>
        <v>0.17195733333333332</v>
      </c>
      <c r="U613" s="12">
        <v>0.16500000000000001</v>
      </c>
      <c r="V613" s="111">
        <f t="shared" si="390"/>
        <v>-0.69573333333333154</v>
      </c>
      <c r="W613" s="15">
        <v>15</v>
      </c>
      <c r="X613" s="15">
        <v>20</v>
      </c>
      <c r="Y613" s="15">
        <v>25</v>
      </c>
      <c r="Z613" s="18">
        <f t="shared" si="414"/>
        <v>17.195733333333333</v>
      </c>
      <c r="AA613" s="18">
        <f t="shared" si="415"/>
        <v>16.5</v>
      </c>
      <c r="AB613" s="18">
        <f t="shared" si="416"/>
        <v>-0.69573333333333154</v>
      </c>
      <c r="AE613" s="44" cm="1">
        <f t="array" ref="AE613">_xll.BDH("COMXGOLD Comdty","PX_Last", N613)</f>
        <v>39270532.497000001</v>
      </c>
      <c r="AF613" s="15" t="s">
        <v>51</v>
      </c>
      <c r="AG613" s="44" cm="1">
        <f t="array" ref="AG613">_xll.BDH(AF613,"FUT_AGGTE_OPEN_INT",A613)</f>
        <v>440842</v>
      </c>
      <c r="AH613" s="44">
        <f t="shared" si="417"/>
        <v>44084200</v>
      </c>
      <c r="AI613" s="48">
        <f t="shared" si="418"/>
        <v>0.89080742073123709</v>
      </c>
      <c r="AK613" s="44" cm="1">
        <f t="array" ref="AK613">_xll.BDH("COMXSILV Comdty","PX_Last", N613)</f>
        <v>503481.13</v>
      </c>
      <c r="AL613" s="15" t="s">
        <v>53</v>
      </c>
      <c r="AM613" s="47" cm="1">
        <f t="array" ref="AM613">_xll.BDH(AL613,"FUT_AGGTE_OPEN_INT",A613)</f>
        <v>138262</v>
      </c>
      <c r="AN613" s="45">
        <f t="shared" si="419"/>
        <v>728.30008245215606</v>
      </c>
      <c r="AO613" s="46">
        <f t="shared" si="420"/>
        <v>50348113000</v>
      </c>
      <c r="AP613" s="46">
        <f t="shared" si="421"/>
        <v>691310</v>
      </c>
    </row>
    <row r="614" spans="1:42" x14ac:dyDescent="0.2">
      <c r="A614" s="71">
        <v>45796</v>
      </c>
      <c r="B614" s="16" cm="1">
        <f t="array" ref="B614">_xll.BADDPERIODS(A614, "PER=WD", "NUMBEROFPERIODS=2", "BUSDAYADJ=-2", "CDR=GQ", "CDR=P9")</f>
        <v>45798</v>
      </c>
      <c r="C614" s="15" cm="1">
        <f t="array" ref="C614">_xll.BDH("XAU Curncy","PX_LAST",A614,A614)</f>
        <v>3229.56</v>
      </c>
      <c r="D614" s="15" t="str" cm="1">
        <f t="array" ref="D614">_xll.BDP("GCm5 Comdty",$M$32)</f>
        <v>02/06/2025</v>
      </c>
      <c r="E614" s="15">
        <f t="shared" si="407"/>
        <v>12</v>
      </c>
      <c r="F614" s="23">
        <v>4.5999999999999999E-2</v>
      </c>
      <c r="G614" s="28">
        <f t="shared" si="422"/>
        <v>4.9519919999999997</v>
      </c>
      <c r="H614" s="12">
        <v>2.95</v>
      </c>
      <c r="I614" s="110">
        <f t="shared" si="382"/>
        <v>-2.0019919999999995</v>
      </c>
      <c r="J614" s="26">
        <v>4</v>
      </c>
      <c r="K614" s="26">
        <v>6</v>
      </c>
      <c r="L614" s="26">
        <v>8</v>
      </c>
      <c r="N614" s="71">
        <v>45796</v>
      </c>
      <c r="O614" s="16" cm="1">
        <f t="array" ref="O614">_xll.BADDPERIODS(N614, "PER=WD", "NUMBEROFPERIODS=2", "BUSDAYADJ=-2", "CDR=GQ", "CDR=P9")</f>
        <v>45798</v>
      </c>
      <c r="P614" s="15" cm="1">
        <f t="array" ref="P614">_xll.BDH("XAG Curncy","PX_LAST",N614,N614)</f>
        <v>32.360999999999997</v>
      </c>
      <c r="Q614" s="15" t="str" cm="1">
        <f t="array" ref="Q614">_xll.BDP("SIN5 Comdty",$M$32)</f>
        <v>01/07/2025</v>
      </c>
      <c r="R614" s="15">
        <f t="shared" si="408"/>
        <v>41</v>
      </c>
      <c r="S614" s="23">
        <v>0.04</v>
      </c>
      <c r="T614" s="21">
        <f t="shared" si="320"/>
        <v>0.14742233333333332</v>
      </c>
      <c r="U614" s="12">
        <v>0.14749999999999999</v>
      </c>
      <c r="V614" s="111">
        <f t="shared" si="390"/>
        <v>7.7666666666670325E-3</v>
      </c>
      <c r="W614" s="15">
        <v>15</v>
      </c>
      <c r="X614" s="15">
        <v>20</v>
      </c>
      <c r="Y614" s="15">
        <v>25</v>
      </c>
      <c r="Z614" s="18">
        <f t="shared" si="414"/>
        <v>14.742233333333331</v>
      </c>
      <c r="AA614" s="18">
        <f t="shared" si="415"/>
        <v>14.75</v>
      </c>
      <c r="AB614" s="18">
        <f t="shared" si="416"/>
        <v>7.7666666666670325E-3</v>
      </c>
      <c r="AE614" s="44" cm="1">
        <f t="array" ref="AE614">_xll.BDH("COMXGOLD Comdty","PX_Last", N614)</f>
        <v>38815459.082999997</v>
      </c>
      <c r="AF614" s="15" t="s">
        <v>51</v>
      </c>
      <c r="AG614" s="44" cm="1">
        <f t="array" ref="AG614">_xll.BDH(AF614,"FUT_AGGTE_OPEN_INT",A614)</f>
        <v>442943</v>
      </c>
      <c r="AH614" s="44">
        <f t="shared" si="417"/>
        <v>44294300</v>
      </c>
      <c r="AI614" s="48">
        <f t="shared" si="418"/>
        <v>0.87630821760361932</v>
      </c>
      <c r="AK614" s="44" cm="1">
        <f t="array" ref="AK614">_xll.BDH("COMXSILV Comdty","PX_Last", N614)</f>
        <v>501490.06</v>
      </c>
      <c r="AL614" s="15" t="s">
        <v>53</v>
      </c>
      <c r="AM614" s="47" cm="1">
        <f t="array" ref="AM614">_xll.BDH(AL614,"FUT_AGGTE_OPEN_INT",A614)</f>
        <v>137540</v>
      </c>
      <c r="AN614" s="45">
        <f t="shared" si="419"/>
        <v>729.22794823324114</v>
      </c>
      <c r="AO614" s="46">
        <f t="shared" si="420"/>
        <v>50149006000</v>
      </c>
      <c r="AP614" s="46">
        <f t="shared" si="421"/>
        <v>687700</v>
      </c>
    </row>
    <row r="615" spans="1:42" x14ac:dyDescent="0.2">
      <c r="A615" s="71">
        <v>45797</v>
      </c>
      <c r="B615" s="16" cm="1">
        <f t="array" ref="B615">_xll.BADDPERIODS(A615, "PER=WD", "NUMBEROFPERIODS=2", "BUSDAYADJ=-2", "CDR=GQ", "CDR=P9")</f>
        <v>45799</v>
      </c>
      <c r="C615" s="15" cm="1">
        <f t="array" ref="C615">_xll.BDH("XAU Curncy","PX_LAST",A615,A615)</f>
        <v>3290.13</v>
      </c>
      <c r="D615" s="15" t="str" cm="1">
        <f t="array" ref="D615">_xll.BDP("GCm5 Comdty",$M$32)</f>
        <v>02/06/2025</v>
      </c>
      <c r="E615" s="15">
        <f t="shared" si="407"/>
        <v>11</v>
      </c>
      <c r="F615" s="23">
        <v>4.58E-2</v>
      </c>
      <c r="G615" s="28">
        <f t="shared" si="422"/>
        <v>4.6043541499999998</v>
      </c>
      <c r="H615" s="12">
        <v>3</v>
      </c>
      <c r="I615" s="110">
        <f t="shared" si="382"/>
        <v>-1.6043541499999998</v>
      </c>
      <c r="J615" s="26">
        <v>4</v>
      </c>
      <c r="K615" s="26">
        <v>6</v>
      </c>
      <c r="L615" s="26">
        <v>8</v>
      </c>
      <c r="N615" s="71">
        <v>45797</v>
      </c>
      <c r="O615" s="16" cm="1">
        <f t="array" ref="O615">_xll.BADDPERIODS(N615, "PER=WD", "NUMBEROFPERIODS=2", "BUSDAYADJ=-2", "CDR=GQ", "CDR=P9")</f>
        <v>45799</v>
      </c>
      <c r="P615" s="15" cm="1">
        <f t="array" ref="P615">_xll.BDH("XAG Curncy","PX_LAST",N615,N615)</f>
        <v>33.082099999999997</v>
      </c>
      <c r="Q615" s="15" t="str" cm="1">
        <f t="array" ref="Q615">_xll.BDP("SIN5 Comdty",$M$32)</f>
        <v>01/07/2025</v>
      </c>
      <c r="R615" s="15">
        <f t="shared" si="408"/>
        <v>40</v>
      </c>
      <c r="S615" s="23">
        <v>0.04</v>
      </c>
      <c r="T615" s="21">
        <f t="shared" si="320"/>
        <v>0.14703155555555555</v>
      </c>
      <c r="U615" s="12">
        <v>0.14000000000000001</v>
      </c>
      <c r="V615" s="111">
        <f t="shared" si="390"/>
        <v>-0.70315555555555409</v>
      </c>
      <c r="W615" s="15">
        <v>15</v>
      </c>
      <c r="X615" s="15">
        <v>20</v>
      </c>
      <c r="Y615" s="15">
        <v>25</v>
      </c>
      <c r="Z615" s="18">
        <f t="shared" si="414"/>
        <v>14.703155555555556</v>
      </c>
      <c r="AA615" s="18">
        <f t="shared" si="415"/>
        <v>14.000000000000002</v>
      </c>
      <c r="AB615" s="18">
        <f t="shared" si="416"/>
        <v>-0.70315555555555409</v>
      </c>
      <c r="AE615" s="44" cm="1">
        <f t="array" ref="AE615">_xll.BDH("COMXGOLD Comdty","PX_Last", N615)</f>
        <v>38984927.004000001</v>
      </c>
      <c r="AF615" s="15" t="s">
        <v>51</v>
      </c>
      <c r="AG615" s="44" cm="1">
        <f t="array" ref="AG615">_xll.BDH(AF615,"FUT_AGGTE_OPEN_INT",A615)</f>
        <v>448000</v>
      </c>
      <c r="AH615" s="44">
        <f t="shared" si="417"/>
        <v>44800000</v>
      </c>
      <c r="AI615" s="48">
        <f t="shared" si="418"/>
        <v>0.87019926348214283</v>
      </c>
      <c r="AK615" s="44" cm="1">
        <f t="array" ref="AK615">_xll.BDH("COMXSILV Comdty","PX_Last", N615)</f>
        <v>501069.09</v>
      </c>
      <c r="AL615" s="15" t="s">
        <v>53</v>
      </c>
      <c r="AM615" s="47" cm="1">
        <f t="array" ref="AM615">_xll.BDH(AL615,"FUT_AGGTE_OPEN_INT",A615)</f>
        <v>141451</v>
      </c>
      <c r="AN615" s="45">
        <f t="shared" si="419"/>
        <v>708.47019816049374</v>
      </c>
      <c r="AO615" s="46">
        <f t="shared" si="420"/>
        <v>50106909000</v>
      </c>
      <c r="AP615" s="46">
        <f t="shared" si="421"/>
        <v>707255</v>
      </c>
    </row>
    <row r="616" spans="1:42" x14ac:dyDescent="0.2">
      <c r="A616" s="71">
        <v>45798</v>
      </c>
      <c r="B616" s="16" cm="1">
        <f t="array" ref="B616">_xll.BADDPERIODS(A616, "PER=WD", "NUMBEROFPERIODS=2", "BUSDAYADJ=-2", "CDR=GQ", "CDR=P9")</f>
        <v>45800</v>
      </c>
      <c r="C616" s="15" cm="1">
        <f t="array" ref="C616">_xll.BDH("XAU Curncy","PX_LAST",A616,A616)</f>
        <v>3314.96</v>
      </c>
      <c r="D616" s="15" t="str" cm="1">
        <f t="array" ref="D616">_xll.BDP("GCm5 Comdty",$M$32)</f>
        <v>02/06/2025</v>
      </c>
      <c r="E616" s="15">
        <f t="shared" si="407"/>
        <v>10</v>
      </c>
      <c r="F616" s="23">
        <v>4.5999999999999999E-2</v>
      </c>
      <c r="G616" s="28">
        <f t="shared" si="422"/>
        <v>4.2357822222222214</v>
      </c>
      <c r="H616" s="12">
        <v>2.25</v>
      </c>
      <c r="I616" s="110">
        <f t="shared" si="382"/>
        <v>-1.9857822222222214</v>
      </c>
      <c r="J616" s="26">
        <v>4</v>
      </c>
      <c r="K616" s="26">
        <v>6</v>
      </c>
      <c r="L616" s="26">
        <v>8</v>
      </c>
      <c r="N616" s="71">
        <v>45798</v>
      </c>
      <c r="O616" s="16" cm="1">
        <f t="array" ref="O616">_xll.BADDPERIODS(N616, "PER=WD", "NUMBEROFPERIODS=2", "BUSDAYADJ=-2", "CDR=GQ", "CDR=P9")</f>
        <v>45800</v>
      </c>
      <c r="P616" s="15" cm="1">
        <f t="array" ref="P616">_xll.BDH("XAG Curncy","PX_LAST",N616,N616)</f>
        <v>33.389299999999999</v>
      </c>
      <c r="Q616" s="15" t="str" cm="1">
        <f t="array" ref="Q616">_xll.BDP("SIN5 Comdty",$M$32)</f>
        <v>01/07/2025</v>
      </c>
      <c r="R616" s="15">
        <f t="shared" si="408"/>
        <v>39</v>
      </c>
      <c r="S616" s="23">
        <v>0.04</v>
      </c>
      <c r="T616" s="21">
        <f t="shared" si="320"/>
        <v>0.14468696666666667</v>
      </c>
      <c r="U616" s="12">
        <v>0.18</v>
      </c>
      <c r="V616" s="111">
        <f t="shared" si="390"/>
        <v>3.5313033333333328</v>
      </c>
      <c r="W616" s="15">
        <v>15</v>
      </c>
      <c r="X616" s="15">
        <v>20</v>
      </c>
      <c r="Y616" s="15">
        <v>25</v>
      </c>
      <c r="Z616" s="18">
        <f t="shared" si="414"/>
        <v>14.468696666666666</v>
      </c>
      <c r="AA616" s="18">
        <f t="shared" si="415"/>
        <v>18</v>
      </c>
      <c r="AB616" s="18">
        <f t="shared" si="416"/>
        <v>3.5313033333333328</v>
      </c>
      <c r="AE616" s="44" cm="1">
        <f t="array" ref="AE616">_xll.BDH("COMXGOLD Comdty","PX_Last", N616)</f>
        <v>38951535.854999997</v>
      </c>
      <c r="AF616" s="15" t="s">
        <v>51</v>
      </c>
      <c r="AG616" s="44" cm="1">
        <f t="array" ref="AG616">_xll.BDH(AF616,"FUT_AGGTE_OPEN_INT",A616)</f>
        <v>453340</v>
      </c>
      <c r="AH616" s="44">
        <f t="shared" si="417"/>
        <v>45334000</v>
      </c>
      <c r="AI616" s="48">
        <f t="shared" si="418"/>
        <v>0.85921242014823307</v>
      </c>
      <c r="AK616" s="44" cm="1">
        <f t="array" ref="AK616">_xll.BDH("COMXSILV Comdty","PX_Last", N616)</f>
        <v>500598.22</v>
      </c>
      <c r="AL616" s="15" t="s">
        <v>53</v>
      </c>
      <c r="AM616" s="47" cm="1">
        <f t="array" ref="AM616">_xll.BDH(AL616,"FUT_AGGTE_OPEN_INT",A616)</f>
        <v>145754</v>
      </c>
      <c r="AN616" s="45">
        <f t="shared" si="419"/>
        <v>686.90837987293662</v>
      </c>
      <c r="AO616" s="46">
        <f t="shared" si="420"/>
        <v>50059822000</v>
      </c>
      <c r="AP616" s="46">
        <f t="shared" si="421"/>
        <v>728770</v>
      </c>
    </row>
    <row r="617" spans="1:42" x14ac:dyDescent="0.2">
      <c r="A617" s="71">
        <v>45799</v>
      </c>
      <c r="B617" s="16" cm="1">
        <f t="array" ref="B617">_xll.BADDPERIODS(A617, "PER=WD", "NUMBEROFPERIODS=2", "BUSDAYADJ=-2", "CDR=GQ", "CDR=P9")</f>
        <v>45804</v>
      </c>
      <c r="C617" s="15" cm="1">
        <f t="array" ref="C617">_xll.BDH("XAU Curncy","PX_LAST",A617,A617)</f>
        <v>3294.52</v>
      </c>
      <c r="D617" s="15" t="str" cm="1">
        <f t="array" ref="D617">_xll.BDP("GCm5 Comdty",$M$32)</f>
        <v>02/06/2025</v>
      </c>
      <c r="E617" s="15">
        <f t="shared" si="407"/>
        <v>6</v>
      </c>
      <c r="F617" s="23">
        <v>4.5999999999999999E-2</v>
      </c>
      <c r="G617" s="28">
        <f t="shared" si="422"/>
        <v>2.5257986666666667</v>
      </c>
      <c r="H617" s="12">
        <v>-1</v>
      </c>
      <c r="I617" s="110">
        <f t="shared" si="382"/>
        <v>-3.5257986666666667</v>
      </c>
      <c r="J617" s="26">
        <v>4</v>
      </c>
      <c r="K617" s="26">
        <v>6</v>
      </c>
      <c r="L617" s="26">
        <v>8</v>
      </c>
      <c r="N617" s="71">
        <v>45799</v>
      </c>
      <c r="O617" s="16" cm="1">
        <f t="array" ref="O617">_xll.BADDPERIODS(N617, "PER=WD", "NUMBEROFPERIODS=2", "BUSDAYADJ=-2", "CDR=GQ", "CDR=P9")</f>
        <v>45804</v>
      </c>
      <c r="P617" s="15" cm="1">
        <f t="array" ref="P617">_xll.BDH("XAG Curncy","PX_LAST",N617,N617)</f>
        <v>33.056100000000001</v>
      </c>
      <c r="Q617" s="15" t="str" cm="1">
        <f t="array" ref="Q617">_xll.BDP("SIN5 Comdty",$M$32)</f>
        <v>01/07/2025</v>
      </c>
      <c r="R617" s="15">
        <f t="shared" si="408"/>
        <v>35</v>
      </c>
      <c r="S617" s="23">
        <v>0.04</v>
      </c>
      <c r="T617" s="21">
        <f t="shared" si="320"/>
        <v>0.12855150000000001</v>
      </c>
      <c r="U617" s="12">
        <v>0.155</v>
      </c>
      <c r="V617" s="111">
        <f t="shared" si="390"/>
        <v>2.6448499999999986</v>
      </c>
      <c r="W617" s="15">
        <v>15</v>
      </c>
      <c r="X617" s="15">
        <v>20</v>
      </c>
      <c r="Y617" s="15">
        <v>25</v>
      </c>
      <c r="Z617" s="18">
        <f t="shared" si="414"/>
        <v>12.855150000000002</v>
      </c>
      <c r="AA617" s="18">
        <f t="shared" si="415"/>
        <v>15.5</v>
      </c>
      <c r="AB617" s="18">
        <f t="shared" si="416"/>
        <v>2.6448499999999986</v>
      </c>
      <c r="AE617" s="44" cm="1">
        <f t="array" ref="AE617">_xll.BDH("COMXGOLD Comdty","PX_Last", N617)</f>
        <v>38793530.208999999</v>
      </c>
      <c r="AF617" s="15" t="s">
        <v>51</v>
      </c>
      <c r="AG617" s="44" cm="1">
        <f t="array" ref="AG617">_xll.BDH(AF617,"FUT_AGGTE_OPEN_INT",A617)</f>
        <v>452564</v>
      </c>
      <c r="AH617" s="44">
        <f t="shared" si="417"/>
        <v>45256400</v>
      </c>
      <c r="AI617" s="48">
        <f t="shared" si="418"/>
        <v>0.85719434619191981</v>
      </c>
      <c r="AK617" s="44" cm="1">
        <f t="array" ref="AK617">_xll.BDH("COMXSILV Comdty","PX_Last", N617)</f>
        <v>498504.31</v>
      </c>
      <c r="AL617" s="15" t="s">
        <v>53</v>
      </c>
      <c r="AM617" s="47" cm="1">
        <f t="array" ref="AM617">_xll.BDH(AL617,"FUT_AGGTE_OPEN_INT",A617)</f>
        <v>144831</v>
      </c>
      <c r="AN617" s="45">
        <f t="shared" si="419"/>
        <v>688.39448736803593</v>
      </c>
      <c r="AO617" s="46">
        <f t="shared" si="420"/>
        <v>49850431000</v>
      </c>
      <c r="AP617" s="46">
        <f t="shared" si="421"/>
        <v>724155</v>
      </c>
    </row>
    <row r="618" spans="1:42" x14ac:dyDescent="0.2">
      <c r="A618" s="71">
        <v>45800</v>
      </c>
      <c r="B618" s="16" cm="1">
        <f t="array" ref="B618">_xll.BADDPERIODS(A618, "PER=WD", "NUMBEROFPERIODS=2", "BUSDAYADJ=-2", "CDR=GQ", "CDR=P9")</f>
        <v>45805</v>
      </c>
      <c r="C618" s="15" cm="1">
        <f t="array" ref="C618">_xll.BDH("XAU Curncy","PX_LAST",A618,A618)</f>
        <v>3357.51</v>
      </c>
      <c r="D618" s="15" t="str" cm="1">
        <f t="array" ref="D618">_xll.BDP("GCm5 Comdty",$M$32)</f>
        <v>02/06/2025</v>
      </c>
      <c r="E618" s="15">
        <f t="shared" si="407"/>
        <v>5</v>
      </c>
      <c r="F618" s="23">
        <v>4.6199999999999998E-2</v>
      </c>
      <c r="G618" s="28">
        <f t="shared" si="422"/>
        <v>2.15440225</v>
      </c>
      <c r="H618" s="12">
        <v>0</v>
      </c>
      <c r="I618" s="110">
        <f t="shared" si="382"/>
        <v>-2.15440225</v>
      </c>
      <c r="J618" s="26">
        <v>4</v>
      </c>
      <c r="K618" s="26">
        <v>6</v>
      </c>
      <c r="L618" s="26">
        <v>8</v>
      </c>
      <c r="N618" s="71">
        <v>45800</v>
      </c>
      <c r="O618" s="16" cm="1">
        <f t="array" ref="O618">_xll.BADDPERIODS(N618, "PER=WD", "NUMBEROFPERIODS=2", "BUSDAYADJ=-2", "CDR=GQ", "CDR=P9")</f>
        <v>45805</v>
      </c>
      <c r="P618" s="15" cm="1">
        <f t="array" ref="P618">_xll.BDH("XAG Curncy","PX_LAST",N618,N618)</f>
        <v>33.476999999999997</v>
      </c>
      <c r="Q618" s="15" t="str" cm="1">
        <f t="array" ref="Q618">_xll.BDP("SIN5 Comdty",$M$32)</f>
        <v>01/07/2025</v>
      </c>
      <c r="R618" s="15">
        <f t="shared" si="408"/>
        <v>34</v>
      </c>
      <c r="S618" s="23">
        <v>0.04</v>
      </c>
      <c r="T618" s="21">
        <f t="shared" si="320"/>
        <v>0.12646866666666665</v>
      </c>
      <c r="U618" s="12">
        <v>0.14499999999999999</v>
      </c>
      <c r="V618" s="111">
        <f t="shared" si="390"/>
        <v>1.8531333333333344</v>
      </c>
      <c r="W618" s="15">
        <v>15</v>
      </c>
      <c r="X618" s="15">
        <v>20</v>
      </c>
      <c r="Y618" s="15">
        <v>25</v>
      </c>
      <c r="Z618" s="18">
        <f t="shared" si="414"/>
        <v>12.646866666666664</v>
      </c>
      <c r="AA618" s="18">
        <f t="shared" si="415"/>
        <v>14.499999999999998</v>
      </c>
      <c r="AB618" s="18">
        <f t="shared" si="416"/>
        <v>1.8531333333333344</v>
      </c>
      <c r="AE618" s="44" cm="1">
        <f t="array" ref="AE618">_xll.BDH("COMXGOLD Comdty","PX_Last", N618)</f>
        <v>38788128.840999998</v>
      </c>
      <c r="AF618" s="15" t="s">
        <v>51</v>
      </c>
      <c r="AG618" s="44" cm="1">
        <f t="array" ref="AG618">_xll.BDH(AF618,"FUT_AGGTE_OPEN_INT",A618)</f>
        <v>458101</v>
      </c>
      <c r="AH618" s="44">
        <f t="shared" si="417"/>
        <v>45810100</v>
      </c>
      <c r="AI618" s="48">
        <f t="shared" si="418"/>
        <v>0.84671565530308812</v>
      </c>
      <c r="AK618" s="44" cm="1">
        <f t="array" ref="AK618">_xll.BDH("COMXSILV Comdty","PX_Last", N618)</f>
        <v>496694.91</v>
      </c>
      <c r="AL618" s="15" t="s">
        <v>53</v>
      </c>
      <c r="AM618" s="47" cm="1">
        <f t="array" ref="AM618">_xll.BDH(AL618,"FUT_AGGTE_OPEN_INT",A618)</f>
        <v>148213</v>
      </c>
      <c r="AN618" s="45">
        <f t="shared" si="419"/>
        <v>670.24472886993726</v>
      </c>
      <c r="AO618" s="46">
        <f t="shared" si="420"/>
        <v>49669491000</v>
      </c>
      <c r="AP618" s="46">
        <f t="shared" si="421"/>
        <v>741065</v>
      </c>
    </row>
    <row r="619" spans="1:42" x14ac:dyDescent="0.2">
      <c r="A619" s="71">
        <v>45804</v>
      </c>
      <c r="B619" s="16" cm="1">
        <f t="array" ref="B619">_xll.BADDPERIODS(A619, "PER=WD", "NUMBEROFPERIODS=2", "BUSDAYADJ=-2", "CDR=GQ", "CDR=P9")</f>
        <v>45806</v>
      </c>
      <c r="C619" s="15" cm="1">
        <f t="array" ref="C619">_xll.BDH("XAU Curncy","PX_LAST",A619,A619)</f>
        <v>3300.87</v>
      </c>
      <c r="D619" s="15" t="str" cm="1">
        <f t="array" ref="D619">_xll.BDP("GCm5 Comdty",$M$32)</f>
        <v>02/06/2025</v>
      </c>
      <c r="E619" s="15">
        <f t="shared" si="407"/>
        <v>4</v>
      </c>
      <c r="F619" s="23">
        <v>4.5999999999999999E-2</v>
      </c>
      <c r="G619" s="28">
        <f t="shared" si="422"/>
        <v>1.6871113333333332</v>
      </c>
      <c r="H619" s="12">
        <v>-1.5</v>
      </c>
      <c r="I619" s="110">
        <f t="shared" si="382"/>
        <v>-3.1871113333333332</v>
      </c>
      <c r="J619" s="26">
        <v>4</v>
      </c>
      <c r="K619" s="26">
        <v>6</v>
      </c>
      <c r="L619" s="26">
        <v>8</v>
      </c>
      <c r="N619" s="71">
        <v>45804</v>
      </c>
      <c r="O619" s="16" cm="1">
        <f t="array" ref="O619">_xll.BADDPERIODS(N619, "PER=WD", "NUMBEROFPERIODS=2", "BUSDAYADJ=-2", "CDR=GQ", "CDR=P9")</f>
        <v>45806</v>
      </c>
      <c r="P619" s="15" cm="1">
        <f t="array" ref="P619">_xll.BDH("XAG Curncy","PX_LAST",N619,N619)</f>
        <v>33.264499999999998</v>
      </c>
      <c r="Q619" s="15" t="str" cm="1">
        <f t="array" ref="Q619">_xll.BDP("SIN5 Comdty",$M$32)</f>
        <v>01/07/2025</v>
      </c>
      <c r="R619" s="15">
        <f t="shared" si="408"/>
        <v>33</v>
      </c>
      <c r="S619" s="23">
        <v>0.04</v>
      </c>
      <c r="T619" s="21">
        <f t="shared" si="320"/>
        <v>0.12196983333333332</v>
      </c>
      <c r="U619" s="12">
        <v>0.125</v>
      </c>
      <c r="V619" s="111">
        <f t="shared" si="390"/>
        <v>0.3030166666666681</v>
      </c>
      <c r="W619" s="15">
        <v>15</v>
      </c>
      <c r="X619" s="15">
        <v>20</v>
      </c>
      <c r="Y619" s="15">
        <v>25</v>
      </c>
      <c r="Z619" s="18">
        <f t="shared" si="414"/>
        <v>12.196983333333332</v>
      </c>
      <c r="AA619" s="18">
        <f t="shared" si="415"/>
        <v>12.5</v>
      </c>
      <c r="AB619" s="18">
        <f t="shared" si="416"/>
        <v>0.3030166666666681</v>
      </c>
      <c r="AE619" s="44" cm="1">
        <f t="array" ref="AE619">_xll.BDH("COMXGOLD Comdty","PX_Last", N619)</f>
        <v>38787453.670000002</v>
      </c>
      <c r="AF619" s="15" t="s">
        <v>51</v>
      </c>
      <c r="AG619" s="44" cm="1">
        <f t="array" ref="AG619">_xll.BDH(AF619,"FUT_AGGTE_OPEN_INT",A619)</f>
        <v>437538</v>
      </c>
      <c r="AH619" s="44">
        <f t="shared" si="417"/>
        <v>43753800</v>
      </c>
      <c r="AI619" s="48">
        <f t="shared" si="418"/>
        <v>0.88649337131860551</v>
      </c>
      <c r="AK619" s="44" cm="1">
        <f t="array" ref="AK619">_xll.BDH("COMXSILV Comdty","PX_Last", N619)</f>
        <v>497302.78</v>
      </c>
      <c r="AL619" s="15" t="s">
        <v>53</v>
      </c>
      <c r="AM619" s="47" cm="1">
        <f t="array" ref="AM619">_xll.BDH(AL619,"FUT_AGGTE_OPEN_INT",A619)</f>
        <v>147555</v>
      </c>
      <c r="AN619" s="45">
        <f t="shared" si="419"/>
        <v>674.05751075870012</v>
      </c>
      <c r="AO619" s="46">
        <f t="shared" si="420"/>
        <v>49730278000</v>
      </c>
      <c r="AP619" s="46">
        <f t="shared" si="421"/>
        <v>737775</v>
      </c>
    </row>
    <row r="620" spans="1:42" x14ac:dyDescent="0.2">
      <c r="A620" s="71">
        <v>45805</v>
      </c>
      <c r="B620" s="16" cm="1">
        <f t="array" ref="B620">_xll.BADDPERIODS(A620, "PER=WD", "NUMBEROFPERIODS=2", "BUSDAYADJ=-2", "CDR=GQ", "CDR=P9")</f>
        <v>45807</v>
      </c>
      <c r="C620" s="15" cm="1">
        <f t="array" ref="C620">_xll.BDH("XAU Curncy","PX_LAST",A620,A620)</f>
        <v>3287.48</v>
      </c>
      <c r="D620" s="15" t="str" cm="1">
        <f t="array" ref="D620">_xll.BDP("GCm5 Comdty",$M$32)</f>
        <v>02/06/2025</v>
      </c>
      <c r="E620" s="15">
        <f t="shared" si="407"/>
        <v>3</v>
      </c>
      <c r="F620" s="23">
        <v>4.5999999999999999E-2</v>
      </c>
      <c r="G620" s="28">
        <f t="shared" si="422"/>
        <v>1.2602006666666667</v>
      </c>
      <c r="H620" s="12">
        <v>-1.5</v>
      </c>
      <c r="I620" s="110">
        <f t="shared" si="382"/>
        <v>-2.760200666666667</v>
      </c>
      <c r="J620" s="26">
        <v>4</v>
      </c>
      <c r="K620" s="26">
        <v>6</v>
      </c>
      <c r="L620" s="26">
        <v>8</v>
      </c>
      <c r="N620" s="71">
        <v>45805</v>
      </c>
      <c r="O620" s="16" cm="1">
        <f t="array" ref="O620">_xll.BADDPERIODS(N620, "PER=WD", "NUMBEROFPERIODS=2", "BUSDAYADJ=-2", "CDR=GQ", "CDR=P9")</f>
        <v>45807</v>
      </c>
      <c r="P620" s="15" cm="1">
        <f t="array" ref="P620">_xll.BDH("XAG Curncy","PX_LAST",N620,N620)</f>
        <v>32.984000000000002</v>
      </c>
      <c r="Q620" s="15" t="str" cm="1">
        <f t="array" ref="Q620">_xll.BDP("SIN5 Comdty",$M$32)</f>
        <v>01/07/2025</v>
      </c>
      <c r="R620" s="15">
        <f t="shared" si="408"/>
        <v>32</v>
      </c>
      <c r="S620" s="23">
        <v>0.04</v>
      </c>
      <c r="T620" s="21">
        <f t="shared" si="320"/>
        <v>0.11727644444444446</v>
      </c>
      <c r="U620" s="12">
        <v>0.13750000000000001</v>
      </c>
      <c r="V620" s="111">
        <f t="shared" si="390"/>
        <v>2.022355555555555</v>
      </c>
      <c r="W620" s="15">
        <v>15</v>
      </c>
      <c r="X620" s="15">
        <v>20</v>
      </c>
      <c r="Y620" s="15">
        <v>25</v>
      </c>
      <c r="Z620" s="18">
        <f t="shared" si="414"/>
        <v>11.727644444444445</v>
      </c>
      <c r="AA620" s="18">
        <f t="shared" si="415"/>
        <v>13.750000000000002</v>
      </c>
      <c r="AB620" s="18">
        <f t="shared" si="416"/>
        <v>2.022355555555555</v>
      </c>
      <c r="AE620" s="44" cm="1">
        <f t="array" ref="AE620">_xll.BDH("COMXGOLD Comdty","PX_Last", N620)</f>
        <v>38814646.838</v>
      </c>
      <c r="AF620" s="15" t="s">
        <v>51</v>
      </c>
      <c r="AG620" s="44" cm="1">
        <f t="array" ref="AG620">_xll.BDH(AF620,"FUT_AGGTE_OPEN_INT",A620)</f>
        <v>429542</v>
      </c>
      <c r="AH620" s="44">
        <f t="shared" si="417"/>
        <v>42954200</v>
      </c>
      <c r="AI620" s="48">
        <f t="shared" si="418"/>
        <v>0.90362867514701706</v>
      </c>
      <c r="AK620" s="44" cm="1">
        <f t="array" ref="AK620">_xll.BDH("COMXSILV Comdty","PX_Last", N620)</f>
        <v>498373.22</v>
      </c>
      <c r="AL620" s="15" t="s">
        <v>53</v>
      </c>
      <c r="AM620" s="47" cm="1">
        <f t="array" ref="AM620">_xll.BDH(AL620,"FUT_AGGTE_OPEN_INT",A620)</f>
        <v>148020</v>
      </c>
      <c r="AN620" s="45">
        <f t="shared" si="419"/>
        <v>673.38632617213898</v>
      </c>
      <c r="AO620" s="46">
        <f t="shared" si="420"/>
        <v>49837322000</v>
      </c>
      <c r="AP620" s="46">
        <f t="shared" si="421"/>
        <v>740100</v>
      </c>
    </row>
    <row r="621" spans="1:42" x14ac:dyDescent="0.2">
      <c r="A621" s="71">
        <v>45806</v>
      </c>
      <c r="B621" s="16" cm="1">
        <f t="array" ref="B621">_xll.BADDPERIODS(A621, "PER=WD", "NUMBEROFPERIODS=2", "BUSDAYADJ=-2", "CDR=GQ", "CDR=P9")</f>
        <v>45810</v>
      </c>
      <c r="C621" s="15" cm="1">
        <f t="array" ref="C621">_xll.BDH("XAU Curncy","PX_LAST",A621,A621)</f>
        <v>3317.94</v>
      </c>
      <c r="D621" s="15" t="str" cm="1">
        <f t="array" ref="D621">_xll.BDP("GCQ5 Comdty",$M$32)</f>
        <v>01/08/2025</v>
      </c>
      <c r="E621" s="15">
        <f t="shared" si="407"/>
        <v>60</v>
      </c>
      <c r="F621" s="23">
        <v>4.5499999999999999E-2</v>
      </c>
      <c r="G621" s="28">
        <f t="shared" si="422"/>
        <v>25.161045000000001</v>
      </c>
      <c r="H621" s="12">
        <v>25</v>
      </c>
      <c r="I621" s="110">
        <f t="shared" si="382"/>
        <v>-0.16104500000000144</v>
      </c>
      <c r="J621" s="26">
        <v>4</v>
      </c>
      <c r="K621" s="26">
        <v>6</v>
      </c>
      <c r="L621" s="26">
        <v>8</v>
      </c>
      <c r="N621" s="71">
        <v>45806</v>
      </c>
      <c r="O621" s="16" cm="1">
        <f t="array" ref="O621">_xll.BADDPERIODS(N621, "PER=WD", "NUMBEROFPERIODS=2", "BUSDAYADJ=-2", "CDR=GQ", "CDR=P9")</f>
        <v>45810</v>
      </c>
      <c r="P621" s="15" cm="1">
        <f t="array" ref="P621">_xll.BDH("XAG Curncy","PX_LAST",N621,N621)</f>
        <v>33.319200000000002</v>
      </c>
      <c r="Q621" s="15" t="str" cm="1">
        <f t="array" ref="Q621">_xll.BDP("SIN5 Comdty",$M$32)</f>
        <v>01/07/2025</v>
      </c>
      <c r="R621" s="15">
        <f t="shared" si="408"/>
        <v>29</v>
      </c>
      <c r="S621" s="23">
        <v>4.1500000000000002E-2</v>
      </c>
      <c r="T621" s="21">
        <f t="shared" si="320"/>
        <v>0.11138793666666669</v>
      </c>
      <c r="U621" s="12">
        <v>0.12</v>
      </c>
      <c r="V621" s="111">
        <f t="shared" si="390"/>
        <v>0.86120633333333085</v>
      </c>
      <c r="W621" s="15">
        <v>15</v>
      </c>
      <c r="X621" s="15">
        <v>20</v>
      </c>
      <c r="Y621" s="15">
        <v>25</v>
      </c>
      <c r="Z621" s="18">
        <f t="shared" si="414"/>
        <v>11.138793666666668</v>
      </c>
      <c r="AA621" s="18">
        <f t="shared" si="415"/>
        <v>12</v>
      </c>
      <c r="AB621" s="18">
        <f t="shared" si="416"/>
        <v>0.86120633333333085</v>
      </c>
      <c r="AE621" s="44" cm="1">
        <f t="array" ref="AE621">_xll.BDH("COMXGOLD Comdty","PX_Last", N621)</f>
        <v>38789194.160999998</v>
      </c>
      <c r="AF621" s="15" t="s">
        <v>52</v>
      </c>
      <c r="AG621" s="44" cm="1">
        <f t="array" ref="AG621">_xll.BDH(AF621,"FUT_AGGTE_OPEN_INT",A621)</f>
        <v>422605</v>
      </c>
      <c r="AH621" s="44">
        <f t="shared" si="417"/>
        <v>42260500</v>
      </c>
      <c r="AI621" s="48">
        <f t="shared" si="418"/>
        <v>0.91785932871120779</v>
      </c>
      <c r="AK621" s="44" cm="1">
        <f t="array" ref="AK621">_xll.BDH("COMXSILV Comdty","PX_Last", N621)</f>
        <v>498127.84</v>
      </c>
      <c r="AL621" s="15" t="s">
        <v>53</v>
      </c>
      <c r="AM621" s="47" cm="1">
        <f t="array" ref="AM621">_xll.BDH(AL621,"FUT_AGGTE_OPEN_INT",A621)</f>
        <v>149317</v>
      </c>
      <c r="AN621" s="45">
        <f t="shared" si="419"/>
        <v>667.20847592705456</v>
      </c>
      <c r="AO621" s="46">
        <f t="shared" si="420"/>
        <v>49812784000</v>
      </c>
      <c r="AP621" s="46">
        <f t="shared" si="421"/>
        <v>746585</v>
      </c>
    </row>
    <row r="622" spans="1:42" x14ac:dyDescent="0.2">
      <c r="A622" s="71">
        <v>45807</v>
      </c>
      <c r="B622" s="16" cm="1">
        <f t="array" ref="B622">_xll.BADDPERIODS(A622, "PER=WD", "NUMBEROFPERIODS=2", "BUSDAYADJ=-2", "CDR=GQ", "CDR=P9")</f>
        <v>45811</v>
      </c>
      <c r="C622" s="15" cm="1">
        <f t="array" ref="C622">_xll.BDH("XAU Curncy","PX_LAST",A622,A622)</f>
        <v>3289.25</v>
      </c>
      <c r="D622" s="15" t="str" cm="1">
        <f t="array" ref="D622">_xll.BDP("GCQ5 Comdty",$M$32)</f>
        <v>01/08/2025</v>
      </c>
      <c r="E622" s="15">
        <f>_xlfn.DAYS(D622,B622)</f>
        <v>59</v>
      </c>
      <c r="F622" s="23">
        <v>4.53E-2</v>
      </c>
      <c r="G622" s="28">
        <f t="shared" si="422"/>
        <v>24.419940208333333</v>
      </c>
      <c r="H622" s="12">
        <v>24</v>
      </c>
      <c r="I622" s="110">
        <f t="shared" si="382"/>
        <v>-0.41994020833333323</v>
      </c>
      <c r="J622" s="26">
        <v>4</v>
      </c>
      <c r="K622" s="26">
        <v>6</v>
      </c>
      <c r="L622" s="26">
        <v>8</v>
      </c>
      <c r="N622" s="71">
        <v>45807</v>
      </c>
      <c r="O622" s="16" cm="1">
        <f t="array" ref="O622">_xll.BADDPERIODS(N622, "PER=WD", "NUMBEROFPERIODS=2", "BUSDAYADJ=-2", "CDR=GQ", "CDR=P9")</f>
        <v>45811</v>
      </c>
      <c r="P622" s="15" cm="1">
        <f t="array" ref="P622">_xll.BDH("XAG Curncy","PX_LAST",N622,N622)</f>
        <v>32.983199999999997</v>
      </c>
      <c r="Q622" s="15" t="str" cm="1">
        <f t="array" ref="Q622">_xll.BDP("SIN5 Comdty",$M$32)</f>
        <v>01/07/2025</v>
      </c>
      <c r="R622" s="15">
        <f t="shared" si="408"/>
        <v>28</v>
      </c>
      <c r="S622" s="23">
        <v>4.1500000000000002E-2</v>
      </c>
      <c r="T622" s="21">
        <f t="shared" si="320"/>
        <v>0.10646243999999999</v>
      </c>
      <c r="U622" s="12">
        <v>0.11</v>
      </c>
      <c r="V622" s="111">
        <f t="shared" si="390"/>
        <v>0.3537560000000009</v>
      </c>
      <c r="W622" s="15">
        <v>15</v>
      </c>
      <c r="X622" s="15">
        <v>20</v>
      </c>
      <c r="Y622" s="15">
        <v>25</v>
      </c>
      <c r="Z622" s="18">
        <f t="shared" si="414"/>
        <v>10.646243999999999</v>
      </c>
      <c r="AA622" s="18">
        <f t="shared" si="415"/>
        <v>11</v>
      </c>
      <c r="AB622" s="18">
        <f t="shared" si="416"/>
        <v>0.3537560000000009</v>
      </c>
      <c r="AE622" s="44" cm="1">
        <f t="array" ref="AE622">_xll.BDH("COMXGOLD Comdty","PX_Last", N622)</f>
        <v>38789194.160999998</v>
      </c>
      <c r="AF622" s="15" t="s">
        <v>52</v>
      </c>
      <c r="AG622" s="44" cm="1">
        <f t="array" ref="AG622">_xll.BDH(AF622,"FUT_AGGTE_OPEN_INT",A622)</f>
        <v>408787</v>
      </c>
      <c r="AH622" s="44">
        <f t="shared" si="417"/>
        <v>40878700</v>
      </c>
      <c r="AI622" s="48">
        <f t="shared" si="418"/>
        <v>0.94888521799861536</v>
      </c>
      <c r="AK622" s="44" cm="1">
        <f t="array" ref="AK622">_xll.BDH("COMXSILV Comdty","PX_Last", N622)</f>
        <v>496007.97</v>
      </c>
      <c r="AL622" s="15" t="s">
        <v>53</v>
      </c>
      <c r="AM622" s="47" cm="1">
        <f t="array" ref="AM622">_xll.BDH(AL622,"FUT_AGGTE_OPEN_INT",A622)</f>
        <v>147836</v>
      </c>
      <c r="AN622" s="45">
        <f t="shared" si="419"/>
        <v>671.02460834979297</v>
      </c>
      <c r="AO622" s="46">
        <f t="shared" si="420"/>
        <v>49600797000</v>
      </c>
      <c r="AP622" s="46">
        <f t="shared" si="421"/>
        <v>739180</v>
      </c>
    </row>
    <row r="623" spans="1:42" x14ac:dyDescent="0.2">
      <c r="A623" s="71">
        <v>45810</v>
      </c>
      <c r="B623" s="16" cm="1">
        <f t="array" ref="B623">_xll.BADDPERIODS(A623, "PER=WD", "NUMBEROFPERIODS=2", "BUSDAYADJ=-2", "CDR=GQ", "CDR=P9")</f>
        <v>45812</v>
      </c>
      <c r="C623" s="15" cm="1">
        <f t="array" ref="C623">_xll.BDH("XAU Curncy","PX_LAST",A623,A623)</f>
        <v>3381.59</v>
      </c>
      <c r="D623" s="15" t="str" cm="1">
        <f t="array" ref="D623">_xll.BDP("GCQ5 Comdty",$M$32)</f>
        <v>01/08/2025</v>
      </c>
      <c r="E623" s="15">
        <f t="shared" si="407"/>
        <v>58</v>
      </c>
      <c r="F623" s="23">
        <v>4.5999999999999999E-2</v>
      </c>
      <c r="G623" s="28">
        <f t="shared" si="422"/>
        <v>25.061339222222227</v>
      </c>
      <c r="H623" s="12">
        <v>24.5</v>
      </c>
      <c r="I623" s="110">
        <f t="shared" si="382"/>
        <v>-0.56133922222222665</v>
      </c>
      <c r="J623" s="26">
        <v>4</v>
      </c>
      <c r="K623" s="26">
        <v>6</v>
      </c>
      <c r="L623" s="26">
        <v>8</v>
      </c>
      <c r="N623" s="71">
        <v>45810</v>
      </c>
      <c r="O623" s="16" cm="1">
        <f t="array" ref="O623">_xll.BADDPERIODS(N623, "PER=WD", "NUMBEROFPERIODS=2", "BUSDAYADJ=-2", "CDR=GQ", "CDR=P9")</f>
        <v>45812</v>
      </c>
      <c r="P623" s="15" cm="1">
        <f t="array" ref="P623">_xll.BDH("XAG Curncy","PX_LAST",N623,N623)</f>
        <v>34.761499999999998</v>
      </c>
      <c r="Q623" s="15" t="str" cm="1">
        <f t="array" ref="Q623">_xll.BDP("SIN5 Comdty",$M$32)</f>
        <v>01/07/2025</v>
      </c>
      <c r="R623" s="15">
        <f t="shared" si="408"/>
        <v>27</v>
      </c>
      <c r="S623" s="23">
        <v>4.2000000000000003E-2</v>
      </c>
      <c r="T623" s="21">
        <f t="shared" si="320"/>
        <v>0.10949872500000001</v>
      </c>
      <c r="U623" s="12">
        <v>0.17</v>
      </c>
      <c r="V623" s="111">
        <f t="shared" si="390"/>
        <v>6.0501275000000003</v>
      </c>
      <c r="W623" s="15">
        <v>15</v>
      </c>
      <c r="X623" s="15">
        <v>20</v>
      </c>
      <c r="Y623" s="15">
        <v>25</v>
      </c>
      <c r="Z623" s="18">
        <f t="shared" si="414"/>
        <v>10.9498725</v>
      </c>
      <c r="AA623" s="18">
        <f t="shared" si="415"/>
        <v>17</v>
      </c>
      <c r="AB623" s="18">
        <f t="shared" si="416"/>
        <v>6.0501275000000003</v>
      </c>
      <c r="AE623" s="44" cm="1">
        <f t="array" ref="AE623">_xll.BDH("COMXGOLD Comdty","PX_Last", N623)</f>
        <v>38349604.938000001</v>
      </c>
      <c r="AF623" s="15" t="s">
        <v>52</v>
      </c>
      <c r="AG623" s="44" cm="1">
        <f t="array" ref="AG623">_xll.BDH(AF623,"FUT_AGGTE_OPEN_INT",A623)</f>
        <v>416217</v>
      </c>
      <c r="AH623" s="44">
        <f t="shared" si="417"/>
        <v>41621700</v>
      </c>
      <c r="AI623" s="48">
        <f t="shared" si="418"/>
        <v>0.92138487707133543</v>
      </c>
      <c r="AK623" s="44" cm="1">
        <f t="array" ref="AK623">_xll.BDH("COMXSILV Comdty","PX_Last", N623)</f>
        <v>495395</v>
      </c>
      <c r="AL623" s="15" t="s">
        <v>53</v>
      </c>
      <c r="AM623" s="47" cm="1">
        <f t="array" ref="AM623">_xll.BDH(AL623,"FUT_AGGTE_OPEN_INT",A623)</f>
        <v>159313</v>
      </c>
      <c r="AN623" s="45">
        <f t="shared" si="419"/>
        <v>621.91409363956484</v>
      </c>
      <c r="AO623" s="46">
        <f t="shared" si="420"/>
        <v>49539500000</v>
      </c>
      <c r="AP623" s="46">
        <f t="shared" si="421"/>
        <v>796565</v>
      </c>
    </row>
    <row r="624" spans="1:42" x14ac:dyDescent="0.2">
      <c r="A624" s="71">
        <v>45811</v>
      </c>
      <c r="B624" s="16" cm="1">
        <f t="array" ref="B624">_xll.BADDPERIODS(A624, "PER=WD", "NUMBEROFPERIODS=2", "BUSDAYADJ=-2", "CDR=GQ", "CDR=P9")</f>
        <v>45813</v>
      </c>
      <c r="C624" s="15" cm="1">
        <f t="array" ref="C624">_xll.BDH("XAU Curncy","PX_LAST",A624,A624)</f>
        <v>3353.43</v>
      </c>
      <c r="D624" s="15" t="str" cm="1">
        <f t="array" ref="D624">_xll.BDP("GCQ5 Comdty",$M$32)</f>
        <v>01/08/2025</v>
      </c>
      <c r="E624" s="15">
        <f t="shared" si="407"/>
        <v>57</v>
      </c>
      <c r="F624" s="23">
        <v>4.5999999999999999E-2</v>
      </c>
      <c r="G624" s="28">
        <f t="shared" si="422"/>
        <v>24.424148499999998</v>
      </c>
      <c r="H624" s="12">
        <v>24.75</v>
      </c>
      <c r="I624" s="110">
        <f t="shared" si="382"/>
        <v>0.3258515000000024</v>
      </c>
      <c r="J624" s="26">
        <v>4</v>
      </c>
      <c r="K624" s="26">
        <v>6</v>
      </c>
      <c r="L624" s="26">
        <v>8</v>
      </c>
      <c r="N624" s="71">
        <v>45811</v>
      </c>
      <c r="O624" s="16" cm="1">
        <f t="array" ref="O624">_xll.BADDPERIODS(N624, "PER=WD", "NUMBEROFPERIODS=2", "BUSDAYADJ=-2", "CDR=GQ", "CDR=P9")</f>
        <v>45813</v>
      </c>
      <c r="P624" s="15" cm="1">
        <f t="array" ref="P624">_xll.BDH("XAG Curncy","PX_LAST",N624,N624)</f>
        <v>34.517600000000002</v>
      </c>
      <c r="Q624" s="15" t="str" cm="1">
        <f t="array" ref="Q624">_xll.BDP("SIN5 Comdty",$M$32)</f>
        <v>01/07/2025</v>
      </c>
      <c r="R624" s="15">
        <f t="shared" si="408"/>
        <v>26</v>
      </c>
      <c r="S624" s="23">
        <v>4.2500000000000003E-2</v>
      </c>
      <c r="T624" s="21">
        <f t="shared" si="320"/>
        <v>0.10594985555555556</v>
      </c>
      <c r="U624" s="12">
        <v>0.17</v>
      </c>
      <c r="V624" s="111">
        <f t="shared" si="390"/>
        <v>6.4050144444444452</v>
      </c>
      <c r="W624" s="15">
        <v>15</v>
      </c>
      <c r="X624" s="15">
        <v>20</v>
      </c>
      <c r="Y624" s="15">
        <v>25</v>
      </c>
      <c r="Z624" s="18">
        <f t="shared" si="414"/>
        <v>10.594985555555555</v>
      </c>
      <c r="AA624" s="18">
        <f t="shared" si="415"/>
        <v>17</v>
      </c>
      <c r="AB624" s="18">
        <f t="shared" si="416"/>
        <v>6.4050144444444452</v>
      </c>
      <c r="AE624" s="44" cm="1">
        <f t="array" ref="AE624">_xll.BDH("COMXGOLD Comdty","PX_Last", N624)</f>
        <v>38327997.118000001</v>
      </c>
      <c r="AF624" s="15" t="s">
        <v>52</v>
      </c>
      <c r="AG624" s="44" cm="1">
        <f t="array" ref="AG624">_xll.BDH(AF624,"FUT_AGGTE_OPEN_INT",A624)</f>
        <v>415941</v>
      </c>
      <c r="AH624" s="44">
        <f t="shared" si="417"/>
        <v>41594100</v>
      </c>
      <c r="AI624" s="48">
        <f t="shared" si="418"/>
        <v>0.92147677478296197</v>
      </c>
      <c r="AK624" s="44" cm="1">
        <f t="array" ref="AK624">_xll.BDH("COMXSILV Comdty","PX_Last", N624)</f>
        <v>495085.22</v>
      </c>
      <c r="AL624" s="15" t="s">
        <v>53</v>
      </c>
      <c r="AM624" s="47" cm="1">
        <f t="array" ref="AM624">_xll.BDH(AL624,"FUT_AGGTE_OPEN_INT",A624)</f>
        <v>163347</v>
      </c>
      <c r="AN624" s="45">
        <f t="shared" si="419"/>
        <v>606.17607914439805</v>
      </c>
      <c r="AO624" s="46">
        <f t="shared" si="420"/>
        <v>49508522000</v>
      </c>
      <c r="AP624" s="46">
        <f t="shared" si="421"/>
        <v>816735</v>
      </c>
    </row>
    <row r="625" spans="1:42" x14ac:dyDescent="0.2">
      <c r="A625" s="71">
        <v>45812</v>
      </c>
      <c r="B625" s="16" cm="1">
        <f t="array" ref="B625">_xll.BADDPERIODS(A625, "PER=WD", "NUMBEROFPERIODS=2", "BUSDAYADJ=-2", "CDR=GQ", "CDR=P9")</f>
        <v>45814</v>
      </c>
      <c r="C625" s="15" cm="1">
        <f t="array" ref="C625">_xll.BDH("XAU Curncy","PX_LAST",A625,A625)</f>
        <v>3372.72</v>
      </c>
      <c r="D625" s="15" t="str" cm="1">
        <f t="array" ref="D625">_xll.BDP("GCQ5 Comdty",$M$32)</f>
        <v>01/08/2025</v>
      </c>
      <c r="E625" s="15">
        <f t="shared" si="407"/>
        <v>56</v>
      </c>
      <c r="F625" s="23">
        <v>4.65E-2</v>
      </c>
      <c r="G625" s="28">
        <f t="shared" si="422"/>
        <v>24.396007999999998</v>
      </c>
      <c r="H625" s="12">
        <v>24.5</v>
      </c>
      <c r="I625" s="110">
        <f t="shared" si="382"/>
        <v>0.10399200000000164</v>
      </c>
      <c r="J625" s="26">
        <v>4</v>
      </c>
      <c r="K625" s="26">
        <v>6</v>
      </c>
      <c r="L625" s="26">
        <v>8</v>
      </c>
      <c r="N625" s="71">
        <v>45812</v>
      </c>
      <c r="O625" s="16" cm="1">
        <f t="array" ref="O625">_xll.BADDPERIODS(N625, "PER=WD", "NUMBEROFPERIODS=2", "BUSDAYADJ=-2", "CDR=GQ", "CDR=P9")</f>
        <v>45814</v>
      </c>
      <c r="P625" s="15" cm="1">
        <f t="array" ref="P625">_xll.BDH("XAG Curncy","PX_LAST",N625,N625)</f>
        <v>34.5045</v>
      </c>
      <c r="Q625" s="15" t="str" cm="1">
        <f t="array" ref="Q625">_xll.BDP("SIN5 Comdty",$M$32)</f>
        <v>01/07/2025</v>
      </c>
      <c r="R625" s="15">
        <f t="shared" si="408"/>
        <v>25</v>
      </c>
      <c r="S625" s="23">
        <v>4.2999999999999997E-2</v>
      </c>
      <c r="T625" s="21">
        <f t="shared" si="320"/>
        <v>0.10303427083333334</v>
      </c>
      <c r="U625" s="12">
        <v>0.16</v>
      </c>
      <c r="V625" s="111">
        <f t="shared" si="390"/>
        <v>5.6965729166666659</v>
      </c>
      <c r="W625" s="15">
        <v>15</v>
      </c>
      <c r="X625" s="15">
        <v>20</v>
      </c>
      <c r="Y625" s="15">
        <v>25</v>
      </c>
      <c r="Z625" s="18">
        <f t="shared" si="414"/>
        <v>10.303427083333334</v>
      </c>
      <c r="AA625" s="18">
        <f t="shared" si="415"/>
        <v>16</v>
      </c>
      <c r="AB625" s="18">
        <f t="shared" si="416"/>
        <v>5.6965729166666659</v>
      </c>
      <c r="AE625" s="44" cm="1">
        <f t="array" ref="AE625">_xll.BDH("COMXGOLD Comdty","PX_Last", N625)</f>
        <v>38353043.550999999</v>
      </c>
      <c r="AF625" s="15" t="s">
        <v>52</v>
      </c>
      <c r="AG625" s="44" cm="1">
        <f t="array" ref="AG625">_xll.BDH(AF625,"FUT_AGGTE_OPEN_INT",A625)</f>
        <v>421218</v>
      </c>
      <c r="AH625" s="44">
        <f t="shared" si="417"/>
        <v>42121800</v>
      </c>
      <c r="AI625" s="48">
        <f t="shared" si="418"/>
        <v>0.91052717478835188</v>
      </c>
      <c r="AK625" s="44" cm="1">
        <f t="array" ref="AK625">_xll.BDH("COMXSILV Comdty","PX_Last", N625)</f>
        <v>495973.59</v>
      </c>
      <c r="AL625" s="15" t="s">
        <v>53</v>
      </c>
      <c r="AM625" s="47" cm="1">
        <f t="array" ref="AM625">_xll.BDH(AL625,"FUT_AGGTE_OPEN_INT",A625)</f>
        <v>166188</v>
      </c>
      <c r="AN625" s="45">
        <f t="shared" si="419"/>
        <v>596.88255469708997</v>
      </c>
      <c r="AO625" s="46">
        <f t="shared" si="420"/>
        <v>49597359000</v>
      </c>
      <c r="AP625" s="46">
        <f t="shared" si="421"/>
        <v>830940</v>
      </c>
    </row>
    <row r="626" spans="1:42" x14ac:dyDescent="0.2">
      <c r="A626" s="71">
        <v>45813</v>
      </c>
      <c r="B626" s="16" cm="1">
        <f t="array" ref="B626">_xll.BADDPERIODS(A626, "PER=WD", "NUMBEROFPERIODS=2", "BUSDAYADJ=-2", "CDR=GQ", "CDR=P9")</f>
        <v>45817</v>
      </c>
      <c r="C626" s="15" cm="1">
        <f t="array" ref="C626">_xll.BDH("XAU Curncy","PX_LAST",A626,A626)</f>
        <v>3352.65</v>
      </c>
      <c r="D626" s="15" t="str" cm="1">
        <f t="array" ref="D626">_xll.BDP("GCQ5 Comdty",$M$32)</f>
        <v>01/08/2025</v>
      </c>
      <c r="E626" s="15">
        <f t="shared" si="407"/>
        <v>53</v>
      </c>
      <c r="F626" s="23">
        <v>4.6300000000000001E-2</v>
      </c>
      <c r="G626" s="28">
        <f t="shared" si="422"/>
        <v>22.852966208333335</v>
      </c>
      <c r="H626" s="12">
        <v>23.5</v>
      </c>
      <c r="I626" s="110">
        <f t="shared" si="382"/>
        <v>0.64703379166666508</v>
      </c>
      <c r="J626" s="26">
        <v>4</v>
      </c>
      <c r="K626" s="26">
        <v>6</v>
      </c>
      <c r="L626" s="26">
        <v>8</v>
      </c>
      <c r="N626" s="71">
        <v>45813</v>
      </c>
      <c r="O626" s="16" cm="1">
        <f t="array" ref="O626">_xll.BADDPERIODS(N626, "PER=WD", "NUMBEROFPERIODS=2", "BUSDAYADJ=-2", "CDR=GQ", "CDR=P9")</f>
        <v>45817</v>
      </c>
      <c r="P626" s="15" cm="1">
        <f t="array" ref="P626">_xll.BDH("XAG Curncy","PX_LAST",N626,N626)</f>
        <v>35.651000000000003</v>
      </c>
      <c r="Q626" s="15" t="str" cm="1">
        <f t="array" ref="Q626">_xll.BDP("SIN5 Comdty",$M$32)</f>
        <v>01/07/2025</v>
      </c>
      <c r="R626" s="15">
        <f t="shared" si="408"/>
        <v>22</v>
      </c>
      <c r="S626" s="23">
        <v>4.2999999999999997E-2</v>
      </c>
      <c r="T626" s="21">
        <f t="shared" si="320"/>
        <v>9.3682905555555557E-2</v>
      </c>
      <c r="U626" s="12">
        <v>0.15</v>
      </c>
      <c r="V626" s="111">
        <f t="shared" si="390"/>
        <v>5.6317094444444438</v>
      </c>
      <c r="W626" s="15">
        <v>15</v>
      </c>
      <c r="X626" s="15">
        <v>20</v>
      </c>
      <c r="Y626" s="15">
        <v>25</v>
      </c>
      <c r="Z626" s="18">
        <f t="shared" si="414"/>
        <v>9.3682905555555553</v>
      </c>
      <c r="AA626" s="18">
        <f t="shared" si="415"/>
        <v>15</v>
      </c>
      <c r="AB626" s="18">
        <f t="shared" si="416"/>
        <v>5.6317094444444438</v>
      </c>
      <c r="AE626" s="44" cm="1">
        <f t="array" ref="AE626">_xll.BDH("COMXGOLD Comdty","PX_Last", N626)</f>
        <v>38299833.641000003</v>
      </c>
      <c r="AF626" s="15" t="s">
        <v>52</v>
      </c>
      <c r="AG626" s="44" cm="1">
        <f t="array" ref="AG626">_xll.BDH(AF626,"FUT_AGGTE_OPEN_INT",A626)</f>
        <v>419653</v>
      </c>
      <c r="AH626" s="44">
        <f t="shared" si="417"/>
        <v>41965300</v>
      </c>
      <c r="AI626" s="48">
        <f t="shared" si="418"/>
        <v>0.91265482770288797</v>
      </c>
      <c r="AK626" s="44" cm="1">
        <f t="array" ref="AK626">_xll.BDH("COMXSILV Comdty","PX_Last", N626)</f>
        <v>495544.19</v>
      </c>
      <c r="AL626" s="15" t="s">
        <v>53</v>
      </c>
      <c r="AM626" s="47" cm="1">
        <f t="array" ref="AM626">_xll.BDH(AL626,"FUT_AGGTE_OPEN_INT",A626)</f>
        <v>171328</v>
      </c>
      <c r="AN626" s="45">
        <f t="shared" si="419"/>
        <v>578.47425989914086</v>
      </c>
      <c r="AO626" s="46">
        <f t="shared" si="420"/>
        <v>49554419000</v>
      </c>
      <c r="AP626" s="46">
        <f t="shared" si="421"/>
        <v>856640</v>
      </c>
    </row>
    <row r="627" spans="1:42" x14ac:dyDescent="0.2">
      <c r="A627" s="71">
        <v>45814</v>
      </c>
      <c r="B627" s="16" cm="1">
        <f t="array" ref="B627">_xll.BADDPERIODS(A627, "PER=WD", "NUMBEROFPERIODS=2", "BUSDAYADJ=-2", "CDR=GQ", "CDR=P9")</f>
        <v>45818</v>
      </c>
      <c r="C627" s="15" cm="1">
        <f t="array" ref="C627">_xll.BDH("XAU Curncy","PX_LAST",A627,A627)</f>
        <v>3310.42</v>
      </c>
      <c r="D627" s="15" t="str" cm="1">
        <f t="array" ref="D627">_xll.BDP("GCQ5 Comdty",$M$32)</f>
        <v>01/08/2025</v>
      </c>
      <c r="E627" s="15">
        <f t="shared" si="407"/>
        <v>52</v>
      </c>
      <c r="F627" s="23">
        <v>4.58E-2</v>
      </c>
      <c r="G627" s="28">
        <f t="shared" si="422"/>
        <v>21.900267422222221</v>
      </c>
      <c r="H627" s="12">
        <v>22</v>
      </c>
      <c r="I627" s="110">
        <f t="shared" si="382"/>
        <v>9.9732577777778886E-2</v>
      </c>
      <c r="J627" s="26">
        <v>4</v>
      </c>
      <c r="K627" s="26">
        <v>6</v>
      </c>
      <c r="L627" s="26">
        <v>8</v>
      </c>
      <c r="N627" s="71">
        <v>45814</v>
      </c>
      <c r="O627" s="16" cm="1">
        <f t="array" ref="O627">_xll.BADDPERIODS(N627, "PER=WD", "NUMBEROFPERIODS=2", "BUSDAYADJ=-2", "CDR=GQ", "CDR=P9")</f>
        <v>45818</v>
      </c>
      <c r="P627" s="15" cm="1">
        <f t="array" ref="P627">_xll.BDH("XAG Curncy","PX_LAST",N627,N627)</f>
        <v>35.977699999999999</v>
      </c>
      <c r="Q627" s="15" t="str" cm="1">
        <f t="array" ref="Q627">_xll.BDP("SIN5 Comdty",$M$32)</f>
        <v>01/07/2025</v>
      </c>
      <c r="R627" s="15">
        <f t="shared" si="408"/>
        <v>21</v>
      </c>
      <c r="S627" s="23">
        <v>3.6999999999999998E-2</v>
      </c>
      <c r="T627" s="21">
        <f t="shared" si="320"/>
        <v>7.7651869166666665E-2</v>
      </c>
      <c r="U627" s="12">
        <v>0.155</v>
      </c>
      <c r="V627" s="111">
        <f t="shared" si="390"/>
        <v>7.7348130833333331</v>
      </c>
      <c r="W627" s="15">
        <v>15</v>
      </c>
      <c r="X627" s="15">
        <v>20</v>
      </c>
      <c r="Y627" s="15">
        <v>25</v>
      </c>
      <c r="Z627" s="18">
        <f t="shared" si="414"/>
        <v>7.7651869166666661</v>
      </c>
      <c r="AA627" s="18">
        <f t="shared" si="415"/>
        <v>15.5</v>
      </c>
      <c r="AB627" s="18">
        <f t="shared" si="416"/>
        <v>7.7348130833333331</v>
      </c>
      <c r="AE627" s="44" cm="1">
        <f t="array" ref="AE627">_xll.BDH("COMXGOLD Comdty","PX_Last", N627)</f>
        <v>38117334.134000003</v>
      </c>
      <c r="AF627" s="15" t="s">
        <v>52</v>
      </c>
      <c r="AG627" s="44" cm="1">
        <f t="array" ref="AG627">_xll.BDH(AF627,"FUT_AGGTE_OPEN_INT",A627)</f>
        <v>415962</v>
      </c>
      <c r="AH627" s="44">
        <f t="shared" si="417"/>
        <v>41596200</v>
      </c>
      <c r="AI627" s="48">
        <f t="shared" si="418"/>
        <v>0.91636577701809308</v>
      </c>
      <c r="AK627" s="44" cm="1">
        <f t="array" ref="AK627">_xll.BDH("COMXSILV Comdty","PX_Last", N627)</f>
        <v>494719.94</v>
      </c>
      <c r="AL627" s="15" t="s">
        <v>53</v>
      </c>
      <c r="AM627" s="47" cm="1">
        <f t="array" ref="AM627">_xll.BDH(AL627,"FUT_AGGTE_OPEN_INT",A627)</f>
        <v>173387</v>
      </c>
      <c r="AN627" s="45">
        <f t="shared" si="419"/>
        <v>570.65401673712563</v>
      </c>
      <c r="AO627" s="46">
        <f t="shared" si="420"/>
        <v>49471994000</v>
      </c>
      <c r="AP627" s="46">
        <f t="shared" si="421"/>
        <v>866935</v>
      </c>
    </row>
    <row r="628" spans="1:42" x14ac:dyDescent="0.2">
      <c r="A628" s="71">
        <v>45817</v>
      </c>
      <c r="B628" s="16" cm="1">
        <f t="array" ref="B628">_xll.BADDPERIODS(A628, "PER=WD", "NUMBEROFPERIODS=2", "BUSDAYADJ=-2", "CDR=GQ", "CDR=P9")</f>
        <v>45819</v>
      </c>
      <c r="C628" s="15" cm="1">
        <f t="array" ref="C628">_xll.BDH("XAU Curncy","PX_LAST",A628,A628)</f>
        <v>3326.19</v>
      </c>
      <c r="D628" s="15" t="str" cm="1">
        <f t="array" ref="D628">_xll.BDP("GCQ5 Comdty",$M$32)</f>
        <v>01/08/2025</v>
      </c>
      <c r="E628" s="15">
        <f t="shared" si="407"/>
        <v>51</v>
      </c>
      <c r="F628" s="23">
        <v>4.58E-2</v>
      </c>
      <c r="G628" s="28">
        <f t="shared" si="422"/>
        <v>21.581429449999998</v>
      </c>
      <c r="H628" s="12">
        <v>21</v>
      </c>
      <c r="I628" s="110">
        <f t="shared" si="382"/>
        <v>-0.58142944999999813</v>
      </c>
      <c r="J628" s="26">
        <v>4</v>
      </c>
      <c r="K628" s="26">
        <v>6</v>
      </c>
      <c r="L628" s="26">
        <v>8</v>
      </c>
      <c r="N628" s="71">
        <v>45817</v>
      </c>
      <c r="O628" s="16" cm="1">
        <f t="array" ref="O628">_xll.BADDPERIODS(N628, "PER=WD", "NUMBEROFPERIODS=2", "BUSDAYADJ=-2", "CDR=GQ", "CDR=P9")</f>
        <v>45819</v>
      </c>
      <c r="P628" s="15" cm="1">
        <f t="array" ref="P628">_xll.BDH("XAG Curncy","PX_LAST",N628,N628)</f>
        <v>36.758400000000002</v>
      </c>
      <c r="Q628" s="15" t="str" cm="1">
        <f t="array" ref="Q628">_xll.BDP("SIN5 Comdty",$M$32)</f>
        <v>01/07/2025</v>
      </c>
      <c r="R628" s="15">
        <f t="shared" si="408"/>
        <v>20</v>
      </c>
      <c r="S628" s="23">
        <v>3.6999999999999998E-2</v>
      </c>
      <c r="T628" s="21">
        <f t="shared" si="320"/>
        <v>7.5558933333333328E-2</v>
      </c>
      <c r="U628" s="12">
        <v>0.155</v>
      </c>
      <c r="V628" s="111">
        <f t="shared" si="390"/>
        <v>7.9441066666666673</v>
      </c>
      <c r="W628" s="15">
        <v>15</v>
      </c>
      <c r="X628" s="15">
        <v>20</v>
      </c>
      <c r="Y628" s="15">
        <v>25</v>
      </c>
      <c r="Z628" s="18">
        <f t="shared" si="414"/>
        <v>7.5558933333333327</v>
      </c>
      <c r="AA628" s="18">
        <f t="shared" si="415"/>
        <v>15.5</v>
      </c>
      <c r="AB628" s="18">
        <f t="shared" si="416"/>
        <v>7.9441066666666673</v>
      </c>
      <c r="AE628" s="44" cm="1">
        <f t="array" ref="AE628">_xll.BDH("COMXGOLD Comdty","PX_Last", N628)</f>
        <v>38098418.673</v>
      </c>
      <c r="AF628" s="15" t="s">
        <v>52</v>
      </c>
      <c r="AG628" s="44" cm="1">
        <f t="array" ref="AG628">_xll.BDH(AF628,"FUT_AGGTE_OPEN_INT",A628)</f>
        <v>414493</v>
      </c>
      <c r="AH628" s="44">
        <f t="shared" si="417"/>
        <v>41449300</v>
      </c>
      <c r="AI628" s="48">
        <f t="shared" si="418"/>
        <v>0.91915710694752384</v>
      </c>
      <c r="AK628" s="44" cm="1">
        <f t="array" ref="AK628">_xll.BDH("COMXSILV Comdty","PX_Last", N628)</f>
        <v>494318.78</v>
      </c>
      <c r="AL628" s="15" t="s">
        <v>53</v>
      </c>
      <c r="AM628" s="47" cm="1">
        <f t="array" ref="AM628">_xll.BDH(AL628,"FUT_AGGTE_OPEN_INT",A628)</f>
        <v>174425</v>
      </c>
      <c r="AN628" s="45">
        <f t="shared" si="419"/>
        <v>566.79808513687829</v>
      </c>
      <c r="AO628" s="46">
        <f t="shared" si="420"/>
        <v>49431878000</v>
      </c>
      <c r="AP628" s="46">
        <f t="shared" si="421"/>
        <v>872125</v>
      </c>
    </row>
    <row r="629" spans="1:42" x14ac:dyDescent="0.2">
      <c r="A629" s="71">
        <v>45818</v>
      </c>
      <c r="B629" s="16" cm="1">
        <f t="array" ref="B629">_xll.BADDPERIODS(A629, "PER=WD", "NUMBEROFPERIODS=2", "BUSDAYADJ=-2", "CDR=GQ", "CDR=P9")</f>
        <v>45820</v>
      </c>
      <c r="C629" s="15" cm="1">
        <f t="array" ref="C629">_xll.BDH("XAU Curncy","PX_LAST",A629,A629)</f>
        <v>3323.69</v>
      </c>
      <c r="D629" s="15" t="str" cm="1">
        <f t="array" ref="D629">_xll.BDP("GCQ5 Comdty",$M$32)</f>
        <v>01/08/2025</v>
      </c>
      <c r="E629" s="15">
        <f t="shared" si="407"/>
        <v>50</v>
      </c>
      <c r="F629" s="23">
        <v>4.5499999999999999E-2</v>
      </c>
      <c r="G629" s="28">
        <f t="shared" si="422"/>
        <v>21.003874305555556</v>
      </c>
      <c r="H629" s="12">
        <v>20.75</v>
      </c>
      <c r="I629" s="110">
        <f t="shared" si="382"/>
        <v>-0.25387430555555568</v>
      </c>
      <c r="J629" s="26">
        <v>4</v>
      </c>
      <c r="K629" s="26">
        <v>6</v>
      </c>
      <c r="L629" s="26">
        <v>8</v>
      </c>
      <c r="N629" s="71">
        <v>45818</v>
      </c>
      <c r="O629" s="16" cm="1">
        <f t="array" ref="O629">_xll.BADDPERIODS(N629, "PER=WD", "NUMBEROFPERIODS=2", "BUSDAYADJ=-2", "CDR=GQ", "CDR=P9")</f>
        <v>45820</v>
      </c>
      <c r="P629" s="15" cm="1">
        <f t="array" ref="P629">_xll.BDH("XAG Curncy","PX_LAST",N629,N629)</f>
        <v>36.534999999999997</v>
      </c>
      <c r="Q629" s="15" t="str" cm="1">
        <f t="array" ref="Q629">_xll.BDP("SIN5 Comdty",$M$32)</f>
        <v>01/07/2025</v>
      </c>
      <c r="R629" s="15">
        <f t="shared" si="408"/>
        <v>19</v>
      </c>
      <c r="S629" s="23">
        <v>3.6999999999999998E-2</v>
      </c>
      <c r="T629" s="21">
        <f t="shared" si="320"/>
        <v>7.1344736111111098E-2</v>
      </c>
      <c r="U629" s="12">
        <v>0.14549999999999999</v>
      </c>
      <c r="V629" s="111">
        <f t="shared" si="390"/>
        <v>7.4155263888888889</v>
      </c>
      <c r="W629" s="15">
        <v>15</v>
      </c>
      <c r="X629" s="15">
        <v>20</v>
      </c>
      <c r="Y629" s="15">
        <v>25</v>
      </c>
      <c r="Z629" s="18">
        <f t="shared" si="414"/>
        <v>7.13447361111111</v>
      </c>
      <c r="AA629" s="18">
        <f t="shared" si="415"/>
        <v>14.549999999999999</v>
      </c>
      <c r="AB629" s="18">
        <f t="shared" si="416"/>
        <v>7.4155263888888889</v>
      </c>
      <c r="AE629" s="44" cm="1">
        <f t="array" ref="AE629">_xll.BDH("COMXGOLD Comdty","PX_Last", N629)</f>
        <v>37929466.431999996</v>
      </c>
      <c r="AF629" s="15" t="s">
        <v>52</v>
      </c>
      <c r="AG629" s="44" cm="1">
        <f t="array" ref="AG629">_xll.BDH(AF629,"FUT_AGGTE_OPEN_INT",A629)</f>
        <v>417143</v>
      </c>
      <c r="AH629" s="44">
        <f t="shared" si="417"/>
        <v>41714300</v>
      </c>
      <c r="AI629" s="48">
        <f t="shared" si="418"/>
        <v>0.90926771951105489</v>
      </c>
      <c r="AK629" s="44" cm="1">
        <f t="array" ref="AK629">_xll.BDH("COMXSILV Comdty","PX_Last", N629)</f>
        <v>495180.44</v>
      </c>
      <c r="AL629" s="15" t="s">
        <v>53</v>
      </c>
      <c r="AM629" s="47" cm="1">
        <f t="array" ref="AM629">_xll.BDH(AL629,"FUT_AGGTE_OPEN_INT",A629)</f>
        <v>174281</v>
      </c>
      <c r="AN629" s="45">
        <f t="shared" si="419"/>
        <v>568.2552200182464</v>
      </c>
      <c r="AO629" s="46">
        <f t="shared" si="420"/>
        <v>49518044000</v>
      </c>
      <c r="AP629" s="46">
        <f t="shared" si="421"/>
        <v>871405</v>
      </c>
    </row>
    <row r="630" spans="1:42" x14ac:dyDescent="0.2">
      <c r="A630" s="71">
        <v>45819</v>
      </c>
      <c r="B630" s="16" cm="1">
        <f t="array" ref="B630">_xll.BADDPERIODS(A630, "PER=WD", "NUMBEROFPERIODS=2", "BUSDAYADJ=-2", "CDR=GQ", "CDR=P9")</f>
        <v>45821</v>
      </c>
      <c r="C630" s="15" cm="1">
        <f t="array" ref="C630">_xll.BDH("XAU Curncy","PX_LAST",A630,A630)</f>
        <v>3355.12</v>
      </c>
      <c r="D630" s="15" t="str" cm="1">
        <f t="array" ref="D630">_xll.BDP("GCQ5 Comdty",$M$32)</f>
        <v>01/08/2025</v>
      </c>
      <c r="E630" s="15">
        <f t="shared" si="407"/>
        <v>49</v>
      </c>
      <c r="F630" s="23">
        <v>4.5199999999999997E-2</v>
      </c>
      <c r="G630" s="28">
        <f t="shared" si="422"/>
        <v>20.641443822222218</v>
      </c>
      <c r="H630" s="12">
        <v>20.75</v>
      </c>
      <c r="I630" s="110">
        <f t="shared" si="382"/>
        <v>0.10855617777778193</v>
      </c>
      <c r="J630" s="26">
        <v>4</v>
      </c>
      <c r="K630" s="26">
        <v>6</v>
      </c>
      <c r="L630" s="26">
        <v>8</v>
      </c>
      <c r="N630" s="71">
        <v>45819</v>
      </c>
      <c r="O630" s="16" cm="1">
        <f t="array" ref="O630">_xll.BADDPERIODS(N630, "PER=WD", "NUMBEROFPERIODS=2", "BUSDAYADJ=-2", "CDR=GQ", "CDR=P9")</f>
        <v>45821</v>
      </c>
      <c r="P630" s="15" cm="1">
        <f t="array" ref="P630">_xll.BDH("XAG Curncy","PX_LAST",N630,N630)</f>
        <v>36.2547</v>
      </c>
      <c r="Q630" s="15" t="str" cm="1">
        <f t="array" ref="Q630">_xll.BDP("SIN5 Comdty",$M$32)</f>
        <v>01/07/2025</v>
      </c>
      <c r="R630" s="15">
        <f t="shared" si="408"/>
        <v>18</v>
      </c>
      <c r="S630" s="23">
        <v>3.6499999999999998E-2</v>
      </c>
      <c r="T630" s="21">
        <f t="shared" si="320"/>
        <v>6.6164827499999995E-2</v>
      </c>
      <c r="U630" s="12">
        <v>0.125</v>
      </c>
      <c r="V630" s="111">
        <f t="shared" si="390"/>
        <v>5.8835172500000006</v>
      </c>
      <c r="W630" s="15">
        <v>15</v>
      </c>
      <c r="X630" s="15">
        <v>20</v>
      </c>
      <c r="Y630" s="15">
        <v>25</v>
      </c>
      <c r="Z630" s="18">
        <f t="shared" si="414"/>
        <v>6.6164827499999994</v>
      </c>
      <c r="AA630" s="18">
        <f t="shared" si="415"/>
        <v>12.5</v>
      </c>
      <c r="AB630" s="18">
        <f t="shared" si="416"/>
        <v>5.8835172500000006</v>
      </c>
      <c r="AE630" s="44" cm="1">
        <f t="array" ref="AE630">_xll.BDH("COMXGOLD Comdty","PX_Last", N630)</f>
        <v>37929466.431999996</v>
      </c>
      <c r="AF630" s="15" t="s">
        <v>52</v>
      </c>
      <c r="AG630" s="44" cm="1">
        <f t="array" ref="AG630">_xll.BDH(AF630,"FUT_AGGTE_OPEN_INT",A630)</f>
        <v>423276</v>
      </c>
      <c r="AH630" s="44">
        <f t="shared" si="417"/>
        <v>42327600</v>
      </c>
      <c r="AI630" s="48">
        <f t="shared" si="418"/>
        <v>0.89609300862794006</v>
      </c>
      <c r="AK630" s="44" cm="1">
        <f t="array" ref="AK630">_xll.BDH("COMXSILV Comdty","PX_Last", N630)</f>
        <v>497946.19</v>
      </c>
      <c r="AL630" s="15" t="s">
        <v>53</v>
      </c>
      <c r="AM630" s="47" cm="1">
        <f t="array" ref="AM630">_xll.BDH(AL630,"FUT_AGGTE_OPEN_INT",A630)</f>
        <v>176141</v>
      </c>
      <c r="AN630" s="45">
        <f t="shared" si="419"/>
        <v>565.39498469975752</v>
      </c>
      <c r="AO630" s="46">
        <f t="shared" si="420"/>
        <v>49794619000</v>
      </c>
      <c r="AP630" s="46">
        <f t="shared" si="421"/>
        <v>880705</v>
      </c>
    </row>
    <row r="631" spans="1:42" x14ac:dyDescent="0.2">
      <c r="A631" s="71">
        <v>45821</v>
      </c>
      <c r="B631" s="16" cm="1">
        <f t="array" ref="B631">_xll.BADDPERIODS(A631, "PER=WD", "NUMBEROFPERIODS=2", "BUSDAYADJ=-2", "CDR=GQ", "CDR=P9")</f>
        <v>45825</v>
      </c>
      <c r="C631" s="15" cm="1">
        <f t="array" ref="C631">_xll.BDH("XAU Curncy","PX_LAST",A631,A631)</f>
        <v>3432.34</v>
      </c>
      <c r="D631" s="15" t="str" cm="1">
        <f t="array" ref="D631">_xll.BDP("GCQ5 Comdty",$M$32)</f>
        <v>01/08/2025</v>
      </c>
      <c r="E631" s="15">
        <f t="shared" si="407"/>
        <v>45</v>
      </c>
      <c r="F631" s="23">
        <v>4.4999999999999998E-2</v>
      </c>
      <c r="G631" s="28">
        <f t="shared" si="422"/>
        <v>19.306912499999999</v>
      </c>
      <c r="H631" s="12">
        <v>20.75</v>
      </c>
      <c r="I631" s="110">
        <f t="shared" si="382"/>
        <v>1.4430875000000007</v>
      </c>
      <c r="J631" s="26">
        <v>4</v>
      </c>
      <c r="K631" s="26">
        <v>6</v>
      </c>
      <c r="L631" s="26">
        <v>8</v>
      </c>
      <c r="N631" s="71">
        <v>45821</v>
      </c>
      <c r="O631" s="16" cm="1">
        <f t="array" ref="O631">_xll.BADDPERIODS(N631, "PER=WD", "NUMBEROFPERIODS=2", "BUSDAYADJ=-2", "CDR=GQ", "CDR=P9")</f>
        <v>45825</v>
      </c>
      <c r="P631" s="15" cm="1">
        <f t="array" ref="P631">_xll.BDH("XAG Curncy","PX_LAST",N631,N631)</f>
        <v>36.302900000000001</v>
      </c>
      <c r="Q631" s="15" t="str" cm="1">
        <f t="array" ref="Q631">_xll.BDP("SIN5 Comdty",$M$32)</f>
        <v>01/07/2025</v>
      </c>
      <c r="R631" s="15">
        <f t="shared" si="408"/>
        <v>14</v>
      </c>
      <c r="S631" s="23">
        <v>3.1E-2</v>
      </c>
      <c r="T631" s="21">
        <f t="shared" si="320"/>
        <v>4.3765162777777776E-2</v>
      </c>
      <c r="U631" s="12">
        <v>6.5000000000000002E-2</v>
      </c>
      <c r="V631" s="111">
        <f t="shared" si="390"/>
        <v>2.1234837222222227</v>
      </c>
      <c r="W631" s="15">
        <v>15</v>
      </c>
      <c r="X631" s="15">
        <v>20</v>
      </c>
      <c r="Y631" s="15">
        <v>25</v>
      </c>
      <c r="Z631" s="18">
        <f t="shared" si="414"/>
        <v>4.3765162777777773</v>
      </c>
      <c r="AA631" s="18">
        <f t="shared" si="415"/>
        <v>6.5</v>
      </c>
      <c r="AB631" s="18">
        <f t="shared" si="416"/>
        <v>2.1234837222222227</v>
      </c>
      <c r="AE631" s="44" cm="1">
        <f t="array" ref="AE631">_xll.BDH("COMXGOLD Comdty","PX_Last", N631)</f>
        <v>37789751.542999998</v>
      </c>
      <c r="AF631" s="15" t="s">
        <v>52</v>
      </c>
      <c r="AG631" s="44" cm="1">
        <f t="array" ref="AG631">_xll.BDH(AF631,"FUT_AGGTE_OPEN_INT",A631)</f>
        <v>439674</v>
      </c>
      <c r="AH631" s="44">
        <f t="shared" si="417"/>
        <v>43967400</v>
      </c>
      <c r="AI631" s="48">
        <f t="shared" si="418"/>
        <v>0.85949479712241339</v>
      </c>
      <c r="AK631" s="44" cm="1">
        <f t="array" ref="AK631">_xll.BDH("COMXSILV Comdty","PX_Last", N631)</f>
        <v>498460</v>
      </c>
      <c r="AL631" s="15" t="s">
        <v>53</v>
      </c>
      <c r="AM631" s="47" cm="1">
        <f t="array" ref="AM631">_xll.BDH(AL631,"FUT_AGGTE_OPEN_INT",A631)</f>
        <v>179955</v>
      </c>
      <c r="AN631" s="45">
        <f t="shared" si="419"/>
        <v>553.98294017948933</v>
      </c>
      <c r="AO631" s="46">
        <f t="shared" si="420"/>
        <v>49846000000</v>
      </c>
      <c r="AP631" s="46">
        <f t="shared" si="421"/>
        <v>899775</v>
      </c>
    </row>
    <row r="632" spans="1:42" x14ac:dyDescent="0.2">
      <c r="A632" s="71">
        <v>45824</v>
      </c>
      <c r="B632" s="16" cm="1">
        <f t="array" ref="B632">_xll.BADDPERIODS(A632, "PER=WD", "NUMBEROFPERIODS=2", "BUSDAYADJ=-2", "CDR=GQ", "CDR=P9")</f>
        <v>45826</v>
      </c>
      <c r="C632" s="15" cm="1">
        <f t="array" ref="C632">_xll.BDH("XAU Curncy","PX_LAST",A632,A632)</f>
        <v>3385.23</v>
      </c>
      <c r="D632" s="15" t="str" cm="1">
        <f t="array" ref="D632">_xll.BDP("GCQ5 Comdty",$M$32)</f>
        <v>01/08/2025</v>
      </c>
      <c r="E632" s="15">
        <f t="shared" si="407"/>
        <v>44</v>
      </c>
      <c r="F632" s="23">
        <v>4.4999999999999998E-2</v>
      </c>
      <c r="G632" s="28">
        <f t="shared" si="422"/>
        <v>18.618765</v>
      </c>
      <c r="H632" s="12">
        <v>19.75</v>
      </c>
      <c r="I632" s="110">
        <f t="shared" si="382"/>
        <v>1.1312350000000002</v>
      </c>
      <c r="J632" s="26">
        <v>4</v>
      </c>
      <c r="K632" s="26">
        <v>6</v>
      </c>
      <c r="L632" s="26">
        <v>8</v>
      </c>
      <c r="N632" s="71">
        <v>45824</v>
      </c>
      <c r="O632" s="16" cm="1">
        <f t="array" ref="O632">_xll.BADDPERIODS(N632, "PER=WD", "NUMBEROFPERIODS=2", "BUSDAYADJ=-2", "CDR=GQ", "CDR=P9")</f>
        <v>45826</v>
      </c>
      <c r="P632" s="15" cm="1">
        <f t="array" ref="P632">_xll.BDH("XAG Curncy","PX_LAST",N632,N632)</f>
        <v>36.313200000000002</v>
      </c>
      <c r="Q632" s="15" t="str" cm="1">
        <f t="array" ref="Q632">_xll.BDP("SIN5 Comdty",$M$32)</f>
        <v>01/07/2025</v>
      </c>
      <c r="R632" s="15">
        <f t="shared" si="408"/>
        <v>13</v>
      </c>
      <c r="S632" s="23">
        <v>3.1E-2</v>
      </c>
      <c r="T632" s="21">
        <f t="shared" si="320"/>
        <v>4.0650609999999997E-2</v>
      </c>
      <c r="U632" s="12">
        <v>0.08</v>
      </c>
      <c r="V632" s="111">
        <f t="shared" si="390"/>
        <v>3.9349390000000004</v>
      </c>
      <c r="W632" s="15">
        <v>15</v>
      </c>
      <c r="X632" s="15">
        <v>20</v>
      </c>
      <c r="Y632" s="15">
        <v>25</v>
      </c>
      <c r="Z632" s="18">
        <f t="shared" si="414"/>
        <v>4.065061</v>
      </c>
      <c r="AA632" s="18">
        <f t="shared" si="415"/>
        <v>8</v>
      </c>
      <c r="AB632" s="18">
        <f t="shared" si="416"/>
        <v>3.9349390000000004</v>
      </c>
      <c r="AE632" s="44" cm="1">
        <f t="array" ref="AE632">_xll.BDH("COMXGOLD Comdty","PX_Last", N632)</f>
        <v>37796893.211000003</v>
      </c>
      <c r="AF632" s="15" t="s">
        <v>52</v>
      </c>
      <c r="AG632" s="44" cm="1">
        <f t="array" ref="AG632">_xll.BDH(AF632,"FUT_AGGTE_OPEN_INT",A632)</f>
        <v>439321</v>
      </c>
      <c r="AH632" s="44">
        <f t="shared" si="417"/>
        <v>43932100</v>
      </c>
      <c r="AI632" s="48">
        <f t="shared" si="418"/>
        <v>0.86034797360016946</v>
      </c>
      <c r="AK632" s="44" cm="1">
        <f t="array" ref="AK632">_xll.BDH("COMXSILV Comdty","PX_Last", N632)</f>
        <v>497510.53</v>
      </c>
      <c r="AL632" s="15" t="s">
        <v>53</v>
      </c>
      <c r="AM632" s="47" cm="1">
        <f t="array" ref="AM632">_xll.BDH(AL632,"FUT_AGGTE_OPEN_INT",A632)</f>
        <v>180582</v>
      </c>
      <c r="AN632" s="45">
        <f t="shared" si="419"/>
        <v>551.00788561429158</v>
      </c>
      <c r="AO632" s="46">
        <f t="shared" si="420"/>
        <v>49751053000</v>
      </c>
      <c r="AP632" s="46">
        <f t="shared" si="421"/>
        <v>902910</v>
      </c>
    </row>
    <row r="633" spans="1:42" x14ac:dyDescent="0.2">
      <c r="A633" s="71">
        <v>45825</v>
      </c>
      <c r="B633" s="16" cm="1">
        <f t="array" ref="B633">_xll.BADDPERIODS(A633, "PER=WD", "NUMBEROFPERIODS=2", "BUSDAYADJ=-2", "CDR=GQ", "CDR=P9")</f>
        <v>45828</v>
      </c>
      <c r="C633" s="15" cm="1">
        <f t="array" ref="C633">_xll.BDH("XAU Curncy","PX_LAST",A633,A633)</f>
        <v>3388.11</v>
      </c>
      <c r="D633" s="15" t="str" cm="1">
        <f t="array" ref="D633">_xll.BDP("GCQ5 Comdty",$M$32)</f>
        <v>01/08/2025</v>
      </c>
      <c r="E633" s="15">
        <f t="shared" si="407"/>
        <v>42</v>
      </c>
      <c r="F633" s="23">
        <v>4.5499999999999999E-2</v>
      </c>
      <c r="G633" s="28">
        <f t="shared" si="422"/>
        <v>17.985217250000002</v>
      </c>
      <c r="H633" s="12">
        <v>18.5</v>
      </c>
      <c r="I633" s="110">
        <f t="shared" ref="I633:I697" si="423">H633-G633</f>
        <v>0.5147827499999984</v>
      </c>
      <c r="J633" s="26">
        <v>4</v>
      </c>
      <c r="K633" s="26">
        <v>6</v>
      </c>
      <c r="L633" s="26">
        <v>8</v>
      </c>
      <c r="N633" s="71">
        <v>45825</v>
      </c>
      <c r="O633" s="16" cm="1">
        <f t="array" ref="O633">_xll.BADDPERIODS(N633, "PER=WD", "NUMBEROFPERIODS=2", "BUSDAYADJ=-2", "CDR=GQ", "CDR=P9")</f>
        <v>45828</v>
      </c>
      <c r="P633" s="15" cm="1">
        <f t="array" ref="P633">_xll.BDH("XAG Curncy","PX_LAST",N633,N633)</f>
        <v>37.107900000000001</v>
      </c>
      <c r="Q633" s="15" t="str" cm="1">
        <f t="array" ref="Q633">_xll.BDP("SIN5 Comdty",$M$32)</f>
        <v>01/07/2025</v>
      </c>
      <c r="R633" s="15">
        <f t="shared" si="408"/>
        <v>11</v>
      </c>
      <c r="S633" s="23">
        <v>3.1E-2</v>
      </c>
      <c r="T633" s="21">
        <f t="shared" ref="T633:T667" si="424">P633*(R633/360)*S633</f>
        <v>3.5149427499999997E-2</v>
      </c>
      <c r="U633" s="12">
        <v>0.06</v>
      </c>
      <c r="V633" s="111">
        <f t="shared" si="390"/>
        <v>2.4850572500000001</v>
      </c>
      <c r="W633" s="15">
        <v>15</v>
      </c>
      <c r="X633" s="15">
        <v>20</v>
      </c>
      <c r="Y633" s="15">
        <v>25</v>
      </c>
      <c r="Z633" s="18">
        <f t="shared" si="414"/>
        <v>3.5149427499999994</v>
      </c>
      <c r="AA633" s="18">
        <f t="shared" si="415"/>
        <v>6</v>
      </c>
      <c r="AB633" s="18">
        <f t="shared" si="416"/>
        <v>2.4850572500000001</v>
      </c>
      <c r="AE633" s="44" cm="1">
        <f t="array" ref="AE633">_xll.BDH("COMXGOLD Comdty","PX_Last", N633)</f>
        <v>37784468.991999999</v>
      </c>
      <c r="AF633" s="15" t="s">
        <v>52</v>
      </c>
      <c r="AG633" s="44" cm="1">
        <f t="array" ref="AG633">_xll.BDH(AF633,"FUT_AGGTE_OPEN_INT",A633)</f>
        <v>441214</v>
      </c>
      <c r="AH633" s="44">
        <f t="shared" si="417"/>
        <v>44121400</v>
      </c>
      <c r="AI633" s="48">
        <f t="shared" si="418"/>
        <v>0.85637511484223072</v>
      </c>
      <c r="AK633" s="44" cm="1">
        <f t="array" ref="AK633">_xll.BDH("COMXSILV Comdty","PX_Last", N633)</f>
        <v>496583.13</v>
      </c>
      <c r="AL633" s="15" t="s">
        <v>53</v>
      </c>
      <c r="AM633" s="47" cm="1">
        <f t="array" ref="AM633">_xll.BDH(AL633,"FUT_AGGTE_OPEN_INT",A633)</f>
        <v>184831</v>
      </c>
      <c r="AN633" s="45">
        <f t="shared" si="419"/>
        <v>537.33749208736629</v>
      </c>
      <c r="AO633" s="46">
        <f t="shared" si="420"/>
        <v>49658313000</v>
      </c>
      <c r="AP633" s="46">
        <f t="shared" si="421"/>
        <v>924155</v>
      </c>
    </row>
    <row r="634" spans="1:42" x14ac:dyDescent="0.2">
      <c r="A634" s="71">
        <v>45826</v>
      </c>
      <c r="B634" s="16" cm="1">
        <f t="array" ref="B634">_xll.BADDPERIODS(A634, "PER=WD", "NUMBEROFPERIODS=2", "BUSDAYADJ=-2", "CDR=GQ", "CDR=P9")</f>
        <v>45831</v>
      </c>
      <c r="C634" s="15" cm="1">
        <f t="array" ref="C634">_xll.BDH("XAU Curncy","PX_LAST",A634,A634)</f>
        <v>3369.38</v>
      </c>
      <c r="D634" s="15" t="str" cm="1">
        <f t="array" ref="D634">_xll.BDP("GCQ5 Comdty",$M$32)</f>
        <v>01/08/2025</v>
      </c>
      <c r="E634" s="15">
        <f t="shared" si="407"/>
        <v>39</v>
      </c>
      <c r="F634" s="23">
        <v>4.5499999999999999E-2</v>
      </c>
      <c r="G634" s="28">
        <f t="shared" si="422"/>
        <v>16.608235583333332</v>
      </c>
      <c r="H634" s="12">
        <v>18.5</v>
      </c>
      <c r="I634" s="110">
        <f t="shared" si="423"/>
        <v>1.8917644166666676</v>
      </c>
      <c r="J634" s="26">
        <v>4</v>
      </c>
      <c r="K634" s="26">
        <v>6</v>
      </c>
      <c r="L634" s="26">
        <v>8</v>
      </c>
      <c r="N634" s="71">
        <v>45826</v>
      </c>
      <c r="O634" s="16" cm="1">
        <f t="array" ref="O634">_xll.BADDPERIODS(N634, "PER=WD", "NUMBEROFPERIODS=2", "BUSDAYADJ=-2", "CDR=GQ", "CDR=P9")</f>
        <v>45831</v>
      </c>
      <c r="P634" s="15" cm="1">
        <f t="array" ref="P634">_xll.BDH("XAG Curncy","PX_LAST",N634,N634)</f>
        <v>36.734699999999997</v>
      </c>
      <c r="Q634" s="15" t="str" cm="1">
        <f t="array" ref="Q634">_xll.BDP("SIN5 Comdty",$M$32)</f>
        <v>01/07/2025</v>
      </c>
      <c r="R634" s="15">
        <f t="shared" si="408"/>
        <v>8</v>
      </c>
      <c r="S634" s="23">
        <v>3.1E-2</v>
      </c>
      <c r="T634" s="21">
        <f t="shared" si="424"/>
        <v>2.5306126666666665E-2</v>
      </c>
      <c r="U634" s="12">
        <v>7.0000000000000007E-2</v>
      </c>
      <c r="V634" s="111">
        <f t="shared" ref="V634:V667" si="425">100*(U634-T634)</f>
        <v>4.4693873333333345</v>
      </c>
      <c r="W634" s="15">
        <v>15</v>
      </c>
      <c r="X634" s="15">
        <v>20</v>
      </c>
      <c r="Y634" s="15">
        <v>25</v>
      </c>
      <c r="Z634" s="18">
        <f t="shared" si="414"/>
        <v>2.5306126666666664</v>
      </c>
      <c r="AA634" s="18">
        <f t="shared" si="415"/>
        <v>7.0000000000000009</v>
      </c>
      <c r="AB634" s="18">
        <f t="shared" si="416"/>
        <v>4.4693873333333345</v>
      </c>
      <c r="AE634" s="44" cm="1">
        <f t="array" ref="AE634">_xll.BDH("COMXGOLD Comdty","PX_Last", N634)</f>
        <v>37784179.633000001</v>
      </c>
      <c r="AF634" s="15" t="s">
        <v>52</v>
      </c>
      <c r="AG634" s="44" cm="1">
        <f t="array" ref="AG634">_xll.BDH(AF634,"FUT_AGGTE_OPEN_INT",A634)</f>
        <v>448319</v>
      </c>
      <c r="AH634" s="44">
        <f t="shared" si="417"/>
        <v>44831900</v>
      </c>
      <c r="AI634" s="48">
        <f t="shared" si="418"/>
        <v>0.84279675037194501</v>
      </c>
      <c r="AK634" s="44" cm="1">
        <f t="array" ref="AK634">_xll.BDH("COMXSILV Comdty","PX_Last", N634)</f>
        <v>495735.09</v>
      </c>
      <c r="AL634" s="15" t="s">
        <v>53</v>
      </c>
      <c r="AM634" s="47" cm="1">
        <f t="array" ref="AM634">_xll.BDH(AL634,"FUT_AGGTE_OPEN_INT",A634)</f>
        <v>184509</v>
      </c>
      <c r="AN634" s="45">
        <f t="shared" si="419"/>
        <v>537.35599889436287</v>
      </c>
      <c r="AO634" s="46">
        <f t="shared" si="420"/>
        <v>49573509000</v>
      </c>
      <c r="AP634" s="46">
        <f t="shared" si="421"/>
        <v>922545</v>
      </c>
    </row>
    <row r="635" spans="1:42" x14ac:dyDescent="0.2">
      <c r="A635" s="71">
        <v>45828</v>
      </c>
      <c r="B635" s="16" cm="1">
        <f t="array" ref="B635">_xll.BADDPERIODS(A635, "PER=WD", "NUMBEROFPERIODS=2", "BUSDAYADJ=-2", "CDR=GQ", "CDR=P9")</f>
        <v>45832</v>
      </c>
      <c r="C635" s="15" cm="1">
        <f t="array" ref="C635">_xll.BDH("XAU Curncy","PX_LAST",A635,A635)</f>
        <v>3368.39</v>
      </c>
      <c r="D635" s="15" t="str" cm="1">
        <f t="array" ref="D635">_xll.BDP("GCQ5 Comdty",$M$32)</f>
        <v>01/08/2025</v>
      </c>
      <c r="E635" s="15">
        <f t="shared" si="407"/>
        <v>38</v>
      </c>
      <c r="F635" s="23">
        <v>4.5999999999999999E-2</v>
      </c>
      <c r="G635" s="28">
        <f t="shared" si="422"/>
        <v>16.355404777777778</v>
      </c>
      <c r="H635" s="12">
        <v>16</v>
      </c>
      <c r="I635" s="110">
        <f t="shared" si="423"/>
        <v>-0.35540477777777824</v>
      </c>
      <c r="J635" s="26">
        <v>4</v>
      </c>
      <c r="K635" s="26">
        <v>6</v>
      </c>
      <c r="L635" s="26">
        <v>8</v>
      </c>
      <c r="N635" s="71">
        <v>45828</v>
      </c>
      <c r="O635" s="16" cm="1">
        <f t="array" ref="O635">_xll.BADDPERIODS(N635, "PER=WD", "NUMBEROFPERIODS=2", "BUSDAYADJ=-2", "CDR=GQ", "CDR=P9")</f>
        <v>45832</v>
      </c>
      <c r="P635" s="15" cm="1">
        <f t="array" ref="P635">_xll.BDH("XAG Curncy","PX_LAST",N635,N635)</f>
        <v>36.0105</v>
      </c>
      <c r="Q635" s="15" t="str" cm="1">
        <f t="array" ref="Q635">_xll.BDP("SIN5 Comdty",$M$32)</f>
        <v>01/07/2025</v>
      </c>
      <c r="R635" s="15">
        <f t="shared" si="408"/>
        <v>7</v>
      </c>
      <c r="S635" s="23">
        <v>3.2000000000000001E-2</v>
      </c>
      <c r="T635" s="21">
        <f t="shared" si="424"/>
        <v>2.2406533333333336E-2</v>
      </c>
      <c r="U635" s="12">
        <v>0.01</v>
      </c>
      <c r="V635" s="111">
        <f t="shared" si="425"/>
        <v>-1.2406533333333336</v>
      </c>
      <c r="W635" s="15">
        <v>15</v>
      </c>
      <c r="X635" s="15">
        <v>20</v>
      </c>
      <c r="Y635" s="15">
        <v>25</v>
      </c>
      <c r="Z635" s="18">
        <f t="shared" si="414"/>
        <v>2.2406533333333334</v>
      </c>
      <c r="AA635" s="18">
        <f t="shared" si="415"/>
        <v>1</v>
      </c>
      <c r="AB635" s="18">
        <f t="shared" si="416"/>
        <v>-1.2406533333333336</v>
      </c>
      <c r="AE635" s="44" cm="1">
        <f t="array" ref="AE635">_xll.BDH("COMXGOLD Comdty","PX_Last", N635)</f>
        <v>37573555.405000001</v>
      </c>
      <c r="AF635" s="15" t="s">
        <v>52</v>
      </c>
      <c r="AG635" s="44" cm="1">
        <f t="array" ref="AG635">_xll.BDH(AF635,"FUT_AGGTE_OPEN_INT",A635)</f>
        <v>440107</v>
      </c>
      <c r="AH635" s="44">
        <f t="shared" si="417"/>
        <v>44010700</v>
      </c>
      <c r="AI635" s="48">
        <f t="shared" si="418"/>
        <v>0.85373682774870663</v>
      </c>
      <c r="AK635" s="44" cm="1">
        <f t="array" ref="AK635">_xll.BDH("COMXSILV Comdty","PX_Last", N635)</f>
        <v>495467.09</v>
      </c>
      <c r="AL635" s="15" t="s">
        <v>53</v>
      </c>
      <c r="AM635" s="47" cm="1">
        <f t="array" ref="AM635">_xll.BDH(AL635,"FUT_AGGTE_OPEN_INT",A635)</f>
        <v>183316</v>
      </c>
      <c r="AN635" s="45">
        <f t="shared" si="419"/>
        <v>540.56066028060832</v>
      </c>
      <c r="AO635" s="46">
        <f t="shared" si="420"/>
        <v>49546709000</v>
      </c>
      <c r="AP635" s="46">
        <f t="shared" si="421"/>
        <v>916580</v>
      </c>
    </row>
    <row r="636" spans="1:42" x14ac:dyDescent="0.2">
      <c r="A636" s="71">
        <v>45831</v>
      </c>
      <c r="B636" s="16" cm="1">
        <f t="array" ref="B636">_xll.BADDPERIODS(A636, "PER=WD", "NUMBEROFPERIODS=2", "BUSDAYADJ=-2", "CDR=GQ", "CDR=P9")</f>
        <v>45833</v>
      </c>
      <c r="C636" s="15" cm="1">
        <f t="array" ref="C636">_xll.BDH("XAU Curncy","PX_LAST",A636,A636)</f>
        <v>3368.48</v>
      </c>
      <c r="D636" s="15" t="str" cm="1">
        <f t="array" ref="D636">_xll.BDP("GCQ5 Comdty",$M$32)</f>
        <v>01/08/2025</v>
      </c>
      <c r="E636" s="15">
        <f t="shared" si="407"/>
        <v>37</v>
      </c>
      <c r="F636" s="23">
        <v>4.5999999999999999E-2</v>
      </c>
      <c r="G636" s="28">
        <f t="shared" si="422"/>
        <v>15.925424888888889</v>
      </c>
      <c r="H636" s="12">
        <v>15.75</v>
      </c>
      <c r="I636" s="110">
        <f t="shared" si="423"/>
        <v>-0.17542488888888919</v>
      </c>
      <c r="J636" s="26">
        <v>4</v>
      </c>
      <c r="K636" s="26">
        <v>6</v>
      </c>
      <c r="L636" s="26">
        <v>8</v>
      </c>
      <c r="N636" s="71">
        <v>45831</v>
      </c>
      <c r="O636" s="16" cm="1">
        <f t="array" ref="O636">_xll.BADDPERIODS(N636, "PER=WD", "NUMBEROFPERIODS=2", "BUSDAYADJ=-2", "CDR=GQ", "CDR=P9")</f>
        <v>45833</v>
      </c>
      <c r="P636" s="15" cm="1">
        <f t="array" ref="P636">_xll.BDH("XAG Curncy","PX_LAST",N636,N636)</f>
        <v>36.099699999999999</v>
      </c>
      <c r="Q636" s="15" t="str" cm="1">
        <f t="array" ref="Q636">_xll.BDP("SIN5 Comdty",$M$32)</f>
        <v>01/07/2025</v>
      </c>
      <c r="R636" s="15">
        <f t="shared" si="408"/>
        <v>6</v>
      </c>
      <c r="S636" s="23">
        <v>3.5000000000000003E-2</v>
      </c>
      <c r="T636" s="21">
        <f t="shared" si="424"/>
        <v>2.1058158333333334E-2</v>
      </c>
      <c r="U636" s="12">
        <v>0.04</v>
      </c>
      <c r="V636" s="111">
        <f t="shared" si="425"/>
        <v>1.8941841666666668</v>
      </c>
      <c r="W636" s="15">
        <v>15</v>
      </c>
      <c r="X636" s="15">
        <v>20</v>
      </c>
      <c r="Y636" s="15">
        <v>25</v>
      </c>
      <c r="Z636" s="18">
        <f t="shared" si="414"/>
        <v>2.1058158333333332</v>
      </c>
      <c r="AA636" s="18">
        <f t="shared" si="415"/>
        <v>4</v>
      </c>
      <c r="AB636" s="18">
        <f t="shared" si="416"/>
        <v>1.8941841666666668</v>
      </c>
      <c r="AE636" s="44" cm="1">
        <f t="array" ref="AE636">_xll.BDH("COMXGOLD Comdty","PX_Last", N636)</f>
        <v>37560727.156000003</v>
      </c>
      <c r="AF636" s="15" t="s">
        <v>52</v>
      </c>
      <c r="AG636" s="44" cm="1">
        <f t="array" ref="AG636">_xll.BDH(AF636,"FUT_AGGTE_OPEN_INT",A636)</f>
        <v>440905</v>
      </c>
      <c r="AH636" s="44">
        <f t="shared" si="417"/>
        <v>44090500</v>
      </c>
      <c r="AI636" s="48">
        <f t="shared" si="418"/>
        <v>0.85190068509089267</v>
      </c>
      <c r="AK636" s="44" cm="1">
        <f t="array" ref="AK636">_xll.BDH("COMXSILV Comdty","PX_Last", N636)</f>
        <v>498389.69</v>
      </c>
      <c r="AL636" s="15" t="s">
        <v>53</v>
      </c>
      <c r="AM636" s="47" cm="1">
        <f t="array" ref="AM636">_xll.BDH(AL636,"FUT_AGGTE_OPEN_INT",A636)</f>
        <v>180604</v>
      </c>
      <c r="AN636" s="45">
        <f t="shared" si="419"/>
        <v>551.91434298243666</v>
      </c>
      <c r="AO636" s="46">
        <f t="shared" si="420"/>
        <v>49838969000</v>
      </c>
      <c r="AP636" s="46">
        <f t="shared" si="421"/>
        <v>903020</v>
      </c>
    </row>
    <row r="637" spans="1:42" x14ac:dyDescent="0.2">
      <c r="A637" s="71">
        <v>45832</v>
      </c>
      <c r="B637" s="16" cm="1">
        <f t="array" ref="B637">_xll.BADDPERIODS(A637, "PER=WD", "NUMBEROFPERIODS=2", "BUSDAYADJ=-2", "CDR=GQ", "CDR=P9")</f>
        <v>45834</v>
      </c>
      <c r="C637" s="15" cm="1">
        <f t="array" ref="C637">_xll.BDH("XAU Curncy","PX_LAST",A637,A637)</f>
        <v>3323.67</v>
      </c>
      <c r="D637" s="15" t="str" cm="1">
        <f t="array" ref="D637">_xll.BDP("GCQ5 Comdty",$M$32)</f>
        <v>01/08/2025</v>
      </c>
      <c r="E637" s="15">
        <f t="shared" si="407"/>
        <v>36</v>
      </c>
      <c r="F637" s="23">
        <v>4.6300000000000001E-2</v>
      </c>
      <c r="G637" s="28">
        <f t="shared" si="422"/>
        <v>15.3885921</v>
      </c>
      <c r="H637" s="12">
        <v>13.25</v>
      </c>
      <c r="I637" s="110">
        <f t="shared" si="423"/>
        <v>-2.1385921000000003</v>
      </c>
      <c r="J637" s="26">
        <v>4</v>
      </c>
      <c r="K637" s="26">
        <v>6</v>
      </c>
      <c r="L637" s="26">
        <v>8</v>
      </c>
      <c r="N637" s="71">
        <v>45832</v>
      </c>
      <c r="O637" s="16" cm="1">
        <f t="array" ref="O637">_xll.BADDPERIODS(N637, "PER=WD", "NUMBEROFPERIODS=2", "BUSDAYADJ=-2", "CDR=GQ", "CDR=P9")</f>
        <v>45834</v>
      </c>
      <c r="P637" s="15" cm="1">
        <f t="array" ref="P637">_xll.BDH("XAG Curncy","PX_LAST",N637,N637)</f>
        <v>35.918399999999998</v>
      </c>
      <c r="Q637" s="15" t="str" cm="1">
        <f t="array" ref="Q637">_xll.BDP("SIN5 Comdty",$M$32)</f>
        <v>01/07/2025</v>
      </c>
      <c r="R637" s="15">
        <f t="shared" si="408"/>
        <v>5</v>
      </c>
      <c r="S637" s="23">
        <v>3.7999999999999999E-2</v>
      </c>
      <c r="T637" s="21">
        <f t="shared" si="424"/>
        <v>1.8956933333333332E-2</v>
      </c>
      <c r="U637" s="12">
        <v>0.04</v>
      </c>
      <c r="V637" s="111">
        <f t="shared" si="425"/>
        <v>2.104306666666667</v>
      </c>
      <c r="W637" s="15">
        <v>15</v>
      </c>
      <c r="X637" s="15">
        <v>20</v>
      </c>
      <c r="Y637" s="15">
        <v>25</v>
      </c>
      <c r="Z637" s="18">
        <f t="shared" si="414"/>
        <v>1.8956933333333332</v>
      </c>
      <c r="AA637" s="18">
        <f t="shared" si="415"/>
        <v>4</v>
      </c>
      <c r="AB637" s="18">
        <f t="shared" si="416"/>
        <v>2.104306666666667</v>
      </c>
      <c r="AE637" s="44" cm="1">
        <f t="array" ref="AE637">_xll.BDH("COMXGOLD Comdty","PX_Last", N637)</f>
        <v>37454173.934</v>
      </c>
      <c r="AF637" s="15" t="s">
        <v>52</v>
      </c>
      <c r="AG637" s="44" cm="1">
        <f t="array" ref="AG637">_xll.BDH(AF637,"FUT_AGGTE_OPEN_INT",A637)</f>
        <v>434958</v>
      </c>
      <c r="AH637" s="44">
        <f t="shared" si="417"/>
        <v>43495800</v>
      </c>
      <c r="AI637" s="48">
        <f t="shared" si="418"/>
        <v>0.86109863329332947</v>
      </c>
      <c r="AK637" s="44" cm="1">
        <f t="array" ref="AK637">_xll.BDH("COMXSILV Comdty","PX_Last", N637)</f>
        <v>498310.5</v>
      </c>
      <c r="AL637" s="15" t="s">
        <v>53</v>
      </c>
      <c r="AM637" s="47" cm="1">
        <f t="array" ref="AM637">_xll.BDH(AL637,"FUT_AGGTE_OPEN_INT",A637)</f>
        <v>174613</v>
      </c>
      <c r="AN637" s="45">
        <f t="shared" si="419"/>
        <v>570.75990905602669</v>
      </c>
      <c r="AO637" s="46">
        <f t="shared" si="420"/>
        <v>49831050000</v>
      </c>
      <c r="AP637" s="46">
        <f t="shared" si="421"/>
        <v>873065</v>
      </c>
    </row>
    <row r="638" spans="1:42" x14ac:dyDescent="0.2">
      <c r="A638" s="71">
        <v>45833</v>
      </c>
      <c r="B638" s="16" cm="1">
        <f t="array" ref="B638">_xll.BADDPERIODS(A638, "PER=WD", "NUMBEROFPERIODS=2", "BUSDAYADJ=-2", "CDR=GQ", "CDR=P9")</f>
        <v>45835</v>
      </c>
      <c r="C638" s="15" cm="1">
        <f t="array" ref="C638">_xll.BDH("XAU Curncy","PX_LAST",A638,A638)</f>
        <v>3332.33</v>
      </c>
      <c r="D638" s="15" t="str" cm="1">
        <f t="array" ref="D638">_xll.BDP("GCQ5 Comdty",$M$32)</f>
        <v>01/08/2025</v>
      </c>
      <c r="E638" s="15">
        <f t="shared" si="407"/>
        <v>35</v>
      </c>
      <c r="F638" s="23">
        <v>4.5999999999999999E-2</v>
      </c>
      <c r="G638" s="28">
        <f t="shared" si="422"/>
        <v>14.902920277777778</v>
      </c>
      <c r="H638" s="12">
        <v>14.25</v>
      </c>
      <c r="I638" s="110">
        <f t="shared" si="423"/>
        <v>-0.65292027777777761</v>
      </c>
      <c r="J638" s="26">
        <v>4</v>
      </c>
      <c r="K638" s="26">
        <v>6</v>
      </c>
      <c r="L638" s="26">
        <v>8</v>
      </c>
      <c r="N638" s="71">
        <v>45833</v>
      </c>
      <c r="O638" s="16" cm="1">
        <f t="array" ref="O638">_xll.BADDPERIODS(N638, "PER=WD", "NUMBEROFPERIODS=2", "BUSDAYADJ=-2", "CDR=GQ", "CDR=P9")</f>
        <v>45835</v>
      </c>
      <c r="P638" s="15" cm="1">
        <f t="array" ref="P638">_xll.BDH("XAG Curncy","PX_LAST",N638,N638)</f>
        <v>36.262500000000003</v>
      </c>
      <c r="Q638" s="15" t="str" cm="1">
        <f t="array" ref="Q638">_xll.BDP("SIN5 Comdty",$M$32)</f>
        <v>01/07/2025</v>
      </c>
      <c r="R638" s="15">
        <f t="shared" si="408"/>
        <v>4</v>
      </c>
      <c r="S638" s="23">
        <v>3.7999999999999999E-2</v>
      </c>
      <c r="T638" s="21">
        <f t="shared" si="424"/>
        <v>1.5310833333333334E-2</v>
      </c>
      <c r="U638" s="12">
        <v>3.5000000000000003E-2</v>
      </c>
      <c r="V638" s="111">
        <f t="shared" si="425"/>
        <v>1.9689166666666666</v>
      </c>
      <c r="W638" s="15">
        <v>15</v>
      </c>
      <c r="X638" s="15">
        <v>20</v>
      </c>
      <c r="Y638" s="15">
        <v>25</v>
      </c>
      <c r="Z638" s="18">
        <f t="shared" si="414"/>
        <v>1.5310833333333334</v>
      </c>
      <c r="AA638" s="18">
        <f t="shared" si="415"/>
        <v>3.5000000000000004</v>
      </c>
      <c r="AB638" s="18">
        <f t="shared" si="416"/>
        <v>1.9689166666666666</v>
      </c>
      <c r="AE638" s="44" cm="1">
        <f t="array" ref="AE638">_xll.BDH("COMXGOLD Comdty","PX_Last", N638)</f>
        <v>36984907.939999998</v>
      </c>
      <c r="AF638" s="15" t="s">
        <v>52</v>
      </c>
      <c r="AG638" s="44" cm="1">
        <f t="array" ref="AG638">_xll.BDH(AF638,"FUT_AGGTE_OPEN_INT",A638)</f>
        <v>434138</v>
      </c>
      <c r="AH638" s="44">
        <f t="shared" si="417"/>
        <v>43413800</v>
      </c>
      <c r="AI638" s="48">
        <f t="shared" si="418"/>
        <v>0.85191593318253633</v>
      </c>
      <c r="AK638" s="44" cm="1">
        <f t="array" ref="AK638">_xll.BDH("COMXSILV Comdty","PX_Last", N638)</f>
        <v>500322.38</v>
      </c>
      <c r="AL638" s="15" t="s">
        <v>53</v>
      </c>
      <c r="AM638" s="47" cm="1">
        <f t="array" ref="AM638">_xll.BDH(AL638,"FUT_AGGTE_OPEN_INT",A638)</f>
        <v>168508</v>
      </c>
      <c r="AN638" s="45">
        <f t="shared" si="419"/>
        <v>593.82626344149833</v>
      </c>
      <c r="AO638" s="46">
        <f t="shared" si="420"/>
        <v>50032238000</v>
      </c>
      <c r="AP638" s="46">
        <f t="shared" si="421"/>
        <v>842540</v>
      </c>
    </row>
    <row r="639" spans="1:42" x14ac:dyDescent="0.2">
      <c r="A639" s="71">
        <v>45835</v>
      </c>
      <c r="B639" s="16" cm="1">
        <f t="array" ref="B639">_xll.BADDPERIODS(A639, "PER=WD", "NUMBEROFPERIODS=2", "BUSDAYADJ=-2", "CDR=GQ", "CDR=P9")</f>
        <v>45839</v>
      </c>
      <c r="C639" s="15" cm="1">
        <f t="array" ref="C639">_xll.BDH("XAU Curncy","PX_LAST",A639,A639)</f>
        <v>3274.33</v>
      </c>
      <c r="D639" s="15" t="str" cm="1">
        <f t="array" ref="D639">_xll.BDP("GCQ5 Comdty",$M$32)</f>
        <v>01/08/2025</v>
      </c>
      <c r="E639" s="15">
        <f t="shared" si="407"/>
        <v>31</v>
      </c>
      <c r="F639" s="23">
        <v>4.5999999999999999E-2</v>
      </c>
      <c r="G639" s="28">
        <f t="shared" si="422"/>
        <v>12.969984944444445</v>
      </c>
      <c r="H639" s="12">
        <v>12</v>
      </c>
      <c r="I639" s="110">
        <f t="shared" si="423"/>
        <v>-0.96998494444444461</v>
      </c>
      <c r="J639" s="26">
        <v>4</v>
      </c>
      <c r="K639" s="26">
        <v>6</v>
      </c>
      <c r="L639" s="26">
        <v>8</v>
      </c>
      <c r="N639" s="71">
        <v>45835</v>
      </c>
      <c r="O639" s="16" cm="1">
        <f t="array" ref="O639">_xll.BADDPERIODS(N639, "PER=WD", "NUMBEROFPERIODS=2", "BUSDAYADJ=-2", "CDR=GQ", "CDR=P9")</f>
        <v>45839</v>
      </c>
      <c r="P639" s="15" cm="1">
        <f t="array" ref="P639">_xll.BDH("XAG Curncy","PX_LAST",N639,N639)</f>
        <v>35.991100000000003</v>
      </c>
      <c r="Q639" s="15" t="str" cm="1">
        <f t="array" ref="Q639">_xll.BDP("SIN5 Comdty",$M$32)</f>
        <v>01/07/2025</v>
      </c>
      <c r="R639" s="15">
        <f t="shared" si="408"/>
        <v>0</v>
      </c>
      <c r="S639" s="23">
        <v>0.04</v>
      </c>
      <c r="T639" s="21">
        <f t="shared" si="424"/>
        <v>0</v>
      </c>
      <c r="U639" s="12">
        <v>1.4999999999999999E-2</v>
      </c>
      <c r="V639" s="111">
        <f t="shared" si="425"/>
        <v>1.5</v>
      </c>
      <c r="W639" s="15">
        <v>15</v>
      </c>
      <c r="X639" s="15">
        <v>20</v>
      </c>
      <c r="Y639" s="15">
        <v>25</v>
      </c>
      <c r="Z639" s="18">
        <f t="shared" si="414"/>
        <v>0</v>
      </c>
      <c r="AA639" s="18">
        <f t="shared" si="415"/>
        <v>1.5</v>
      </c>
      <c r="AB639" s="18">
        <f t="shared" si="416"/>
        <v>1.5</v>
      </c>
      <c r="AE639" s="44" cm="1">
        <f t="array" ref="AE639">_xll.BDH("COMXGOLD Comdty","PX_Last", N639)</f>
        <v>37048334.611000001</v>
      </c>
      <c r="AF639" s="15" t="s">
        <v>52</v>
      </c>
      <c r="AG639" s="44" cm="1">
        <f t="array" ref="AG639">_xll.BDH(AF639,"FUT_AGGTE_OPEN_INT",A639)</f>
        <v>436022</v>
      </c>
      <c r="AH639" s="44">
        <f t="shared" si="417"/>
        <v>43602200</v>
      </c>
      <c r="AI639" s="48">
        <f t="shared" si="418"/>
        <v>0.84968957096201569</v>
      </c>
      <c r="AK639" s="44" cm="1">
        <f t="array" ref="AK639">_xll.BDH("COMXSILV Comdty","PX_Last", N639)</f>
        <v>499090.38</v>
      </c>
      <c r="AL639" s="15" t="s">
        <v>53</v>
      </c>
      <c r="AM639" s="47" cm="1">
        <f t="array" ref="AM639">_xll.BDH(AL639,"FUT_AGGTE_OPEN_INT",A639)</f>
        <v>166485</v>
      </c>
      <c r="AN639" s="45">
        <f t="shared" si="419"/>
        <v>599.56197855662674</v>
      </c>
      <c r="AO639" s="46">
        <f t="shared" si="420"/>
        <v>49909038000</v>
      </c>
      <c r="AP639" s="46">
        <f t="shared" si="421"/>
        <v>832425</v>
      </c>
    </row>
    <row r="640" spans="1:42" x14ac:dyDescent="0.2">
      <c r="A640" s="71">
        <v>45838</v>
      </c>
      <c r="B640" s="16" cm="1">
        <f t="array" ref="B640">_xll.BADDPERIODS(A640, "PER=WD", "NUMBEROFPERIODS=2", "BUSDAYADJ=-2", "CDR=GQ", "CDR=P9")</f>
        <v>45840</v>
      </c>
      <c r="C640" s="15" cm="1">
        <f t="array" ref="C640">_xll.BDH("XAU Curncy","PX_LAST",A640,A640)</f>
        <v>3303.14</v>
      </c>
      <c r="D640" s="15" t="str" cm="1">
        <f t="array" ref="D640">_xll.BDP("GCQ5 Comdty",$M$32)</f>
        <v>01/08/2025</v>
      </c>
      <c r="E640" s="15">
        <f t="shared" si="407"/>
        <v>30</v>
      </c>
      <c r="F640" s="23">
        <v>4.5999999999999999E-2</v>
      </c>
      <c r="G640" s="28">
        <f t="shared" si="422"/>
        <v>12.662036666666665</v>
      </c>
      <c r="H640" s="12">
        <v>12.25</v>
      </c>
      <c r="I640" s="110">
        <f t="shared" si="423"/>
        <v>-0.4120366666666655</v>
      </c>
      <c r="J640" s="26">
        <v>4</v>
      </c>
      <c r="K640" s="26">
        <v>6</v>
      </c>
      <c r="L640" s="26">
        <v>8</v>
      </c>
      <c r="N640" s="71">
        <v>45838</v>
      </c>
      <c r="O640" s="16" cm="1">
        <f t="array" ref="O640">_xll.BADDPERIODS(N640, "PER=WD", "NUMBEROFPERIODS=2", "BUSDAYADJ=-2", "CDR=GQ", "CDR=P9")</f>
        <v>45840</v>
      </c>
      <c r="P640" s="15" cm="1">
        <f t="array" ref="P640">_xll.BDH("XAG Curncy","PX_LAST",N640,N640)</f>
        <v>36.109400000000001</v>
      </c>
      <c r="Q640" s="15" t="str" cm="1">
        <f t="array" ref="Q640">_xll.BDP("SIU5 Comdty",$M$32)</f>
        <v>02/09/2025</v>
      </c>
      <c r="R640" s="15">
        <f t="shared" si="408"/>
        <v>62</v>
      </c>
      <c r="S640" s="23">
        <v>2.9000000000000001E-2</v>
      </c>
      <c r="T640" s="21">
        <f t="shared" si="424"/>
        <v>0.18034639222222223</v>
      </c>
      <c r="U640" s="12">
        <v>0.22</v>
      </c>
      <c r="V640" s="111">
        <f t="shared" si="425"/>
        <v>3.9653607777777768</v>
      </c>
      <c r="W640" s="15">
        <v>15</v>
      </c>
      <c r="X640" s="15">
        <v>20</v>
      </c>
      <c r="Y640" s="15">
        <v>25</v>
      </c>
      <c r="Z640" s="18">
        <f t="shared" si="414"/>
        <v>18.034639222222225</v>
      </c>
      <c r="AA640" s="18">
        <f t="shared" si="415"/>
        <v>22</v>
      </c>
      <c r="AB640" s="18">
        <f t="shared" si="416"/>
        <v>3.9653607777777768</v>
      </c>
      <c r="AE640" s="44" cm="1">
        <f t="array" ref="AE640">_xll.BDH("COMXGOLD Comdty","PX_Last", N640)</f>
        <v>37048199.960000001</v>
      </c>
      <c r="AF640" s="15" t="s">
        <v>52</v>
      </c>
      <c r="AG640" s="44" cm="1">
        <f t="array" ref="AG640">_xll.BDH(AF640,"FUT_AGGTE_OPEN_INT",A640)</f>
        <v>434714</v>
      </c>
      <c r="AH640" s="44">
        <f t="shared" si="417"/>
        <v>43471400</v>
      </c>
      <c r="AI640" s="48">
        <f t="shared" si="418"/>
        <v>0.85224308303850349</v>
      </c>
      <c r="AK640" s="44" cm="1">
        <f t="array" ref="AK640">_xll.BDH("COMXSILV Comdty","PX_Last", N640)</f>
        <v>499694.75</v>
      </c>
      <c r="AL640" s="15" t="s">
        <v>54</v>
      </c>
      <c r="AM640" s="47" cm="1">
        <f t="array" ref="AM640">_xll.BDH(AL640,"FUT_AGGTE_OPEN_INT",A640)</f>
        <v>162359</v>
      </c>
      <c r="AN640" s="45">
        <f t="shared" si="419"/>
        <v>615.54302502479072</v>
      </c>
      <c r="AO640" s="46">
        <f t="shared" si="420"/>
        <v>49969475000</v>
      </c>
      <c r="AP640" s="46">
        <f t="shared" si="421"/>
        <v>811795</v>
      </c>
    </row>
    <row r="641" spans="1:42" x14ac:dyDescent="0.2">
      <c r="A641" s="71">
        <v>45839</v>
      </c>
      <c r="B641" s="16" cm="1">
        <f t="array" ref="B641">_xll.BADDPERIODS(A641, "PER=WD", "NUMBEROFPERIODS=2", "BUSDAYADJ=-2", "CDR=GQ", "CDR=P9")</f>
        <v>45841</v>
      </c>
      <c r="C641" s="15" cm="1">
        <f t="array" ref="C641">_xll.BDH("XAU Curncy","PX_LAST",A641,A641)</f>
        <v>3338.84</v>
      </c>
      <c r="D641" s="15" t="str" cm="1">
        <f t="array" ref="D641">_xll.BDP("GCQ5 Comdty",$M$32)</f>
        <v>01/08/2025</v>
      </c>
      <c r="E641" s="15">
        <f t="shared" si="407"/>
        <v>29</v>
      </c>
      <c r="F641" s="23">
        <v>4.5699999999999998E-2</v>
      </c>
      <c r="G641" s="28">
        <f t="shared" si="422"/>
        <v>12.291568477777778</v>
      </c>
      <c r="H641" s="12">
        <v>12</v>
      </c>
      <c r="I641" s="110">
        <f t="shared" si="423"/>
        <v>-0.29156847777777806</v>
      </c>
      <c r="J641" s="26">
        <v>4</v>
      </c>
      <c r="K641" s="26">
        <v>6</v>
      </c>
      <c r="L641" s="26">
        <v>8</v>
      </c>
      <c r="N641" s="71">
        <v>45839</v>
      </c>
      <c r="O641" s="16" cm="1">
        <f t="array" ref="O641">_xll.BADDPERIODS(N641, "PER=WD", "NUMBEROFPERIODS=2", "BUSDAYADJ=-2", "CDR=GQ", "CDR=P9")</f>
        <v>45841</v>
      </c>
      <c r="P641" s="15" cm="1">
        <f t="array" ref="P641">_xll.BDH("XAG Curncy","PX_LAST",N641,N641)</f>
        <v>36.036000000000001</v>
      </c>
      <c r="Q641" s="15" t="str" cm="1">
        <f t="array" ref="Q641">_xll.BDP("SIU5 Comdty",$M$32)</f>
        <v>02/09/2025</v>
      </c>
      <c r="R641" s="15">
        <f t="shared" si="408"/>
        <v>61</v>
      </c>
      <c r="S641" s="23">
        <v>0.03</v>
      </c>
      <c r="T641" s="21">
        <f t="shared" si="424"/>
        <v>0.18318300000000001</v>
      </c>
      <c r="U641" s="12">
        <v>0.21</v>
      </c>
      <c r="V641" s="111">
        <f t="shared" si="425"/>
        <v>2.681699999999998</v>
      </c>
      <c r="W641" s="15">
        <v>15</v>
      </c>
      <c r="X641" s="15">
        <v>20</v>
      </c>
      <c r="Y641" s="15">
        <v>25</v>
      </c>
      <c r="Z641" s="18">
        <f t="shared" si="414"/>
        <v>18.318300000000001</v>
      </c>
      <c r="AA641" s="18">
        <f t="shared" si="415"/>
        <v>21</v>
      </c>
      <c r="AB641" s="18">
        <f t="shared" si="416"/>
        <v>2.681699999999998</v>
      </c>
      <c r="AE641" s="44" cm="1">
        <f t="array" ref="AE641">_xll.BDH("COMXGOLD Comdty","PX_Last", N641)</f>
        <v>37048199.960000001</v>
      </c>
      <c r="AF641" s="15" t="s">
        <v>52</v>
      </c>
      <c r="AG641" s="44" cm="1">
        <f t="array" ref="AG641">_xll.BDH(AF641,"FUT_AGGTE_OPEN_INT",A641)</f>
        <v>437662</v>
      </c>
      <c r="AH641" s="44">
        <f t="shared" si="417"/>
        <v>43766200</v>
      </c>
      <c r="AI641" s="48">
        <f t="shared" si="418"/>
        <v>0.84650255128386753</v>
      </c>
      <c r="AK641" s="44" cm="1">
        <f t="array" ref="AK641">_xll.BDH("COMXSILV Comdty","PX_Last", N641)</f>
        <v>501210.19</v>
      </c>
      <c r="AL641" s="15" t="s">
        <v>53</v>
      </c>
      <c r="AM641" s="47" cm="1">
        <f t="array" ref="AM641">_xll.BDH(AL641,"FUT_AGGTE_OPEN_INT",A641)</f>
        <v>163567</v>
      </c>
      <c r="AN641" s="45">
        <f t="shared" si="419"/>
        <v>612.85001253309042</v>
      </c>
      <c r="AO641" s="46">
        <f t="shared" si="420"/>
        <v>50121019000</v>
      </c>
      <c r="AP641" s="46">
        <f t="shared" si="421"/>
        <v>817835</v>
      </c>
    </row>
    <row r="642" spans="1:42" x14ac:dyDescent="0.2">
      <c r="A642" s="71">
        <v>45840</v>
      </c>
      <c r="B642" s="16" cm="1">
        <f t="array" ref="B642">_xll.BADDPERIODS(A642, "PER=WD", "NUMBEROFPERIODS=2", "BUSDAYADJ=-2", "CDR=GQ", "CDR=P9")</f>
        <v>45845</v>
      </c>
      <c r="C642" s="15" cm="1">
        <f t="array" ref="C642">_xll.BDH("XAU Curncy","PX_LAST",A642,A642)</f>
        <v>3357.45</v>
      </c>
      <c r="D642" s="15" t="str" cm="1">
        <f t="array" ref="D642">_xll.BDP("GCQ5 Comdty",$M$32)</f>
        <v>01/08/2025</v>
      </c>
      <c r="E642" s="15">
        <f t="shared" si="407"/>
        <v>25</v>
      </c>
      <c r="F642" s="23">
        <v>4.5499999999999999E-2</v>
      </c>
      <c r="G642" s="28">
        <f t="shared" si="422"/>
        <v>10.608609375</v>
      </c>
      <c r="H642" s="12">
        <v>10.5</v>
      </c>
      <c r="I642" s="110">
        <f t="shared" si="423"/>
        <v>-0.10860937500000034</v>
      </c>
      <c r="J642" s="26">
        <v>4</v>
      </c>
      <c r="K642" s="26">
        <v>6</v>
      </c>
      <c r="L642" s="26">
        <v>8</v>
      </c>
      <c r="N642" s="71">
        <v>45840</v>
      </c>
      <c r="O642" s="16" cm="1">
        <f t="array" ref="O642">_xll.BADDPERIODS(N642, "PER=WD", "NUMBEROFPERIODS=2", "BUSDAYADJ=-2", "CDR=GQ", "CDR=P9")</f>
        <v>45845</v>
      </c>
      <c r="P642" s="15" cm="1">
        <f t="array" ref="P642">_xll.BDH("XAG Curncy","PX_LAST",N642,N642)</f>
        <v>36.551499999999997</v>
      </c>
      <c r="Q642" s="15" t="str" cm="1">
        <f t="array" ref="Q642">_xll.BDP("SIU5 Comdty",$M$32)</f>
        <v>02/09/2025</v>
      </c>
      <c r="R642" s="15">
        <f t="shared" si="408"/>
        <v>57</v>
      </c>
      <c r="S642" s="23">
        <v>0.03</v>
      </c>
      <c r="T642" s="21">
        <f t="shared" si="424"/>
        <v>0.17361962499999997</v>
      </c>
      <c r="U642" s="12">
        <v>0.19</v>
      </c>
      <c r="V642" s="111">
        <f t="shared" si="425"/>
        <v>1.6380375000000029</v>
      </c>
      <c r="W642" s="15">
        <v>15</v>
      </c>
      <c r="X642" s="15">
        <v>20</v>
      </c>
      <c r="Y642" s="15">
        <v>25</v>
      </c>
      <c r="Z642" s="18">
        <f t="shared" si="414"/>
        <v>17.361962499999997</v>
      </c>
      <c r="AA642" s="18">
        <f t="shared" si="415"/>
        <v>19</v>
      </c>
      <c r="AB642" s="18">
        <f t="shared" si="416"/>
        <v>1.6380375000000029</v>
      </c>
      <c r="AE642" s="44" cm="1">
        <f t="array" ref="AE642">_xll.BDH("COMXGOLD Comdty","PX_Last", N642)</f>
        <v>37048199.960000001</v>
      </c>
      <c r="AF642" s="15" t="s">
        <v>52</v>
      </c>
      <c r="AG642" s="44" cm="1">
        <f t="array" ref="AG642">_xll.BDH(AF642,"FUT_AGGTE_OPEN_INT",A642)</f>
        <v>438709</v>
      </c>
      <c r="AH642" s="44">
        <f t="shared" si="417"/>
        <v>43870900</v>
      </c>
      <c r="AI642" s="48">
        <f t="shared" si="418"/>
        <v>0.84448233248007221</v>
      </c>
      <c r="AK642" s="44" cm="1">
        <f t="array" ref="AK642">_xll.BDH("COMXSILV Comdty","PX_Last", N642)</f>
        <v>500183.47</v>
      </c>
      <c r="AL642" s="15" t="s">
        <v>53</v>
      </c>
      <c r="AM642" s="47" cm="1">
        <f t="array" ref="AM642">_xll.BDH(AL642,"FUT_AGGTE_OPEN_INT",A642)</f>
        <v>164204</v>
      </c>
      <c r="AN642" s="45">
        <f t="shared" si="419"/>
        <v>609.22202869601233</v>
      </c>
      <c r="AO642" s="46">
        <f t="shared" si="420"/>
        <v>50018347000</v>
      </c>
      <c r="AP642" s="46">
        <f t="shared" si="421"/>
        <v>821020</v>
      </c>
    </row>
    <row r="643" spans="1:42" x14ac:dyDescent="0.2">
      <c r="A643" s="71">
        <v>45841</v>
      </c>
      <c r="B643" s="16" cm="1">
        <f t="array" ref="B643">_xll.BADDPERIODS(A643, "PER=WD", "NUMBEROFPERIODS=2", "BUSDAYADJ=-2", "CDR=GQ", "CDR=P9")</f>
        <v>45846</v>
      </c>
      <c r="C643" s="15" cm="1">
        <f t="array" ref="C643">_xll.BDH("XAU Curncy","PX_LAST",A643,A643)</f>
        <v>3326.12</v>
      </c>
      <c r="D643" s="15" t="str" cm="1">
        <f t="array" ref="D643">_xll.BDP("GCQ5 Comdty",$M$32)</f>
        <v>01/08/2025</v>
      </c>
      <c r="E643" s="15">
        <f t="shared" ref="E643:E667" si="426">_xlfn.DAYS(D643,B643)</f>
        <v>24</v>
      </c>
      <c r="F643" s="23">
        <v>4.5499999999999999E-2</v>
      </c>
      <c r="G643" s="28">
        <f t="shared" si="422"/>
        <v>10.089230666666666</v>
      </c>
      <c r="H643" s="12">
        <v>10</v>
      </c>
      <c r="I643" s="110">
        <f t="shared" si="423"/>
        <v>-8.923066666666557E-2</v>
      </c>
      <c r="J643" s="26">
        <v>4</v>
      </c>
      <c r="K643" s="26">
        <v>6</v>
      </c>
      <c r="L643" s="26">
        <v>8</v>
      </c>
      <c r="N643" s="71">
        <v>45841</v>
      </c>
      <c r="O643" s="16" cm="1">
        <f t="array" ref="O643">_xll.BADDPERIODS(N643, "PER=WD", "NUMBEROFPERIODS=2", "BUSDAYADJ=-2", "CDR=GQ", "CDR=P9")</f>
        <v>45846</v>
      </c>
      <c r="P643" s="15" cm="1">
        <f t="array" ref="P643">_xll.BDH("XAG Curncy","PX_LAST",N643,N643)</f>
        <v>36.841900000000003</v>
      </c>
      <c r="Q643" s="15" t="str" cm="1">
        <f t="array" ref="Q643">_xll.BDP("SIU5 Comdty",$M$32)</f>
        <v>02/09/2025</v>
      </c>
      <c r="R643" s="15">
        <f t="shared" ref="R643:R648" si="427">_xlfn.DAYS(Q643,O643)</f>
        <v>56</v>
      </c>
      <c r="S643" s="23">
        <v>3.3000000000000002E-2</v>
      </c>
      <c r="T643" s="21">
        <f t="shared" si="424"/>
        <v>0.18912175333333336</v>
      </c>
      <c r="U643" s="12">
        <v>0.215</v>
      </c>
      <c r="V643" s="111">
        <f t="shared" si="425"/>
        <v>2.5878246666666631</v>
      </c>
      <c r="W643" s="15">
        <v>15</v>
      </c>
      <c r="X643" s="15">
        <v>20</v>
      </c>
      <c r="Y643" s="15">
        <v>25</v>
      </c>
      <c r="Z643" s="18">
        <f t="shared" si="414"/>
        <v>18.912175333333337</v>
      </c>
      <c r="AA643" s="18">
        <f t="shared" si="415"/>
        <v>21.5</v>
      </c>
      <c r="AB643" s="18">
        <f t="shared" si="416"/>
        <v>2.5878246666666631</v>
      </c>
      <c r="AE643" s="44" cm="1">
        <f t="array" ref="AE643">_xll.BDH("COMXGOLD Comdty","PX_Last", N643)</f>
        <v>36785582.642999999</v>
      </c>
      <c r="AF643" s="15" t="s">
        <v>52</v>
      </c>
      <c r="AG643" s="44" cm="1">
        <f t="array" ref="AG643">_xll.BDH(AF643,"FUT_AGGTE_OPEN_INT",A643)</f>
        <v>443920</v>
      </c>
      <c r="AH643" s="44">
        <f t="shared" si="417"/>
        <v>44392000</v>
      </c>
      <c r="AI643" s="48">
        <f t="shared" si="418"/>
        <v>0.82865342050369439</v>
      </c>
      <c r="AK643" s="44" cm="1">
        <f t="array" ref="AK643">_xll.BDH("COMXSILV Comdty","PX_Last", N643)</f>
        <v>499281.09</v>
      </c>
      <c r="AL643" s="15" t="s">
        <v>53</v>
      </c>
      <c r="AM643" s="47" cm="1">
        <f t="array" ref="AM643">_xll.BDH(AL643,"FUT_AGGTE_OPEN_INT",A643)</f>
        <v>166220</v>
      </c>
      <c r="AN643" s="45">
        <f t="shared" si="419"/>
        <v>600.74731079292508</v>
      </c>
      <c r="AO643" s="46">
        <f t="shared" si="420"/>
        <v>49928109000</v>
      </c>
      <c r="AP643" s="46">
        <f t="shared" si="421"/>
        <v>831100</v>
      </c>
    </row>
    <row r="644" spans="1:42" x14ac:dyDescent="0.2">
      <c r="A644" s="71">
        <v>45845</v>
      </c>
      <c r="B644" s="16" cm="1">
        <f t="array" ref="B644">_xll.BADDPERIODS(A644, "PER=WD", "NUMBEROFPERIODS=2", "BUSDAYADJ=-2", "CDR=GQ", "CDR=P9")</f>
        <v>45847</v>
      </c>
      <c r="C644" s="15" cm="1">
        <f t="array" ref="C644">_xll.BDH("XAU Curncy","PX_LAST",A644,A644)</f>
        <v>3336.5</v>
      </c>
      <c r="D644" s="15" t="str" cm="1">
        <f t="array" ref="D644">_xll.BDP("GCQ5 Comdty",$M$32)</f>
        <v>01/08/2025</v>
      </c>
      <c r="E644" s="15">
        <f t="shared" si="426"/>
        <v>23</v>
      </c>
      <c r="F644" s="23">
        <v>4.53E-2</v>
      </c>
      <c r="G644" s="28">
        <f t="shared" si="422"/>
        <v>9.6563870833333318</v>
      </c>
      <c r="H644" s="12">
        <v>9.5</v>
      </c>
      <c r="I644" s="110">
        <f t="shared" si="423"/>
        <v>-0.15638708333333184</v>
      </c>
      <c r="J644" s="26">
        <v>4</v>
      </c>
      <c r="K644" s="26">
        <v>6</v>
      </c>
      <c r="L644" s="26">
        <v>8</v>
      </c>
      <c r="N644" s="71">
        <v>45845</v>
      </c>
      <c r="O644" s="16" cm="1">
        <f t="array" ref="O644">_xll.BADDPERIODS(N644, "PER=WD", "NUMBEROFPERIODS=2", "BUSDAYADJ=-2", "CDR=GQ", "CDR=P9")</f>
        <v>45847</v>
      </c>
      <c r="P644" s="15" cm="1">
        <f t="array" ref="P644">_xll.BDH("XAG Curncy","PX_LAST",N644,N644)</f>
        <v>36.768999999999998</v>
      </c>
      <c r="Q644" s="15" t="str" cm="1">
        <f t="array" ref="Q644">_xll.BDP("SIU5 Comdty",$M$32)</f>
        <v>02/09/2025</v>
      </c>
      <c r="R644" s="15">
        <f t="shared" si="427"/>
        <v>55</v>
      </c>
      <c r="S644" s="23">
        <v>3.3000000000000002E-2</v>
      </c>
      <c r="T644" s="21">
        <f t="shared" si="424"/>
        <v>0.18537704166666666</v>
      </c>
      <c r="U644" s="12">
        <v>0.18</v>
      </c>
      <c r="V644" s="111">
        <f t="shared" si="425"/>
        <v>-0.53770416666666654</v>
      </c>
      <c r="W644" s="15">
        <v>15</v>
      </c>
      <c r="X644" s="15">
        <v>20</v>
      </c>
      <c r="Y644" s="15">
        <v>25</v>
      </c>
      <c r="Z644" s="18">
        <f t="shared" si="414"/>
        <v>18.537704166666664</v>
      </c>
      <c r="AA644" s="18">
        <f t="shared" si="415"/>
        <v>18</v>
      </c>
      <c r="AB644" s="18">
        <f t="shared" si="416"/>
        <v>-0.53770416666666654</v>
      </c>
      <c r="AE644" s="44" cm="1">
        <f t="array" ref="AE644">_xll.BDH("COMXGOLD Comdty","PX_Last", N644)</f>
        <v>36717101.012999997</v>
      </c>
      <c r="AF644" s="15" t="s">
        <v>52</v>
      </c>
      <c r="AG644" s="44" cm="1">
        <f t="array" ref="AG644">_xll.BDH(AF644,"FUT_AGGTE_OPEN_INT",A644)</f>
        <v>445944</v>
      </c>
      <c r="AH644" s="44">
        <f t="shared" si="417"/>
        <v>44594400</v>
      </c>
      <c r="AI644" s="48">
        <f t="shared" si="418"/>
        <v>0.82335676706043803</v>
      </c>
      <c r="AK644" s="44" cm="1">
        <f t="array" ref="AK644">_xll.BDH("COMXSILV Comdty","PX_Last", N644)</f>
        <v>498306.34</v>
      </c>
      <c r="AL644" s="15" t="s">
        <v>53</v>
      </c>
      <c r="AM644" s="47" cm="1">
        <f t="array" ref="AM644">_xll.BDH(AL644,"FUT_AGGTE_OPEN_INT",A644)</f>
        <v>164281</v>
      </c>
      <c r="AN644" s="45">
        <f t="shared" si="419"/>
        <v>606.65121346960393</v>
      </c>
      <c r="AO644" s="46">
        <f t="shared" si="420"/>
        <v>49830634000</v>
      </c>
      <c r="AP644" s="46">
        <f t="shared" si="421"/>
        <v>821405</v>
      </c>
    </row>
    <row r="645" spans="1:42" x14ac:dyDescent="0.2">
      <c r="A645" s="71">
        <v>45846</v>
      </c>
      <c r="B645" s="16" cm="1">
        <f t="array" ref="B645">_xll.BADDPERIODS(A645, "PER=WD", "NUMBEROFPERIODS=2", "BUSDAYADJ=-2", "CDR=GQ", "CDR=P9")</f>
        <v>45848</v>
      </c>
      <c r="C645" s="15" cm="1">
        <f t="array" ref="C645">_xll.BDH("XAU Curncy","PX_LAST",A645,A645)</f>
        <v>3301.92</v>
      </c>
      <c r="D645" s="15" t="str" cm="1">
        <f t="array" ref="D645">_xll.BDP("GCQ5 Comdty",$M$32)</f>
        <v>01/08/2025</v>
      </c>
      <c r="E645" s="15">
        <f t="shared" si="426"/>
        <v>22</v>
      </c>
      <c r="F645" s="23">
        <v>4.4999999999999998E-2</v>
      </c>
      <c r="G645" s="28">
        <f t="shared" si="422"/>
        <v>9.0802800000000001</v>
      </c>
      <c r="H645" s="12">
        <v>8.75</v>
      </c>
      <c r="I645" s="110">
        <f t="shared" si="423"/>
        <v>-0.33028000000000013</v>
      </c>
      <c r="J645" s="26">
        <v>4</v>
      </c>
      <c r="K645" s="26">
        <v>6</v>
      </c>
      <c r="L645" s="26">
        <v>8</v>
      </c>
      <c r="N645" s="71">
        <v>45846</v>
      </c>
      <c r="O645" s="16" cm="1">
        <f t="array" ref="O645">_xll.BADDPERIODS(N645, "PER=WD", "NUMBEROFPERIODS=2", "BUSDAYADJ=-2", "CDR=GQ", "CDR=P9")</f>
        <v>45848</v>
      </c>
      <c r="P645" s="15" cm="1">
        <f t="array" ref="P645">_xll.BDH("XAG Curncy","PX_LAST",N645,N645)</f>
        <v>36.762300000000003</v>
      </c>
      <c r="Q645" s="15" t="str" cm="1">
        <f t="array" ref="Q645">_xll.BDP("SIU5 Comdty",$M$32)</f>
        <v>02/09/2025</v>
      </c>
      <c r="R645" s="15">
        <f t="shared" si="427"/>
        <v>54</v>
      </c>
      <c r="S645" s="23">
        <v>3.2500000000000001E-2</v>
      </c>
      <c r="T645" s="21">
        <f t="shared" si="424"/>
        <v>0.17921621250000003</v>
      </c>
      <c r="U645" s="12">
        <v>0.16500000000000001</v>
      </c>
      <c r="V645" s="111">
        <f t="shared" si="425"/>
        <v>-1.4216212500000021</v>
      </c>
      <c r="W645" s="15">
        <v>15</v>
      </c>
      <c r="X645" s="15">
        <v>20</v>
      </c>
      <c r="Y645" s="15">
        <v>25</v>
      </c>
      <c r="Z645" s="18">
        <f t="shared" si="414"/>
        <v>17.921621250000001</v>
      </c>
      <c r="AA645" s="18">
        <f t="shared" si="415"/>
        <v>16.5</v>
      </c>
      <c r="AB645" s="18">
        <f t="shared" si="416"/>
        <v>-1.4216212500000021</v>
      </c>
      <c r="AE645" s="44" cm="1">
        <f t="array" ref="AE645">_xll.BDH("COMXGOLD Comdty","PX_Last", N645)</f>
        <v>36876794.424999997</v>
      </c>
      <c r="AF645" s="15" t="s">
        <v>52</v>
      </c>
      <c r="AG645" s="44" cm="1">
        <f t="array" ref="AG645">_xll.BDH(AF645,"FUT_AGGTE_OPEN_INT",A645)</f>
        <v>443144</v>
      </c>
      <c r="AH645" s="44">
        <f t="shared" si="417"/>
        <v>44314400</v>
      </c>
      <c r="AI645" s="48">
        <f t="shared" si="418"/>
        <v>0.83216278286516343</v>
      </c>
      <c r="AK645" s="44" cm="1">
        <f t="array" ref="AK645">_xll.BDH("COMXSILV Comdty","PX_Last", N645)</f>
        <v>497932.97</v>
      </c>
      <c r="AL645" s="15" t="s">
        <v>53</v>
      </c>
      <c r="AM645" s="47" cm="1">
        <f t="array" ref="AM645">_xll.BDH(AL645,"FUT_AGGTE_OPEN_INT",A645)</f>
        <v>162803</v>
      </c>
      <c r="AN645" s="45">
        <f t="shared" si="419"/>
        <v>611.69999324336777</v>
      </c>
      <c r="AO645" s="46">
        <f t="shared" si="420"/>
        <v>49793297000</v>
      </c>
      <c r="AP645" s="46">
        <f t="shared" si="421"/>
        <v>814015</v>
      </c>
    </row>
    <row r="646" spans="1:42" x14ac:dyDescent="0.2">
      <c r="A646" s="71">
        <v>45847</v>
      </c>
      <c r="B646" s="16" cm="1">
        <f t="array" ref="B646">_xll.BADDPERIODS(A646, "PER=WD", "NUMBEROFPERIODS=2", "BUSDAYADJ=-2", "CDR=GQ", "CDR=P9")</f>
        <v>45849</v>
      </c>
      <c r="C646" s="15" cm="1">
        <f t="array" ref="C646">_xll.BDH("XAU Curncy","PX_LAST",A646,A646)</f>
        <v>3313.66</v>
      </c>
      <c r="D646" s="15" t="str" cm="1">
        <f t="array" ref="D646">_xll.BDP("GCQ5 Comdty",$M$32)</f>
        <v>01/08/2025</v>
      </c>
      <c r="E646" s="15">
        <f t="shared" si="426"/>
        <v>21</v>
      </c>
      <c r="F646" s="23">
        <v>4.4999999999999998E-2</v>
      </c>
      <c r="G646" s="28">
        <f t="shared" si="422"/>
        <v>8.6983574999999984</v>
      </c>
      <c r="H646" s="12">
        <v>8.5</v>
      </c>
      <c r="I646" s="110">
        <f t="shared" si="423"/>
        <v>-0.19835749999999841</v>
      </c>
      <c r="J646" s="26">
        <v>4</v>
      </c>
      <c r="K646" s="26">
        <v>6</v>
      </c>
      <c r="L646" s="26">
        <v>8</v>
      </c>
      <c r="N646" s="71">
        <v>45847</v>
      </c>
      <c r="O646" s="16" cm="1">
        <f t="array" ref="O646">_xll.BADDPERIODS(N646, "PER=WD", "NUMBEROFPERIODS=2", "BUSDAYADJ=-2", "CDR=GQ", "CDR=P9")</f>
        <v>45849</v>
      </c>
      <c r="P646" s="15" cm="1">
        <f t="array" ref="P646">_xll.BDH("XAG Curncy","PX_LAST",N646,N646)</f>
        <v>36.3889</v>
      </c>
      <c r="Q646" s="15" t="str" cm="1">
        <f t="array" ref="Q646">_xll.BDP("SIU5 Comdty",$M$32)</f>
        <v>02/09/2025</v>
      </c>
      <c r="R646" s="15">
        <f t="shared" si="427"/>
        <v>53</v>
      </c>
      <c r="S646" s="23">
        <v>2.8000000000000001E-2</v>
      </c>
      <c r="T646" s="21">
        <f t="shared" si="424"/>
        <v>0.15000313222222222</v>
      </c>
      <c r="U646" s="12">
        <v>0.22</v>
      </c>
      <c r="V646" s="111">
        <f t="shared" si="425"/>
        <v>6.9996867777777778</v>
      </c>
      <c r="W646" s="15">
        <v>15</v>
      </c>
      <c r="X646" s="15">
        <v>20</v>
      </c>
      <c r="Y646" s="15">
        <v>25</v>
      </c>
      <c r="Z646" s="18">
        <f t="shared" si="414"/>
        <v>15.000313222222223</v>
      </c>
      <c r="AA646" s="18">
        <f t="shared" si="415"/>
        <v>22</v>
      </c>
      <c r="AB646" s="18">
        <f t="shared" si="416"/>
        <v>6.9996867777777778</v>
      </c>
      <c r="AE646" s="44" cm="1">
        <f t="array" ref="AE646">_xll.BDH("COMXGOLD Comdty","PX_Last", N646)</f>
        <v>36876794.424999997</v>
      </c>
      <c r="AF646" s="15" t="s">
        <v>52</v>
      </c>
      <c r="AG646" s="44" cm="1">
        <f t="array" ref="AG646">_xll.BDH(AF646,"FUT_AGGTE_OPEN_INT",A646)</f>
        <v>440086</v>
      </c>
      <c r="AH646" s="44">
        <f t="shared" si="417"/>
        <v>44008600</v>
      </c>
      <c r="AI646" s="48">
        <f t="shared" si="418"/>
        <v>0.83794518400948903</v>
      </c>
      <c r="AK646" s="44" cm="1">
        <f t="array" ref="AK646">_xll.BDH("COMXSILV Comdty","PX_Last", N646)</f>
        <v>497289.13</v>
      </c>
      <c r="AL646" s="15" t="s">
        <v>53</v>
      </c>
      <c r="AM646" s="47" cm="1">
        <f t="array" ref="AM646">_xll.BDH(AL646,"FUT_AGGTE_OPEN_INT",A646)</f>
        <v>162176</v>
      </c>
      <c r="AN646" s="45">
        <f t="shared" si="419"/>
        <v>613.27092788082086</v>
      </c>
      <c r="AO646" s="46">
        <f t="shared" si="420"/>
        <v>49728913000</v>
      </c>
      <c r="AP646" s="46">
        <f t="shared" si="421"/>
        <v>810880</v>
      </c>
    </row>
    <row r="647" spans="1:42" x14ac:dyDescent="0.2">
      <c r="A647" s="71">
        <v>45848</v>
      </c>
      <c r="B647" s="16" cm="1">
        <f t="array" ref="B647">_xll.BADDPERIODS(A647, "PER=WD", "NUMBEROFPERIODS=2", "BUSDAYADJ=-2", "CDR=GQ", "CDR=P9")</f>
        <v>45852</v>
      </c>
      <c r="C647" s="15" cm="1">
        <f t="array" ref="C647">_xll.BDH("XAU Curncy","PX_LAST",A647,A647)</f>
        <v>3324.05</v>
      </c>
      <c r="D647" s="15" t="str" cm="1">
        <f t="array" ref="D647">_xll.BDP("GCQ5 Comdty",$M$32)</f>
        <v>01/08/2025</v>
      </c>
      <c r="E647" s="15">
        <f t="shared" si="426"/>
        <v>18</v>
      </c>
      <c r="F647" s="23">
        <v>4.4200000000000003E-2</v>
      </c>
      <c r="G647" s="28">
        <f t="shared" si="422"/>
        <v>7.3461505000000011</v>
      </c>
      <c r="H647" s="12">
        <v>10</v>
      </c>
      <c r="I647" s="110">
        <f t="shared" si="423"/>
        <v>2.6538494999999989</v>
      </c>
      <c r="J647" s="26">
        <v>4</v>
      </c>
      <c r="K647" s="26">
        <v>6</v>
      </c>
      <c r="L647" s="26">
        <v>8</v>
      </c>
      <c r="N647" s="71">
        <v>45848</v>
      </c>
      <c r="O647" s="16" cm="1">
        <f t="array" ref="O647">_xll.BADDPERIODS(N647, "PER=WD", "NUMBEROFPERIODS=2", "BUSDAYADJ=-2", "CDR=GQ", "CDR=P9")</f>
        <v>45852</v>
      </c>
      <c r="P647" s="15" cm="1">
        <f t="array" ref="P647">_xll.BDH("XAG Curncy","PX_LAST",N647,N647)</f>
        <v>37.002800000000001</v>
      </c>
      <c r="Q647" s="15" t="str" cm="1">
        <f t="array" ref="Q647">_xll.BDP("SIU5 Comdty",$M$32)</f>
        <v>02/09/2025</v>
      </c>
      <c r="R647" s="15">
        <f t="shared" si="427"/>
        <v>50</v>
      </c>
      <c r="S647" s="23">
        <v>7.4999999999999997E-3</v>
      </c>
      <c r="T647" s="21">
        <f t="shared" si="424"/>
        <v>3.8544583333333333E-2</v>
      </c>
      <c r="U647" s="12">
        <v>0.34</v>
      </c>
      <c r="V647" s="111">
        <f t="shared" si="425"/>
        <v>30.14554166666667</v>
      </c>
      <c r="W647" s="15">
        <v>15</v>
      </c>
      <c r="X647" s="15">
        <v>20</v>
      </c>
      <c r="Y647" s="15">
        <v>25</v>
      </c>
      <c r="Z647" s="18">
        <f t="shared" si="414"/>
        <v>3.8544583333333335</v>
      </c>
      <c r="AA647" s="18">
        <f t="shared" si="415"/>
        <v>34</v>
      </c>
      <c r="AB647" s="18">
        <f t="shared" si="416"/>
        <v>30.14554166666667</v>
      </c>
      <c r="AE647" s="44" cm="1">
        <f t="array" ref="AE647">_xll.BDH("COMXGOLD Comdty","PX_Last", N647)</f>
        <v>36779205.498999998</v>
      </c>
      <c r="AF647" s="15" t="s">
        <v>52</v>
      </c>
      <c r="AG647" s="44" cm="1">
        <f t="array" ref="AG647">_xll.BDH(AF647,"FUT_AGGTE_OPEN_INT",A647)</f>
        <v>431906</v>
      </c>
      <c r="AH647" s="44">
        <f t="shared" si="417"/>
        <v>43190600</v>
      </c>
      <c r="AI647" s="48">
        <f t="shared" si="418"/>
        <v>0.8515557898940973</v>
      </c>
      <c r="AK647" s="44" cm="1">
        <f t="array" ref="AK647">_xll.BDH("COMXSILV Comdty","PX_Last", N647)</f>
        <v>495536</v>
      </c>
      <c r="AL647" s="15" t="s">
        <v>53</v>
      </c>
      <c r="AM647" s="47" cm="1">
        <f t="array" ref="AM647">_xll.BDH(AL647,"FUT_AGGTE_OPEN_INT",A647)</f>
        <v>167582</v>
      </c>
      <c r="AN647" s="45">
        <f t="shared" si="419"/>
        <v>591.3952572471984</v>
      </c>
      <c r="AO647" s="46">
        <f t="shared" si="420"/>
        <v>49553600000</v>
      </c>
      <c r="AP647" s="46">
        <f t="shared" si="421"/>
        <v>837910</v>
      </c>
    </row>
    <row r="648" spans="1:42" x14ac:dyDescent="0.2">
      <c r="A648" s="71">
        <v>45849</v>
      </c>
      <c r="B648" s="16" cm="1">
        <f t="array" ref="B648">_xll.BADDPERIODS(A648, "PER=WD", "NUMBEROFPERIODS=2", "BUSDAYADJ=-2", "CDR=GQ", "CDR=P9")</f>
        <v>45853</v>
      </c>
      <c r="C648" s="15" cm="1">
        <f t="array" ref="C648">_xll.BDH("XAU Curncy","PX_LAST",A648,A648)</f>
        <v>3355.59</v>
      </c>
      <c r="D648" s="15" t="str" cm="1">
        <f t="array" ref="D648">_xll.BDP("GCQ5 Comdty",$M$32)</f>
        <v>01/08/2025</v>
      </c>
      <c r="E648" s="15">
        <f t="shared" si="426"/>
        <v>17</v>
      </c>
      <c r="F648" s="23">
        <v>4.3999999999999997E-2</v>
      </c>
      <c r="G648" s="28">
        <f t="shared" si="422"/>
        <v>6.9721703333333327</v>
      </c>
      <c r="H648" s="12">
        <v>14</v>
      </c>
      <c r="I648" s="110">
        <f t="shared" si="423"/>
        <v>7.0278296666666673</v>
      </c>
      <c r="J648" s="26">
        <v>4</v>
      </c>
      <c r="K648" s="26">
        <v>6</v>
      </c>
      <c r="L648" s="26">
        <v>8</v>
      </c>
      <c r="N648" s="71">
        <v>45849</v>
      </c>
      <c r="O648" s="16" cm="1">
        <f t="array" ref="O648">_xll.BADDPERIODS(N648, "PER=WD", "NUMBEROFPERIODS=2", "BUSDAYADJ=-2", "CDR=GQ", "CDR=P9")</f>
        <v>45853</v>
      </c>
      <c r="P648" s="15" cm="1">
        <f t="array" ref="P648">_xll.BDH("XAG Curncy","PX_LAST",N648,N648)</f>
        <v>38.415399999999998</v>
      </c>
      <c r="Q648" s="15" t="str" cm="1">
        <f t="array" ref="Q648">_xll.BDP("SIU5 Comdty",$M$32)</f>
        <v>02/09/2025</v>
      </c>
      <c r="R648" s="15">
        <f t="shared" si="427"/>
        <v>49</v>
      </c>
      <c r="S648" s="23">
        <v>-1.4999999999999999E-2</v>
      </c>
      <c r="T648" s="21">
        <f t="shared" si="424"/>
        <v>-7.8431441666666657E-2</v>
      </c>
      <c r="U648" s="12">
        <v>0.68</v>
      </c>
      <c r="V648" s="111">
        <f t="shared" si="425"/>
        <v>75.843144166666661</v>
      </c>
      <c r="W648" s="15">
        <v>15</v>
      </c>
      <c r="X648" s="15">
        <v>20</v>
      </c>
      <c r="Y648" s="15">
        <v>25</v>
      </c>
      <c r="Z648" s="18">
        <f t="shared" si="414"/>
        <v>-7.8431441666666659</v>
      </c>
      <c r="AA648" s="18">
        <f t="shared" si="415"/>
        <v>68</v>
      </c>
      <c r="AB648" s="18">
        <f t="shared" si="416"/>
        <v>75.843144166666661</v>
      </c>
      <c r="AE648" s="44" cm="1">
        <f t="array" ref="AE648">_xll.BDH("COMXGOLD Comdty","PX_Last", N648)</f>
        <v>36747054.498999998</v>
      </c>
      <c r="AF648" s="15" t="s">
        <v>52</v>
      </c>
      <c r="AG648" s="44" cm="1">
        <f t="array" ref="AG648">_xll.BDH(AF648,"FUT_AGGTE_OPEN_INT",A648)</f>
        <v>445777</v>
      </c>
      <c r="AH648" s="44">
        <f t="shared" si="417"/>
        <v>44577700</v>
      </c>
      <c r="AI648" s="48">
        <f t="shared" si="418"/>
        <v>0.82433715734548885</v>
      </c>
      <c r="AK648" s="44" cm="1">
        <f t="array" ref="AK648">_xll.BDH("COMXSILV Comdty","PX_Last", N648)</f>
        <v>494919.66</v>
      </c>
      <c r="AL648" s="15" t="s">
        <v>53</v>
      </c>
      <c r="AM648" s="47" cm="1">
        <f t="array" ref="AM648">_xll.BDH(AL648,"FUT_AGGTE_OPEN_INT",A648)</f>
        <v>176062</v>
      </c>
      <c r="AN648" s="45">
        <f t="shared" ref="AN648:AN666" si="428">(AO648/AP648)/100</f>
        <v>562.21065306539742</v>
      </c>
      <c r="AO648" s="46">
        <f t="shared" ref="AO648:AO666" si="429">AK648*100000</f>
        <v>49491966000</v>
      </c>
      <c r="AP648" s="46">
        <f t="shared" ref="AP648:AP666" si="430">(AM648*5000)/1000</f>
        <v>880310</v>
      </c>
    </row>
    <row r="649" spans="1:42" x14ac:dyDescent="0.2">
      <c r="A649" s="71">
        <v>45852</v>
      </c>
      <c r="B649" s="16" cm="1">
        <f t="array" ref="B649">_xll.BADDPERIODS(A649, "PER=WD", "NUMBEROFPERIODS=2", "BUSDAYADJ=-2", "CDR=GQ", "CDR=P9")</f>
        <v>45854</v>
      </c>
      <c r="C649" s="15" cm="1">
        <f t="array" ref="C649">_xll.BDH("XAU Curncy","PX_LAST",A649,A649)</f>
        <v>3343.51</v>
      </c>
      <c r="D649" s="15" t="str" cm="1">
        <f t="array" ref="D649">_xll.BDP("GCQ5 Comdty",$M$32)</f>
        <v>01/08/2025</v>
      </c>
      <c r="E649" s="15">
        <f t="shared" si="426"/>
        <v>16</v>
      </c>
      <c r="F649" s="23">
        <v>4.3999999999999997E-2</v>
      </c>
      <c r="G649" s="28">
        <f t="shared" si="422"/>
        <v>6.5384195555555564</v>
      </c>
      <c r="H649" s="12">
        <v>8</v>
      </c>
      <c r="I649" s="112">
        <f t="shared" si="423"/>
        <v>1.4615804444444436</v>
      </c>
      <c r="J649" s="26">
        <v>4</v>
      </c>
      <c r="K649" s="26">
        <v>6</v>
      </c>
      <c r="L649" s="26">
        <v>8</v>
      </c>
      <c r="N649" s="109">
        <v>45852</v>
      </c>
      <c r="O649" s="16" cm="1">
        <f t="array" ref="O649">_xll.BADDPERIODS(N649, "PER=WD", "NUMBEROFPERIODS=2", "BUSDAYADJ=-2", "CDR=GQ", "CDR=P9")</f>
        <v>45854</v>
      </c>
      <c r="P649" s="15" cm="1">
        <f t="array" ref="P649">_xll.BDH("XAG Curncy","PX_LAST",N649,N649)</f>
        <v>38.1374</v>
      </c>
      <c r="Q649" s="15" t="str" cm="1">
        <f t="array" ref="Q649">_xll.BDP("SIU5 Comdty",$M$32)</f>
        <v>02/09/2025</v>
      </c>
      <c r="R649" s="15">
        <f t="shared" ref="R649" si="431">_xlfn.DAYS(Q649,O649)</f>
        <v>48</v>
      </c>
      <c r="S649" s="23">
        <v>-0.01</v>
      </c>
      <c r="T649" s="21">
        <f t="shared" si="424"/>
        <v>-5.0849866666666667E-2</v>
      </c>
      <c r="U649" s="12">
        <v>0.37</v>
      </c>
      <c r="V649" s="111">
        <f t="shared" si="425"/>
        <v>42.084986666666666</v>
      </c>
      <c r="W649" s="15">
        <v>15</v>
      </c>
      <c r="X649" s="15">
        <v>20</v>
      </c>
      <c r="Y649" s="15">
        <v>25</v>
      </c>
      <c r="Z649" s="18">
        <f t="shared" si="414"/>
        <v>-5.0849866666666665</v>
      </c>
      <c r="AA649" s="18">
        <f t="shared" si="415"/>
        <v>37</v>
      </c>
      <c r="AB649" s="18">
        <f t="shared" si="416"/>
        <v>42.084986666666666</v>
      </c>
      <c r="AE649" s="44" cm="1">
        <f t="array" ref="AE649">_xll.BDH("COMXGOLD Comdty","PX_Last", N649)</f>
        <v>36748662.049000002</v>
      </c>
      <c r="AF649" s="15" t="s">
        <v>52</v>
      </c>
      <c r="AG649" s="44" cm="1">
        <f t="array" ref="AG649">_xll.BDH(AF649,"FUT_AGGTE_OPEN_INT",A649)</f>
        <v>453590</v>
      </c>
      <c r="AH649" s="44">
        <f t="shared" si="417"/>
        <v>45359000</v>
      </c>
      <c r="AI649" s="48">
        <f t="shared" si="418"/>
        <v>0.81017354987984747</v>
      </c>
      <c r="AK649" s="44" cm="1">
        <f t="array" ref="AK649">_xll.BDH("COMXSILV Comdty","PX_Last", N649)</f>
        <v>496623.41</v>
      </c>
      <c r="AL649" s="15" t="s">
        <v>53</v>
      </c>
      <c r="AM649" s="47" cm="1">
        <f t="array" ref="AM649">_xll.BDH(AL649,"FUT_AGGTE_OPEN_INT",A649)</f>
        <v>173668</v>
      </c>
      <c r="AN649" s="45">
        <f t="shared" si="428"/>
        <v>571.92276066978377</v>
      </c>
      <c r="AO649" s="46">
        <f t="shared" si="429"/>
        <v>49662341000</v>
      </c>
      <c r="AP649" s="46">
        <f t="shared" si="430"/>
        <v>868340</v>
      </c>
    </row>
    <row r="650" spans="1:42" x14ac:dyDescent="0.2">
      <c r="A650" s="109">
        <v>45853</v>
      </c>
      <c r="B650" s="16" cm="1">
        <f t="array" ref="B650">_xll.BADDPERIODS(A650, "PER=WD", "NUMBEROFPERIODS=2", "BUSDAYADJ=-2", "CDR=GQ", "CDR=P9")</f>
        <v>45855</v>
      </c>
      <c r="C650" s="15" cm="1">
        <f t="array" ref="C650">_xll.BDH("XAU Curncy","PX_LAST",A650,A650)</f>
        <v>3324.55</v>
      </c>
      <c r="D650" s="15" t="str" cm="1">
        <f t="array" ref="D650">_xll.BDP("GCQ5 Comdty",$M$32)</f>
        <v>01/08/2025</v>
      </c>
      <c r="E650" s="15">
        <f t="shared" si="426"/>
        <v>15</v>
      </c>
      <c r="F650" s="23">
        <v>4.4999999999999998E-2</v>
      </c>
      <c r="G650" s="28">
        <f t="shared" si="422"/>
        <v>6.2335312500000004</v>
      </c>
      <c r="H650" s="12">
        <v>7.5</v>
      </c>
      <c r="I650" s="113">
        <f t="shared" si="423"/>
        <v>1.2664687499999996</v>
      </c>
      <c r="J650" s="26">
        <v>4</v>
      </c>
      <c r="K650" s="26">
        <v>6</v>
      </c>
      <c r="L650" s="26">
        <v>8</v>
      </c>
      <c r="N650" s="109">
        <v>45853</v>
      </c>
      <c r="O650" s="16" cm="1">
        <f t="array" ref="O650">_xll.BADDPERIODS(N650, "PER=WD", "NUMBEROFPERIODS=2", "BUSDAYADJ=-2", "CDR=GQ", "CDR=P9")</f>
        <v>45855</v>
      </c>
      <c r="P650" s="15" cm="1">
        <f t="array" ref="P650">_xll.BDH("XAG Curncy","PX_LAST",N650,N650)</f>
        <v>37.706499999999998</v>
      </c>
      <c r="Q650" s="15" t="str" cm="1">
        <f t="array" ref="Q650">_xll.BDP("SIU5 Comdty",$M$32)</f>
        <v>02/09/2025</v>
      </c>
      <c r="R650" s="15">
        <f t="shared" ref="R650:R667" si="432">_xlfn.DAYS(Q650,O650)</f>
        <v>47</v>
      </c>
      <c r="S650" s="23">
        <v>0</v>
      </c>
      <c r="T650" s="21">
        <f t="shared" si="424"/>
        <v>0</v>
      </c>
      <c r="U650" s="12">
        <v>0.32</v>
      </c>
      <c r="V650" s="114">
        <f t="shared" si="425"/>
        <v>32</v>
      </c>
      <c r="W650" s="15">
        <v>15</v>
      </c>
      <c r="X650" s="15">
        <v>20</v>
      </c>
      <c r="Y650" s="15">
        <v>25</v>
      </c>
      <c r="Z650" s="18">
        <f t="shared" si="414"/>
        <v>0</v>
      </c>
      <c r="AA650" s="18">
        <f t="shared" si="415"/>
        <v>32</v>
      </c>
      <c r="AB650" s="18">
        <f t="shared" si="416"/>
        <v>32</v>
      </c>
      <c r="AE650" s="44" cm="1">
        <f t="array" ref="AE650">_xll.BDH("COMXGOLD Comdty","PX_Last", N650)</f>
        <v>36748662.049000002</v>
      </c>
      <c r="AF650" s="15" t="s">
        <v>52</v>
      </c>
      <c r="AG650" s="44" cm="1">
        <f t="array" ref="AG650">_xll.BDH(AF650,"FUT_AGGTE_OPEN_INT",A650)</f>
        <v>448531</v>
      </c>
      <c r="AH650" s="44">
        <f t="shared" si="417"/>
        <v>44853100</v>
      </c>
      <c r="AI650" s="48">
        <f t="shared" si="418"/>
        <v>0.81931153139916757</v>
      </c>
      <c r="AK650" s="44" cm="1">
        <f t="array" ref="AK650">_xll.BDH("COMXSILV Comdty","PX_Last", N650)</f>
        <v>496635.88</v>
      </c>
      <c r="AL650" s="15" t="s">
        <v>53</v>
      </c>
      <c r="AM650" s="47" cm="1">
        <f t="array" ref="AM650">_xll.BDH(AL650,"FUT_AGGTE_OPEN_INT",A650)</f>
        <v>171474</v>
      </c>
      <c r="AN650" s="45">
        <f t="shared" si="428"/>
        <v>579.25502408528405</v>
      </c>
      <c r="AO650" s="46">
        <f t="shared" si="429"/>
        <v>49663588000</v>
      </c>
      <c r="AP650" s="46">
        <f t="shared" si="430"/>
        <v>857370</v>
      </c>
    </row>
    <row r="651" spans="1:42" x14ac:dyDescent="0.2">
      <c r="A651" s="109">
        <v>45854</v>
      </c>
      <c r="B651" s="16" cm="1">
        <f t="array" ref="B651">_xll.BADDPERIODS(A651, "PER=WD", "NUMBEROFPERIODS=2", "BUSDAYADJ=-2", "CDR=GQ", "CDR=P9")</f>
        <v>45856</v>
      </c>
      <c r="C651" s="15" cm="1">
        <f t="array" ref="C651">_xll.BDH("XAU Curncy","PX_LAST",A651,A651)</f>
        <v>3347.13</v>
      </c>
      <c r="D651" s="15" t="str" cm="1">
        <f t="array" ref="D651">_xll.BDP("GCQ5 Comdty",$M$32)</f>
        <v>01/08/2025</v>
      </c>
      <c r="E651" s="15">
        <f t="shared" si="426"/>
        <v>14</v>
      </c>
      <c r="F651" s="23">
        <v>4.5999999999999999E-2</v>
      </c>
      <c r="G651" s="28">
        <f t="shared" si="422"/>
        <v>5.987643666666667</v>
      </c>
      <c r="H651" s="12">
        <v>7</v>
      </c>
      <c r="I651" s="113">
        <f t="shared" si="423"/>
        <v>1.012356333333333</v>
      </c>
      <c r="J651" s="26">
        <v>4</v>
      </c>
      <c r="K651" s="26">
        <v>6</v>
      </c>
      <c r="L651" s="26">
        <v>8</v>
      </c>
      <c r="N651" s="109">
        <v>45854</v>
      </c>
      <c r="O651" s="16" cm="1">
        <f t="array" ref="O651">_xll.BADDPERIODS(N651, "PER=WD", "NUMBEROFPERIODS=2", "BUSDAYADJ=-2", "CDR=GQ", "CDR=P9")</f>
        <v>45856</v>
      </c>
      <c r="P651" s="15" cm="1">
        <f t="array" ref="P651">_xll.BDH("XAG Curncy","PX_LAST",N651,N651)</f>
        <v>37.9101</v>
      </c>
      <c r="Q651" s="15" t="str" cm="1">
        <f t="array" ref="Q651">_xll.BDP("SIU5 Comdty",$M$32)</f>
        <v>02/09/2025</v>
      </c>
      <c r="R651" s="15">
        <f t="shared" si="432"/>
        <v>46</v>
      </c>
      <c r="S651" s="23">
        <v>0.02</v>
      </c>
      <c r="T651" s="21">
        <f t="shared" si="424"/>
        <v>9.6881366666666649E-2</v>
      </c>
      <c r="U651" s="12">
        <v>0.32</v>
      </c>
      <c r="V651" s="114">
        <f t="shared" si="425"/>
        <v>22.311863333333338</v>
      </c>
      <c r="W651" s="15">
        <v>15</v>
      </c>
      <c r="X651" s="15">
        <v>20</v>
      </c>
      <c r="Y651" s="15">
        <v>25</v>
      </c>
      <c r="Z651" s="18">
        <f t="shared" si="414"/>
        <v>9.6881366666666651</v>
      </c>
      <c r="AA651" s="18">
        <f t="shared" si="415"/>
        <v>32</v>
      </c>
      <c r="AB651" s="18">
        <f t="shared" si="416"/>
        <v>22.311863333333338</v>
      </c>
      <c r="AE651" s="44" cm="1">
        <f t="array" ref="AE651">_xll.BDH("COMXGOLD Comdty","PX_Last", N651)</f>
        <v>36797531.568999998</v>
      </c>
      <c r="AF651" s="15" t="s">
        <v>52</v>
      </c>
      <c r="AG651" s="44" cm="1">
        <f t="array" ref="AG651">_xll.BDH(AF651,"FUT_AGGTE_OPEN_INT",A651)</f>
        <v>450862</v>
      </c>
      <c r="AH651" s="44">
        <f t="shared" si="417"/>
        <v>45086200</v>
      </c>
      <c r="AI651" s="48">
        <f t="shared" si="418"/>
        <v>0.81615952484352194</v>
      </c>
      <c r="AK651" s="44" cm="1">
        <f t="array" ref="AK651">_xll.BDH("COMXSILV Comdty","PX_Last", N651)</f>
        <v>497181.94</v>
      </c>
      <c r="AL651" s="15" t="s">
        <v>53</v>
      </c>
      <c r="AM651" s="47" cm="1">
        <f t="array" ref="AM651">_xll.BDH(AL651,"FUT_AGGTE_OPEN_INT",A651)</f>
        <v>171810</v>
      </c>
      <c r="AN651" s="45">
        <f t="shared" si="428"/>
        <v>578.7578604272162</v>
      </c>
      <c r="AO651" s="46">
        <f t="shared" si="429"/>
        <v>49718194000</v>
      </c>
      <c r="AP651" s="46">
        <f t="shared" si="430"/>
        <v>859050</v>
      </c>
    </row>
    <row r="652" spans="1:42" x14ac:dyDescent="0.2">
      <c r="A652" s="109">
        <v>45855</v>
      </c>
      <c r="B652" s="16" cm="1">
        <f t="array" ref="B652">_xll.BADDPERIODS(A652, "PER=WD", "NUMBEROFPERIODS=2", "BUSDAYADJ=-2", "CDR=GQ", "CDR=P9")</f>
        <v>45859</v>
      </c>
      <c r="C652" s="15" cm="1">
        <f t="array" ref="C652">_xll.BDH("XAU Curncy","PX_LAST",A652,A652)</f>
        <v>3338.97</v>
      </c>
      <c r="D652" s="15" t="str" cm="1">
        <f t="array" ref="D652">_xll.BDP("GCQ5 Comdty",$M$32)</f>
        <v>01/08/2025</v>
      </c>
      <c r="E652" s="15">
        <f t="shared" si="426"/>
        <v>11</v>
      </c>
      <c r="F652" s="23">
        <v>4.5999999999999999E-2</v>
      </c>
      <c r="G652" s="28">
        <f t="shared" si="422"/>
        <v>4.6931078333333325</v>
      </c>
      <c r="H652" s="12">
        <v>5.5</v>
      </c>
      <c r="I652" s="113">
        <f t="shared" si="423"/>
        <v>0.80689216666666752</v>
      </c>
      <c r="J652" s="26">
        <v>4</v>
      </c>
      <c r="K652" s="26">
        <v>6</v>
      </c>
      <c r="L652" s="26">
        <v>8</v>
      </c>
      <c r="N652" s="109">
        <v>45855</v>
      </c>
      <c r="O652" s="16" cm="1">
        <f t="array" ref="O652">_xll.BADDPERIODS(N652, "PER=WD", "NUMBEROFPERIODS=2", "BUSDAYADJ=-2", "CDR=GQ", "CDR=P9")</f>
        <v>45859</v>
      </c>
      <c r="P652" s="15" cm="1">
        <f t="array" ref="P652">_xll.BDH("XAG Curncy","PX_LAST",N652,N652)</f>
        <v>38.142299999999999</v>
      </c>
      <c r="Q652" s="15" t="str" cm="1">
        <f t="array" ref="Q652">_xll.BDP("SIU5 Comdty",$M$32)</f>
        <v>02/09/2025</v>
      </c>
      <c r="R652" s="15">
        <f t="shared" si="432"/>
        <v>43</v>
      </c>
      <c r="S652" s="23">
        <v>0.02</v>
      </c>
      <c r="T652" s="21">
        <f t="shared" si="424"/>
        <v>9.1117716666666668E-2</v>
      </c>
      <c r="U652" s="12">
        <v>0.22500000000000001</v>
      </c>
      <c r="V652" s="114">
        <f t="shared" si="425"/>
        <v>13.388228333333336</v>
      </c>
      <c r="W652" s="15">
        <v>15</v>
      </c>
      <c r="X652" s="15">
        <v>20</v>
      </c>
      <c r="Y652" s="15">
        <v>25</v>
      </c>
      <c r="Z652" s="18">
        <f t="shared" si="414"/>
        <v>9.1117716666666659</v>
      </c>
      <c r="AA652" s="18">
        <f t="shared" si="415"/>
        <v>22.5</v>
      </c>
      <c r="AB652" s="18">
        <f t="shared" si="416"/>
        <v>13.388228333333336</v>
      </c>
      <c r="AE652" s="44" cm="1">
        <f t="array" ref="AE652">_xll.BDH("COMXGOLD Comdty","PX_Last", N652)</f>
        <v>37143884.289999999</v>
      </c>
      <c r="AF652" s="15" t="s">
        <v>52</v>
      </c>
      <c r="AG652" s="44" cm="1">
        <f t="array" ref="AG652">_xll.BDH(AF652,"FUT_AGGTE_OPEN_INT",A652)</f>
        <v>444521</v>
      </c>
      <c r="AH652" s="44">
        <f t="shared" si="417"/>
        <v>44452100</v>
      </c>
      <c r="AI652" s="48">
        <f t="shared" si="418"/>
        <v>0.83559346555055891</v>
      </c>
      <c r="AK652" s="44" cm="1">
        <f t="array" ref="AK652">_xll.BDH("COMXSILV Comdty","PX_Last", N652)</f>
        <v>496688.53</v>
      </c>
      <c r="AL652" s="15" t="s">
        <v>53</v>
      </c>
      <c r="AM652" s="47" cm="1">
        <f t="array" ref="AM652">_xll.BDH(AL652,"FUT_AGGTE_OPEN_INT",A652)</f>
        <v>172865</v>
      </c>
      <c r="AN652" s="45">
        <f t="shared" si="428"/>
        <v>574.65482312787435</v>
      </c>
      <c r="AO652" s="46">
        <f t="shared" si="429"/>
        <v>49668853000</v>
      </c>
      <c r="AP652" s="46">
        <f t="shared" si="430"/>
        <v>864325</v>
      </c>
    </row>
    <row r="653" spans="1:42" x14ac:dyDescent="0.2">
      <c r="A653" s="109">
        <v>45856</v>
      </c>
      <c r="B653" s="16" cm="1">
        <f t="array" ref="B653">_xll.BADDPERIODS(A653, "PER=WD", "NUMBEROFPERIODS=2", "BUSDAYADJ=-2", "CDR=GQ", "CDR=P9")</f>
        <v>45860</v>
      </c>
      <c r="C653" s="15" cm="1">
        <f t="array" ref="C653">_xll.BDH("XAU Curncy","PX_LAST",A653,A653)</f>
        <v>3349.94</v>
      </c>
      <c r="D653" s="15" t="str" cm="1">
        <f t="array" ref="D653">_xll.BDP("GCQ5 Comdty",$M$32)</f>
        <v>01/08/2025</v>
      </c>
      <c r="E653" s="15">
        <f t="shared" si="426"/>
        <v>10</v>
      </c>
      <c r="F653" s="23">
        <v>4.7E-2</v>
      </c>
      <c r="G653" s="28">
        <f t="shared" si="422"/>
        <v>4.3735327777777782</v>
      </c>
      <c r="H653" s="12">
        <v>6.5</v>
      </c>
      <c r="I653" s="113">
        <f t="shared" si="423"/>
        <v>2.1264672222222218</v>
      </c>
      <c r="J653" s="26">
        <v>4</v>
      </c>
      <c r="K653" s="26">
        <v>6</v>
      </c>
      <c r="L653" s="26">
        <v>8</v>
      </c>
      <c r="N653" s="109">
        <v>45856</v>
      </c>
      <c r="O653" s="16" cm="1">
        <f t="array" ref="O653">_xll.BADDPERIODS(N653, "PER=WD", "NUMBEROFPERIODS=2", "BUSDAYADJ=-2", "CDR=GQ", "CDR=P9")</f>
        <v>45860</v>
      </c>
      <c r="P653" s="15" cm="1">
        <f t="array" ref="P653">_xll.BDH("XAG Curncy","PX_LAST",N653,N653)</f>
        <v>38.174999999999997</v>
      </c>
      <c r="Q653" s="15" t="str" cm="1">
        <f t="array" ref="Q653">_xll.BDP("SIU5 Comdty",$M$32)</f>
        <v>02/09/2025</v>
      </c>
      <c r="R653" s="15">
        <f t="shared" si="432"/>
        <v>42</v>
      </c>
      <c r="S653" s="23">
        <v>1.4999999999999999E-2</v>
      </c>
      <c r="T653" s="21">
        <f t="shared" si="424"/>
        <v>6.6806249999999984E-2</v>
      </c>
      <c r="U653" s="12">
        <v>0.3</v>
      </c>
      <c r="V653" s="114">
        <f t="shared" si="425"/>
        <v>23.319375000000001</v>
      </c>
      <c r="W653" s="15">
        <v>15</v>
      </c>
      <c r="X653" s="15">
        <v>20</v>
      </c>
      <c r="Y653" s="15">
        <v>25</v>
      </c>
      <c r="Z653" s="18">
        <f t="shared" si="414"/>
        <v>6.6806249999999983</v>
      </c>
      <c r="AA653" s="18">
        <f t="shared" si="415"/>
        <v>30</v>
      </c>
      <c r="AB653" s="18">
        <f t="shared" si="416"/>
        <v>23.319375000000001</v>
      </c>
      <c r="AE653" s="44" cm="1">
        <f t="array" ref="AE653">_xll.BDH("COMXGOLD Comdty","PX_Last", N653)</f>
        <v>37192142.941</v>
      </c>
      <c r="AF653" s="15" t="s">
        <v>52</v>
      </c>
      <c r="AG653" s="44" cm="1">
        <f t="array" ref="AG653">_xll.BDH(AF653,"FUT_AGGTE_OPEN_INT",A653)</f>
        <v>446753</v>
      </c>
      <c r="AH653" s="44">
        <f t="shared" si="417"/>
        <v>44675300</v>
      </c>
      <c r="AI653" s="48">
        <f t="shared" si="418"/>
        <v>0.83249900819916145</v>
      </c>
      <c r="AK653" s="44" cm="1">
        <f t="array" ref="AK653">_xll.BDH("COMXSILV Comdty","PX_Last", N653)</f>
        <v>497243.94</v>
      </c>
      <c r="AL653" s="15" t="s">
        <v>53</v>
      </c>
      <c r="AM653" s="47" cm="1">
        <f t="array" ref="AM653">_xll.BDH(AL653,"FUT_AGGTE_OPEN_INT",A653)</f>
        <v>171722</v>
      </c>
      <c r="AN653" s="45">
        <f t="shared" si="428"/>
        <v>579.1266582033752</v>
      </c>
      <c r="AO653" s="46">
        <f t="shared" si="429"/>
        <v>49724394000</v>
      </c>
      <c r="AP653" s="46">
        <f t="shared" si="430"/>
        <v>858610</v>
      </c>
    </row>
    <row r="654" spans="1:42" x14ac:dyDescent="0.2">
      <c r="A654" s="109">
        <v>45859</v>
      </c>
      <c r="B654" s="16" cm="1">
        <f t="array" ref="B654">_xll.BADDPERIODS(A654, "PER=WD", "NUMBEROFPERIODS=2", "BUSDAYADJ=-2", "CDR=GQ", "CDR=P9")</f>
        <v>45861</v>
      </c>
      <c r="C654" s="15" cm="1">
        <f t="array" ref="C654">_xll.BDH("XAU Curncy","PX_LAST",A654,A654)</f>
        <v>3397.05</v>
      </c>
      <c r="D654" s="15" t="str" cm="1">
        <f t="array" ref="D654">_xll.BDP("GCQ5 Comdty",$M$32)</f>
        <v>01/08/2025</v>
      </c>
      <c r="E654" s="15">
        <f t="shared" si="426"/>
        <v>9</v>
      </c>
      <c r="F654" s="23">
        <v>4.7E-2</v>
      </c>
      <c r="G654" s="28">
        <f t="shared" si="422"/>
        <v>3.9915337500000003</v>
      </c>
      <c r="H654" s="12">
        <v>14.5</v>
      </c>
      <c r="I654" s="113">
        <f t="shared" si="423"/>
        <v>10.50846625</v>
      </c>
      <c r="J654" s="26">
        <v>4</v>
      </c>
      <c r="K654" s="26">
        <v>6</v>
      </c>
      <c r="L654" s="26">
        <v>8</v>
      </c>
      <c r="N654" s="109">
        <v>45859</v>
      </c>
      <c r="O654" s="16" cm="1">
        <f t="array" ref="O654">_xll.BADDPERIODS(N654, "PER=WD", "NUMBEROFPERIODS=2", "BUSDAYADJ=-2", "CDR=GQ", "CDR=P9")</f>
        <v>45861</v>
      </c>
      <c r="P654" s="15" cm="1">
        <f t="array" ref="P654">_xll.BDH("XAG Curncy","PX_LAST",N654,N654)</f>
        <v>38.930199999999999</v>
      </c>
      <c r="Q654" s="15" t="str" cm="1">
        <f t="array" ref="Q654">_xll.BDP("SIU5 Comdty",$M$32)</f>
        <v>02/09/2025</v>
      </c>
      <c r="R654" s="15">
        <f t="shared" si="432"/>
        <v>41</v>
      </c>
      <c r="S654" s="23">
        <v>0.01</v>
      </c>
      <c r="T654" s="21">
        <f t="shared" si="424"/>
        <v>4.4337172222222214E-2</v>
      </c>
      <c r="U654" s="12">
        <v>0.4</v>
      </c>
      <c r="V654" s="114">
        <f t="shared" si="425"/>
        <v>35.566282777777779</v>
      </c>
      <c r="W654" s="15">
        <v>15</v>
      </c>
      <c r="X654" s="15">
        <v>20</v>
      </c>
      <c r="Y654" s="15">
        <v>25</v>
      </c>
      <c r="Z654" s="18">
        <f t="shared" si="414"/>
        <v>4.4337172222222216</v>
      </c>
      <c r="AA654" s="18">
        <f t="shared" si="415"/>
        <v>40</v>
      </c>
      <c r="AB654" s="18">
        <f t="shared" si="416"/>
        <v>35.566282777777779</v>
      </c>
      <c r="AE654" s="44" cm="1">
        <f t="array" ref="AE654">_xll.BDH("COMXGOLD Comdty","PX_Last", N654)</f>
        <v>37192142.941</v>
      </c>
      <c r="AF654" s="15" t="s">
        <v>52</v>
      </c>
      <c r="AG654" s="44" cm="1">
        <f t="array" ref="AG654">_xll.BDH(AF654,"FUT_AGGTE_OPEN_INT",A654)</f>
        <v>471321</v>
      </c>
      <c r="AH654" s="44">
        <f t="shared" si="417"/>
        <v>47132100</v>
      </c>
      <c r="AI654" s="48">
        <f t="shared" si="418"/>
        <v>0.78910430345772842</v>
      </c>
      <c r="AK654" s="44" cm="1">
        <f t="array" ref="AK654">_xll.BDH("COMXSILV Comdty","PX_Last", N654)</f>
        <v>497645.56</v>
      </c>
      <c r="AL654" s="15" t="s">
        <v>53</v>
      </c>
      <c r="AM654" s="47" cm="1">
        <f t="array" ref="AM654">_xll.BDH(AL654,"FUT_AGGTE_OPEN_INT",A654)</f>
        <v>173412</v>
      </c>
      <c r="AN654" s="45">
        <f t="shared" si="428"/>
        <v>573.94593223075685</v>
      </c>
      <c r="AO654" s="46">
        <f t="shared" si="429"/>
        <v>49764556000</v>
      </c>
      <c r="AP654" s="46">
        <f t="shared" si="430"/>
        <v>867060</v>
      </c>
    </row>
    <row r="655" spans="1:42" x14ac:dyDescent="0.2">
      <c r="A655" s="109">
        <v>45860</v>
      </c>
      <c r="B655" s="16" cm="1">
        <f t="array" ref="B655">_xll.BADDPERIODS(A655, "PER=WD", "NUMBEROFPERIODS=2", "BUSDAYADJ=-2", "CDR=GQ", "CDR=P9")</f>
        <v>45862</v>
      </c>
      <c r="C655" s="15" cm="1">
        <f t="array" ref="C655">_xll.BDH("XAU Curncy","PX_LAST",A655,A655)</f>
        <v>3431.48</v>
      </c>
      <c r="D655" s="15" t="str" cm="1">
        <f t="array" ref="D655">_xll.BDP("GCQ5 Comdty",$M$32)</f>
        <v>01/08/2025</v>
      </c>
      <c r="E655" s="15">
        <f t="shared" si="426"/>
        <v>8</v>
      </c>
      <c r="F655" s="23">
        <v>4.7E-2</v>
      </c>
      <c r="G655" s="28">
        <f t="shared" si="422"/>
        <v>3.5839902222222229</v>
      </c>
      <c r="H655" s="12">
        <v>13.75</v>
      </c>
      <c r="I655" s="113">
        <f t="shared" si="423"/>
        <v>10.166009777777777</v>
      </c>
      <c r="J655" s="26">
        <v>4</v>
      </c>
      <c r="K655" s="26">
        <v>6</v>
      </c>
      <c r="L655" s="26">
        <v>8</v>
      </c>
      <c r="N655" s="109">
        <v>45860</v>
      </c>
      <c r="O655" s="16" cm="1">
        <f t="array" ref="O655">_xll.BADDPERIODS(N655, "PER=WD", "NUMBEROFPERIODS=2", "BUSDAYADJ=-2", "CDR=GQ", "CDR=P9")</f>
        <v>45862</v>
      </c>
      <c r="P655" s="15" cm="1">
        <f t="array" ref="P655">_xll.BDH("XAG Curncy","PX_LAST",N655,N655)</f>
        <v>39.292499999999997</v>
      </c>
      <c r="Q655" s="15" t="str" cm="1">
        <f t="array" ref="Q655">_xll.BDP("SIU5 Comdty",$M$32)</f>
        <v>02/09/2025</v>
      </c>
      <c r="R655" s="15">
        <f t="shared" si="432"/>
        <v>40</v>
      </c>
      <c r="S655" s="23">
        <v>2.5000000000000001E-3</v>
      </c>
      <c r="T655" s="21">
        <f t="shared" si="424"/>
        <v>1.0914583333333332E-2</v>
      </c>
      <c r="U655" s="12">
        <v>0.35</v>
      </c>
      <c r="V655" s="114">
        <f t="shared" si="425"/>
        <v>33.908541666666665</v>
      </c>
      <c r="W655" s="15">
        <v>15</v>
      </c>
      <c r="X655" s="15">
        <v>20</v>
      </c>
      <c r="Y655" s="15">
        <v>25</v>
      </c>
      <c r="Z655" s="18">
        <f t="shared" si="414"/>
        <v>1.0914583333333332</v>
      </c>
      <c r="AA655" s="18">
        <f t="shared" si="415"/>
        <v>35</v>
      </c>
      <c r="AB655" s="18">
        <f t="shared" si="416"/>
        <v>33.908541666666665</v>
      </c>
      <c r="AE655" s="44" cm="1">
        <f t="array" ref="AE655">_xll.BDH("COMXGOLD Comdty","PX_Last", N655)</f>
        <v>37488074.622000001</v>
      </c>
      <c r="AF655" s="15" t="s">
        <v>52</v>
      </c>
      <c r="AG655" s="44" cm="1">
        <f t="array" ref="AG655">_xll.BDH(AF655,"FUT_AGGTE_OPEN_INT",A655)</f>
        <v>489423</v>
      </c>
      <c r="AH655" s="44">
        <f t="shared" si="417"/>
        <v>48942300</v>
      </c>
      <c r="AI655" s="48">
        <f t="shared" si="418"/>
        <v>0.7659647099135104</v>
      </c>
      <c r="AK655" s="44" cm="1">
        <f t="array" ref="AK655">_xll.BDH("COMXSILV Comdty","PX_Last", N655)</f>
        <v>497984.78</v>
      </c>
      <c r="AL655" s="15" t="s">
        <v>53</v>
      </c>
      <c r="AM655" s="47" cm="1">
        <f t="array" ref="AM655">_xll.BDH(AL655,"FUT_AGGTE_OPEN_INT",A655)</f>
        <v>173679</v>
      </c>
      <c r="AN655" s="45">
        <f t="shared" si="428"/>
        <v>573.45422302063002</v>
      </c>
      <c r="AO655" s="46">
        <f t="shared" si="429"/>
        <v>49798478000</v>
      </c>
      <c r="AP655" s="46">
        <f t="shared" si="430"/>
        <v>868395</v>
      </c>
    </row>
    <row r="656" spans="1:42" x14ac:dyDescent="0.2">
      <c r="A656" s="109">
        <v>45861</v>
      </c>
      <c r="B656" s="16" cm="1">
        <f t="array" ref="B656">_xll.BADDPERIODS(A656, "PER=WD", "NUMBEROFPERIODS=2", "BUSDAYADJ=-2", "CDR=GQ", "CDR=P9")</f>
        <v>45863</v>
      </c>
      <c r="C656" s="15" cm="1">
        <f t="array" ref="C656">_xll.BDH("XAU Curncy","PX_LAST",A656,A656)</f>
        <v>3387.29</v>
      </c>
      <c r="D656" s="15" t="str" cm="1">
        <f t="array" ref="D656">_xll.BDP("GCQ5 Comdty",$M$32)</f>
        <v>01/08/2025</v>
      </c>
      <c r="E656" s="15">
        <f t="shared" si="426"/>
        <v>7</v>
      </c>
      <c r="F656" s="23">
        <v>4.7500000000000001E-2</v>
      </c>
      <c r="G656" s="28">
        <f t="shared" si="422"/>
        <v>3.1285386805555553</v>
      </c>
      <c r="H656" s="12">
        <v>10.5</v>
      </c>
      <c r="I656" s="113">
        <f t="shared" si="423"/>
        <v>7.3714613194444443</v>
      </c>
      <c r="J656" s="26">
        <v>4</v>
      </c>
      <c r="K656" s="26">
        <v>6</v>
      </c>
      <c r="L656" s="26">
        <v>8</v>
      </c>
      <c r="N656" s="109">
        <v>45861</v>
      </c>
      <c r="O656" s="16" cm="1">
        <f t="array" ref="O656">_xll.BADDPERIODS(N656, "PER=WD", "NUMBEROFPERIODS=2", "BUSDAYADJ=-2", "CDR=GQ", "CDR=P9")</f>
        <v>45863</v>
      </c>
      <c r="P656" s="15" cm="1">
        <f t="array" ref="P656">_xll.BDH("XAG Curncy","PX_LAST",N656,N656)</f>
        <v>39.265599999999999</v>
      </c>
      <c r="Q656" s="15" t="str" cm="1">
        <f t="array" ref="Q656">_xll.BDP("SIU5 Comdty",$M$32)</f>
        <v>02/09/2025</v>
      </c>
      <c r="R656" s="15">
        <f t="shared" si="432"/>
        <v>39</v>
      </c>
      <c r="S656" s="23">
        <v>2.5000000000000001E-3</v>
      </c>
      <c r="T656" s="21">
        <f t="shared" si="424"/>
        <v>1.0634433333333334E-2</v>
      </c>
      <c r="U656" s="12">
        <v>0.34499999999999997</v>
      </c>
      <c r="V656" s="114">
        <f t="shared" si="425"/>
        <v>33.436556666666661</v>
      </c>
      <c r="W656" s="15">
        <v>15</v>
      </c>
      <c r="X656" s="15">
        <v>20</v>
      </c>
      <c r="Y656" s="15">
        <v>25</v>
      </c>
      <c r="Z656" s="18">
        <f t="shared" si="414"/>
        <v>1.0634433333333333</v>
      </c>
      <c r="AA656" s="18">
        <f t="shared" si="415"/>
        <v>34.5</v>
      </c>
      <c r="AB656" s="18">
        <f t="shared" si="416"/>
        <v>33.436556666666661</v>
      </c>
      <c r="AE656" s="44" cm="1">
        <f t="array" ref="AE656">_xll.BDH("COMXGOLD Comdty","PX_Last", N656)</f>
        <v>37488074.622000001</v>
      </c>
      <c r="AF656" s="15" t="s">
        <v>52</v>
      </c>
      <c r="AG656" s="44" cm="1">
        <f t="array" ref="AG656">_xll.BDH(AF656,"FUT_AGGTE_OPEN_INT",A656)</f>
        <v>484112</v>
      </c>
      <c r="AH656" s="44">
        <f t="shared" si="417"/>
        <v>48411200</v>
      </c>
      <c r="AI656" s="48">
        <f t="shared" si="418"/>
        <v>0.77436780377268077</v>
      </c>
      <c r="AK656" s="44" cm="1">
        <f t="array" ref="AK656">_xll.BDH("COMXSILV Comdty","PX_Last", N656)</f>
        <v>498207.09</v>
      </c>
      <c r="AL656" s="15" t="s">
        <v>53</v>
      </c>
      <c r="AM656" s="47" cm="1">
        <f t="array" ref="AM656">_xll.BDH(AL656,"FUT_AGGTE_OPEN_INT",A656)</f>
        <v>174259</v>
      </c>
      <c r="AN656" s="45">
        <f t="shared" si="428"/>
        <v>571.80069895959457</v>
      </c>
      <c r="AO656" s="46">
        <f t="shared" si="429"/>
        <v>49820709000</v>
      </c>
      <c r="AP656" s="46">
        <f t="shared" si="430"/>
        <v>871295</v>
      </c>
    </row>
    <row r="657" spans="1:42" x14ac:dyDescent="0.2">
      <c r="A657" s="109">
        <v>45862</v>
      </c>
      <c r="B657" s="16" cm="1">
        <f t="array" ref="B657">_xll.BADDPERIODS(A657, "PER=WD", "NUMBEROFPERIODS=2", "BUSDAYADJ=-2", "CDR=GQ", "CDR=P9")</f>
        <v>45866</v>
      </c>
      <c r="C657" s="15" cm="1">
        <f t="array" ref="C657">_xll.BDH("XAU Curncy","PX_LAST",A657,A657)</f>
        <v>3368.68</v>
      </c>
      <c r="D657" s="15" t="str" cm="1">
        <f t="array" ref="D657">_xll.BDP("GCQ5 Comdty",$M$32)</f>
        <v>01/08/2025</v>
      </c>
      <c r="E657" s="15">
        <f t="shared" si="426"/>
        <v>4</v>
      </c>
      <c r="F657" s="23">
        <v>4.7500000000000001E-2</v>
      </c>
      <c r="G657" s="28">
        <f t="shared" si="422"/>
        <v>1.7779144444444446</v>
      </c>
      <c r="H657" s="12">
        <v>4</v>
      </c>
      <c r="I657" s="113">
        <f t="shared" si="423"/>
        <v>2.2220855555555552</v>
      </c>
      <c r="J657" s="26">
        <v>4</v>
      </c>
      <c r="K657" s="26">
        <v>6</v>
      </c>
      <c r="L657" s="26">
        <v>8</v>
      </c>
      <c r="N657" s="109">
        <v>45862</v>
      </c>
      <c r="O657" s="16" cm="1">
        <f t="array" ref="O657">_xll.BADDPERIODS(N657, "PER=WD", "NUMBEROFPERIODS=2", "BUSDAYADJ=-2", "CDR=GQ", "CDR=P9")</f>
        <v>45866</v>
      </c>
      <c r="P657" s="15" cm="1">
        <f t="array" ref="P657">_xll.BDH("XAG Curncy","PX_LAST",N657,N657)</f>
        <v>39.067999999999998</v>
      </c>
      <c r="Q657" s="15" t="str" cm="1">
        <f t="array" ref="Q657">_xll.BDP("SIU5 Comdty",$M$32)</f>
        <v>02/09/2025</v>
      </c>
      <c r="R657" s="15">
        <f t="shared" si="432"/>
        <v>36</v>
      </c>
      <c r="S657" s="23">
        <v>7.4999999999999997E-3</v>
      </c>
      <c r="T657" s="21">
        <f t="shared" si="424"/>
        <v>2.9301000000000001E-2</v>
      </c>
      <c r="U657" s="12">
        <v>0.215</v>
      </c>
      <c r="V657" s="114">
        <f t="shared" si="425"/>
        <v>18.569900000000001</v>
      </c>
      <c r="W657" s="15">
        <v>15</v>
      </c>
      <c r="X657" s="15">
        <v>20</v>
      </c>
      <c r="Y657" s="15">
        <v>25</v>
      </c>
      <c r="Z657" s="18">
        <f t="shared" si="414"/>
        <v>2.9300999999999999</v>
      </c>
      <c r="AA657" s="18">
        <f t="shared" si="415"/>
        <v>21.5</v>
      </c>
      <c r="AB657" s="18">
        <f t="shared" si="416"/>
        <v>18.569900000000001</v>
      </c>
      <c r="AE657" s="44" cm="1">
        <f t="array" ref="AE657">_xll.BDH("COMXGOLD Comdty","PX_Last", N657)</f>
        <v>37616678.622000001</v>
      </c>
      <c r="AF657" s="15" t="s">
        <v>52</v>
      </c>
      <c r="AG657" s="44" cm="1">
        <f t="array" ref="AG657">_xll.BDH(AF657,"FUT_AGGTE_OPEN_INT",A657)</f>
        <v>472144</v>
      </c>
      <c r="AH657" s="44">
        <f t="shared" si="417"/>
        <v>47214400</v>
      </c>
      <c r="AI657" s="48">
        <f t="shared" si="418"/>
        <v>0.79672046286726084</v>
      </c>
      <c r="AK657" s="44" cm="1">
        <f t="array" ref="AK657">_xll.BDH("COMXSILV Comdty","PX_Last", N657)</f>
        <v>497804.16</v>
      </c>
      <c r="AL657" s="15" t="s">
        <v>53</v>
      </c>
      <c r="AM657" s="47" cm="1">
        <f t="array" ref="AM657">_xll.BDH(AL657,"FUT_AGGTE_OPEN_INT",A657)</f>
        <v>173754</v>
      </c>
      <c r="AN657" s="45">
        <f t="shared" si="428"/>
        <v>572.99879139473046</v>
      </c>
      <c r="AO657" s="46">
        <f t="shared" si="429"/>
        <v>49780416000</v>
      </c>
      <c r="AP657" s="46">
        <f t="shared" si="430"/>
        <v>868770</v>
      </c>
    </row>
    <row r="658" spans="1:42" x14ac:dyDescent="0.2">
      <c r="A658" s="109">
        <v>45863</v>
      </c>
      <c r="B658" s="16" cm="1">
        <f t="array" ref="B658">_xll.BADDPERIODS(A658, "PER=WD", "NUMBEROFPERIODS=2", "BUSDAYADJ=-2", "CDR=GQ", "CDR=P9")</f>
        <v>45867</v>
      </c>
      <c r="C658" s="15" cm="1">
        <f t="array" ref="C658">_xll.BDH("XAU Curncy","PX_LAST",A658,A658)</f>
        <v>3337.3</v>
      </c>
      <c r="D658" s="15" t="str" cm="1">
        <f t="array" ref="D658">_xll.BDP("GCQ5 Comdty",$M$32)</f>
        <v>01/08/2025</v>
      </c>
      <c r="E658" s="15">
        <f t="shared" si="426"/>
        <v>3</v>
      </c>
      <c r="F658" s="23">
        <v>4.8000000000000001E-2</v>
      </c>
      <c r="G658" s="28">
        <f t="shared" si="422"/>
        <v>1.3349200000000001</v>
      </c>
      <c r="H658" s="12">
        <v>0.5</v>
      </c>
      <c r="I658" s="113">
        <f t="shared" si="423"/>
        <v>-0.83492000000000011</v>
      </c>
      <c r="J658" s="26">
        <v>4</v>
      </c>
      <c r="K658" s="26">
        <v>6</v>
      </c>
      <c r="L658" s="26">
        <v>8</v>
      </c>
      <c r="N658" s="109">
        <v>45863</v>
      </c>
      <c r="O658" s="16" cm="1">
        <f t="array" ref="O658">_xll.BADDPERIODS(N658, "PER=WD", "NUMBEROFPERIODS=2", "BUSDAYADJ=-2", "CDR=GQ", "CDR=P9")</f>
        <v>45867</v>
      </c>
      <c r="P658" s="15" cm="1">
        <f t="array" ref="P658">_xll.BDH("XAG Curncy","PX_LAST",N658,N658)</f>
        <v>38.159999999999997</v>
      </c>
      <c r="Q658" s="15" t="str" cm="1">
        <f t="array" ref="Q658">_xll.BDP("SIU5 Comdty",$M$32)</f>
        <v>02/09/2025</v>
      </c>
      <c r="R658" s="15">
        <f t="shared" si="432"/>
        <v>35</v>
      </c>
      <c r="S658" s="23">
        <v>7.4999999999999997E-3</v>
      </c>
      <c r="T658" s="21">
        <f t="shared" si="424"/>
        <v>2.7824999999999996E-2</v>
      </c>
      <c r="U658" s="12">
        <v>0.2</v>
      </c>
      <c r="V658" s="114">
        <f t="shared" si="425"/>
        <v>17.217500000000001</v>
      </c>
      <c r="W658" s="15">
        <v>15</v>
      </c>
      <c r="X658" s="15">
        <v>20</v>
      </c>
      <c r="Y658" s="15">
        <v>25</v>
      </c>
      <c r="Z658" s="18">
        <f t="shared" si="414"/>
        <v>2.7824999999999998</v>
      </c>
      <c r="AA658" s="18">
        <f t="shared" si="415"/>
        <v>20</v>
      </c>
      <c r="AB658" s="18">
        <f t="shared" si="416"/>
        <v>17.217500000000001</v>
      </c>
      <c r="AE658" s="44" cm="1">
        <f t="array" ref="AE658">_xll.BDH("COMXGOLD Comdty","PX_Last", N658)</f>
        <v>37762393.919</v>
      </c>
      <c r="AF658" s="15" t="s">
        <v>52</v>
      </c>
      <c r="AG658" s="44" cm="1">
        <f t="array" ref="AG658">_xll.BDH(AF658,"FUT_AGGTE_OPEN_INT",A658)</f>
        <v>461504</v>
      </c>
      <c r="AH658" s="44">
        <f t="shared" si="417"/>
        <v>46150400</v>
      </c>
      <c r="AI658" s="48">
        <f t="shared" si="418"/>
        <v>0.81824629730186516</v>
      </c>
      <c r="AK658" s="44" cm="1">
        <f t="array" ref="AK658">_xll.BDH("COMXSILV Comdty","PX_Last", N658)</f>
        <v>500320.75</v>
      </c>
      <c r="AL658" s="15" t="s">
        <v>53</v>
      </c>
      <c r="AM658" s="47" cm="1">
        <f t="array" ref="AM658">_xll.BDH(AL658,"FUT_AGGTE_OPEN_INT",A658)</f>
        <v>171385</v>
      </c>
      <c r="AN658" s="45">
        <f t="shared" si="428"/>
        <v>583.85593838433942</v>
      </c>
      <c r="AO658" s="46">
        <f t="shared" si="429"/>
        <v>50032075000</v>
      </c>
      <c r="AP658" s="46">
        <f t="shared" si="430"/>
        <v>856925</v>
      </c>
    </row>
    <row r="659" spans="1:42" x14ac:dyDescent="0.2">
      <c r="A659" s="109">
        <v>45866</v>
      </c>
      <c r="B659" s="16" cm="1">
        <f t="array" ref="B659">_xll.BADDPERIODS(A659, "PER=WD", "NUMBEROFPERIODS=2", "BUSDAYADJ=-2", "CDR=GQ", "CDR=P9")</f>
        <v>45868</v>
      </c>
      <c r="C659" s="15" cm="1">
        <f t="array" ref="C659">_xll.BDH("XAU Curncy","PX_LAST",A659,A659)</f>
        <v>3314.61</v>
      </c>
      <c r="D659" s="15" t="str" cm="1">
        <f t="array" ref="D659">_xll.BDP("GCQ5 Comdty",$M$32)</f>
        <v>01/08/2025</v>
      </c>
      <c r="E659" s="15">
        <f t="shared" si="426"/>
        <v>2</v>
      </c>
      <c r="F659" s="23">
        <v>4.8000000000000001E-2</v>
      </c>
      <c r="G659" s="28">
        <f t="shared" si="422"/>
        <v>0.88389600000000002</v>
      </c>
      <c r="H659" s="12">
        <v>0</v>
      </c>
      <c r="I659" s="113">
        <f t="shared" si="423"/>
        <v>-0.88389600000000002</v>
      </c>
      <c r="J659" s="26">
        <v>4</v>
      </c>
      <c r="K659" s="26">
        <v>6</v>
      </c>
      <c r="L659" s="26">
        <v>8</v>
      </c>
      <c r="N659" s="109">
        <v>45866</v>
      </c>
      <c r="O659" s="16" cm="1">
        <f t="array" ref="O659">_xll.BADDPERIODS(N659, "PER=WD", "NUMBEROFPERIODS=2", "BUSDAYADJ=-2", "CDR=GQ", "CDR=P9")</f>
        <v>45868</v>
      </c>
      <c r="P659" s="15" cm="1">
        <f t="array" ref="P659">_xll.BDH("XAG Curncy","PX_LAST",N659,N659)</f>
        <v>38.168700000000001</v>
      </c>
      <c r="Q659" s="15" t="str" cm="1">
        <f t="array" ref="Q659">_xll.BDP("SIU5 Comdty",$M$32)</f>
        <v>02/09/2025</v>
      </c>
      <c r="R659" s="15">
        <f t="shared" si="432"/>
        <v>34</v>
      </c>
      <c r="S659" s="23">
        <v>1.2500000000000001E-2</v>
      </c>
      <c r="T659" s="21">
        <f t="shared" si="424"/>
        <v>4.5060270833333332E-2</v>
      </c>
      <c r="U659" s="12">
        <v>0.2</v>
      </c>
      <c r="V659" s="114">
        <f t="shared" si="425"/>
        <v>15.493972916666667</v>
      </c>
      <c r="W659" s="15">
        <v>15</v>
      </c>
      <c r="X659" s="15">
        <v>20</v>
      </c>
      <c r="Y659" s="15">
        <v>25</v>
      </c>
      <c r="Z659" s="18">
        <f t="shared" si="414"/>
        <v>4.5060270833333336</v>
      </c>
      <c r="AA659" s="18">
        <f t="shared" si="415"/>
        <v>20</v>
      </c>
      <c r="AB659" s="18">
        <f t="shared" si="416"/>
        <v>15.493972916666667</v>
      </c>
      <c r="AE659" s="44" cm="1">
        <f t="array" ref="AE659">_xll.BDH("COMXGOLD Comdty","PX_Last", N659)</f>
        <v>38034037.718000002</v>
      </c>
      <c r="AF659" s="15" t="s">
        <v>52</v>
      </c>
      <c r="AG659" s="44" cm="1">
        <f t="array" ref="AG659">_xll.BDH(AF659,"FUT_AGGTE_OPEN_INT",A659)</f>
        <v>450941</v>
      </c>
      <c r="AH659" s="44">
        <f t="shared" si="417"/>
        <v>45094100</v>
      </c>
      <c r="AI659" s="48">
        <f t="shared" si="418"/>
        <v>0.84343711744995475</v>
      </c>
      <c r="AK659" s="44" cm="1">
        <f t="array" ref="AK659">_xll.BDH("COMXSILV Comdty","PX_Last", N659)</f>
        <v>501696.63</v>
      </c>
      <c r="AL659" s="15" t="s">
        <v>53</v>
      </c>
      <c r="AM659" s="47" cm="1">
        <f t="array" ref="AM659">_xll.BDH(AL659,"FUT_AGGTE_OPEN_INT",A659)</f>
        <v>170254</v>
      </c>
      <c r="AN659" s="45">
        <f t="shared" si="428"/>
        <v>589.3507700259612</v>
      </c>
      <c r="AO659" s="46">
        <f t="shared" si="429"/>
        <v>50169663000</v>
      </c>
      <c r="AP659" s="46">
        <f t="shared" si="430"/>
        <v>851270</v>
      </c>
    </row>
    <row r="660" spans="1:42" x14ac:dyDescent="0.2">
      <c r="A660" s="109">
        <v>45867</v>
      </c>
      <c r="B660" s="16" cm="1">
        <f t="array" ref="B660">_xll.BADDPERIODS(A660, "PER=WD", "NUMBEROFPERIODS=2", "BUSDAYADJ=-2", "CDR=GQ", "CDR=P9")</f>
        <v>45869</v>
      </c>
      <c r="C660" s="15" cm="1">
        <f t="array" ref="C660">_xll.BDH("XAU Curncy","PX_LAST",A660,A660)</f>
        <v>3326.62</v>
      </c>
      <c r="D660" s="15" t="str" cm="1">
        <f t="array" ref="D660">_xll.BDP("GCQ5 Comdty",$M$32)</f>
        <v>01/08/2025</v>
      </c>
      <c r="E660" s="15">
        <f t="shared" si="426"/>
        <v>1</v>
      </c>
      <c r="F660" s="23">
        <v>4.8000000000000001E-2</v>
      </c>
      <c r="G660" s="28">
        <f t="shared" si="422"/>
        <v>0.44354933333333335</v>
      </c>
      <c r="H660" s="12">
        <v>-1</v>
      </c>
      <c r="I660" s="113">
        <f t="shared" si="423"/>
        <v>-1.4435493333333334</v>
      </c>
      <c r="J660" s="26">
        <v>4</v>
      </c>
      <c r="K660" s="26">
        <v>6</v>
      </c>
      <c r="L660" s="26">
        <v>8</v>
      </c>
      <c r="N660" s="109">
        <v>45867</v>
      </c>
      <c r="O660" s="16" cm="1">
        <f t="array" ref="O660">_xll.BADDPERIODS(N660, "PER=WD", "NUMBEROFPERIODS=2", "BUSDAYADJ=-2", "CDR=GQ", "CDR=P9")</f>
        <v>45869</v>
      </c>
      <c r="P660" s="15" cm="1">
        <f t="array" ref="P660">_xll.BDH("XAG Curncy","PX_LAST",N660,N660)</f>
        <v>38.207999999999998</v>
      </c>
      <c r="Q660" s="15" t="str" cm="1">
        <f t="array" ref="Q660">_xll.BDP("SIU5 Comdty",$M$32)</f>
        <v>02/09/2025</v>
      </c>
      <c r="R660" s="15">
        <f t="shared" si="432"/>
        <v>33</v>
      </c>
      <c r="S660" s="23">
        <v>1.2500000000000001E-2</v>
      </c>
      <c r="T660" s="21">
        <f t="shared" si="424"/>
        <v>4.3779999999999999E-2</v>
      </c>
      <c r="U660" s="12">
        <v>0.16</v>
      </c>
      <c r="V660" s="114">
        <f t="shared" si="425"/>
        <v>11.622</v>
      </c>
      <c r="W660" s="15">
        <v>15</v>
      </c>
      <c r="X660" s="15">
        <v>20</v>
      </c>
      <c r="Y660" s="15">
        <v>25</v>
      </c>
      <c r="Z660" s="18">
        <f t="shared" si="414"/>
        <v>4.3780000000000001</v>
      </c>
      <c r="AA660" s="18">
        <f t="shared" si="415"/>
        <v>16</v>
      </c>
      <c r="AB660" s="18">
        <f t="shared" si="416"/>
        <v>11.622</v>
      </c>
      <c r="AE660" s="44" cm="1">
        <f t="array" ref="AE660">_xll.BDH("COMXGOLD Comdty","PX_Last", N660)</f>
        <v>38166531.989</v>
      </c>
      <c r="AF660" s="15" t="s">
        <v>52</v>
      </c>
      <c r="AG660" s="44" cm="1">
        <f t="array" ref="AG660">_xll.BDH(AF660,"FUT_AGGTE_OPEN_INT",A660)</f>
        <v>445259</v>
      </c>
      <c r="AH660" s="44">
        <f t="shared" si="417"/>
        <v>44525900</v>
      </c>
      <c r="AI660" s="48">
        <f t="shared" si="418"/>
        <v>0.85717598047428578</v>
      </c>
      <c r="AK660" s="44" cm="1">
        <f t="array" ref="AK660">_xll.BDH("COMXSILV Comdty","PX_Last", N660)</f>
        <v>502296.53</v>
      </c>
      <c r="AL660" s="15" t="s">
        <v>53</v>
      </c>
      <c r="AM660" s="47" cm="1">
        <f t="array" ref="AM660">_xll.BDH(AL660,"FUT_AGGTE_OPEN_INT",A660)</f>
        <v>170329</v>
      </c>
      <c r="AN660" s="45">
        <f t="shared" si="428"/>
        <v>589.79566603455669</v>
      </c>
      <c r="AO660" s="46">
        <f t="shared" si="429"/>
        <v>50229653000</v>
      </c>
      <c r="AP660" s="46">
        <f t="shared" si="430"/>
        <v>851645</v>
      </c>
    </row>
    <row r="661" spans="1:42" x14ac:dyDescent="0.2">
      <c r="A661" s="109">
        <v>45868</v>
      </c>
      <c r="B661" s="16" cm="1">
        <f t="array" ref="B661">_xll.BADDPERIODS(A661, "PER=WD", "NUMBEROFPERIODS=2", "BUSDAYADJ=-2", "CDR=GQ", "CDR=P9")</f>
        <v>45870</v>
      </c>
      <c r="C661" s="15" cm="1">
        <f t="array" ref="C661">_xll.BDH("XAU Curncy","PX_LAST",A661,A661)</f>
        <v>3275.18</v>
      </c>
      <c r="D661" s="15" t="str" cm="1">
        <f t="array" ref="D661">_xll.BDP("GCZ5 Comdty",$M$32)</f>
        <v>01/12/2025</v>
      </c>
      <c r="E661" s="15">
        <f t="shared" si="426"/>
        <v>122</v>
      </c>
      <c r="F661" s="23">
        <v>4.5100000000000001E-2</v>
      </c>
      <c r="G661" s="28">
        <f t="shared" si="422"/>
        <v>50.057487211111109</v>
      </c>
      <c r="H661" s="12">
        <v>54</v>
      </c>
      <c r="I661" s="113">
        <f t="shared" si="423"/>
        <v>3.9425127888888909</v>
      </c>
      <c r="J661" s="26">
        <v>4</v>
      </c>
      <c r="K661" s="26">
        <v>6</v>
      </c>
      <c r="L661" s="26">
        <v>8</v>
      </c>
      <c r="N661" s="109">
        <v>45868</v>
      </c>
      <c r="O661" s="16" cm="1">
        <f t="array" ref="O661">_xll.BADDPERIODS(N661, "PER=WD", "NUMBEROFPERIODS=2", "BUSDAYADJ=-2", "CDR=GQ", "CDR=P9")</f>
        <v>45870</v>
      </c>
      <c r="P661" s="15" cm="1">
        <f t="array" ref="P661">_xll.BDH("XAG Curncy","PX_LAST",N661,N661)</f>
        <v>37.132199999999997</v>
      </c>
      <c r="Q661" s="15" t="str" cm="1">
        <f t="array" ref="Q661">_xll.BDP("SIU5 Comdty",$M$32)</f>
        <v>02/09/2025</v>
      </c>
      <c r="R661" s="15">
        <f t="shared" si="432"/>
        <v>32</v>
      </c>
      <c r="S661" s="23">
        <v>1.4999999999999999E-2</v>
      </c>
      <c r="T661" s="21">
        <f t="shared" si="424"/>
        <v>4.9509600000000001E-2</v>
      </c>
      <c r="U661" s="12">
        <v>0.08</v>
      </c>
      <c r="V661" s="114">
        <f t="shared" si="425"/>
        <v>3.0490400000000002</v>
      </c>
      <c r="W661" s="15">
        <v>15</v>
      </c>
      <c r="X661" s="15">
        <v>20</v>
      </c>
      <c r="Y661" s="15">
        <v>25</v>
      </c>
      <c r="Z661" s="18">
        <f t="shared" ref="Z661:Z667" si="433">100*T661</f>
        <v>4.9509600000000002</v>
      </c>
      <c r="AA661" s="18">
        <f t="shared" ref="AA661:AA667" si="434">U661*100</f>
        <v>8</v>
      </c>
      <c r="AB661" s="18">
        <f t="shared" ref="AB661:AB667" si="435">V661</f>
        <v>3.0490400000000002</v>
      </c>
      <c r="AE661" s="44" cm="1">
        <f t="array" ref="AE661">_xll.BDH("COMXGOLD Comdty","PX_Last", N661)</f>
        <v>38514461.358999997</v>
      </c>
      <c r="AF661" s="15" t="s">
        <v>60</v>
      </c>
      <c r="AG661" s="44" cm="1">
        <f t="array" ref="AG661">_xll.BDH(AF661,"FUT_AGGTE_OPEN_INT",A661)</f>
        <v>442248</v>
      </c>
      <c r="AH661" s="44">
        <f t="shared" ref="AH661:AH666" si="436">AG661*$AG$17</f>
        <v>44224800</v>
      </c>
      <c r="AI661" s="48">
        <f t="shared" ref="AI661:AI666" si="437">AE661/AH661</f>
        <v>0.87087926590962528</v>
      </c>
      <c r="AK661" s="44" cm="1">
        <f t="array" ref="AK661">_xll.BDH("COMXSILV Comdty","PX_Last", N661)</f>
        <v>504338.31</v>
      </c>
      <c r="AL661" s="15" t="s">
        <v>53</v>
      </c>
      <c r="AM661" s="47" cm="1">
        <f t="array" ref="AM661">_xll.BDH(AL661,"FUT_AGGTE_OPEN_INT",A661)</f>
        <v>165774</v>
      </c>
      <c r="AN661" s="45">
        <f t="shared" si="428"/>
        <v>608.46491005827204</v>
      </c>
      <c r="AO661" s="46">
        <f t="shared" si="429"/>
        <v>50433831000</v>
      </c>
      <c r="AP661" s="46">
        <f t="shared" si="430"/>
        <v>828870</v>
      </c>
    </row>
    <row r="662" spans="1:42" x14ac:dyDescent="0.2">
      <c r="A662" s="109">
        <v>45869</v>
      </c>
      <c r="B662" s="16" cm="1">
        <f t="array" ref="B662">_xll.BADDPERIODS(A662, "PER=WD", "NUMBEROFPERIODS=2", "BUSDAYADJ=-2", "CDR=GQ", "CDR=P9")</f>
        <v>45873</v>
      </c>
      <c r="C662" s="15" cm="1">
        <f t="array" ref="C662">_xll.BDH("XAU Curncy","PX_LAST",A662,A662)</f>
        <v>3289.93</v>
      </c>
      <c r="D662" s="15" t="str" cm="1">
        <f t="array" ref="D662">_xll.BDP("GCZ5 Comdty",$M$32)</f>
        <v>01/12/2025</v>
      </c>
      <c r="E662" s="15">
        <f t="shared" si="426"/>
        <v>119</v>
      </c>
      <c r="F662" s="23">
        <v>4.4999999999999998E-2</v>
      </c>
      <c r="G662" s="28">
        <f t="shared" si="422"/>
        <v>48.937708749999999</v>
      </c>
      <c r="H662" s="12">
        <v>52.5</v>
      </c>
      <c r="I662" s="113">
        <f t="shared" si="423"/>
        <v>3.5622912500000012</v>
      </c>
      <c r="J662" s="26">
        <v>4</v>
      </c>
      <c r="K662" s="26">
        <v>6</v>
      </c>
      <c r="L662" s="26">
        <v>8</v>
      </c>
      <c r="N662" s="109">
        <v>45869</v>
      </c>
      <c r="O662" s="16" cm="1">
        <f t="array" ref="O662">_xll.BADDPERIODS(N662, "PER=WD", "NUMBEROFPERIODS=2", "BUSDAYADJ=-2", "CDR=GQ", "CDR=P9")</f>
        <v>45873</v>
      </c>
      <c r="P662" s="15" cm="1">
        <f t="array" ref="P662">_xll.BDH("XAG Curncy","PX_LAST",N662,N662)</f>
        <v>36.7134</v>
      </c>
      <c r="Q662" s="15" t="str" cm="1">
        <f t="array" ref="Q662">_xll.BDP("SIU5 Comdty",$M$32)</f>
        <v>02/09/2025</v>
      </c>
      <c r="R662" s="15">
        <f t="shared" si="432"/>
        <v>29</v>
      </c>
      <c r="S662" s="23">
        <v>0.02</v>
      </c>
      <c r="T662" s="21">
        <f t="shared" si="424"/>
        <v>5.9149366666666668E-2</v>
      </c>
      <c r="U662" s="12">
        <v>0.03</v>
      </c>
      <c r="V662" s="114">
        <f t="shared" si="425"/>
        <v>-2.9149366666666667</v>
      </c>
      <c r="W662" s="15">
        <v>15</v>
      </c>
      <c r="X662" s="15">
        <v>20</v>
      </c>
      <c r="Y662" s="15">
        <v>25</v>
      </c>
      <c r="Z662" s="18">
        <f t="shared" si="433"/>
        <v>5.9149366666666667</v>
      </c>
      <c r="AA662" s="18">
        <f t="shared" si="434"/>
        <v>3</v>
      </c>
      <c r="AB662" s="18">
        <f t="shared" si="435"/>
        <v>-2.9149366666666667</v>
      </c>
      <c r="AE662" s="44" cm="1">
        <f t="array" ref="AE662">_xll.BDH("COMXGOLD Comdty","PX_Last", N662)</f>
        <v>38675473.567000002</v>
      </c>
      <c r="AF662" s="15" t="s">
        <v>60</v>
      </c>
      <c r="AG662" s="44" cm="1">
        <f t="array" ref="AG662">_xll.BDH(AF662,"FUT_AGGTE_OPEN_INT",A662)</f>
        <v>427980</v>
      </c>
      <c r="AH662" s="44">
        <f t="shared" si="436"/>
        <v>42798000</v>
      </c>
      <c r="AI662" s="48">
        <f t="shared" si="437"/>
        <v>0.90367478777045662</v>
      </c>
      <c r="AK662" s="44" cm="1">
        <f t="array" ref="AK662">_xll.BDH("COMXSILV Comdty","PX_Last", N662)</f>
        <v>505219.66</v>
      </c>
      <c r="AL662" s="15" t="s">
        <v>53</v>
      </c>
      <c r="AM662" s="47" cm="1">
        <f t="array" ref="AM662">_xll.BDH(AL662,"FUT_AGGTE_OPEN_INT",A662)</f>
        <v>161954</v>
      </c>
      <c r="AN662" s="45">
        <f t="shared" si="428"/>
        <v>623.90513355644191</v>
      </c>
      <c r="AO662" s="46">
        <f t="shared" si="429"/>
        <v>50521966000</v>
      </c>
      <c r="AP662" s="46">
        <f t="shared" si="430"/>
        <v>809770</v>
      </c>
    </row>
    <row r="663" spans="1:42" x14ac:dyDescent="0.2">
      <c r="A663" s="109">
        <v>45870</v>
      </c>
      <c r="B663" s="16" cm="1">
        <f t="array" ref="B663">_xll.BADDPERIODS(A663, "PER=WD", "NUMBEROFPERIODS=2", "BUSDAYADJ=-2", "CDR=GQ", "CDR=P9")</f>
        <v>45874</v>
      </c>
      <c r="C663" s="15" cm="1">
        <f t="array" ref="C663">_xll.BDH("XAU Curncy","PX_LAST",A663,A663)</f>
        <v>3363.48</v>
      </c>
      <c r="D663" s="15" t="str" cm="1">
        <f t="array" ref="D663">_xll.BDP("GCZ5 Comdty",$M$32)</f>
        <v>01/12/2025</v>
      </c>
      <c r="E663" s="15">
        <f t="shared" si="426"/>
        <v>118</v>
      </c>
      <c r="F663" s="23">
        <v>4.3999999999999997E-2</v>
      </c>
      <c r="G663" s="28">
        <f t="shared" si="422"/>
        <v>48.508855999999994</v>
      </c>
      <c r="H663" s="12">
        <v>53</v>
      </c>
      <c r="I663" s="113">
        <f t="shared" si="423"/>
        <v>4.4911440000000056</v>
      </c>
      <c r="J663" s="26">
        <v>4</v>
      </c>
      <c r="K663" s="26">
        <v>6</v>
      </c>
      <c r="L663" s="26">
        <v>8</v>
      </c>
      <c r="N663" s="109">
        <v>45870</v>
      </c>
      <c r="O663" s="16" cm="1">
        <f t="array" ref="O663">_xll.BADDPERIODS(N663, "PER=WD", "NUMBEROFPERIODS=2", "BUSDAYADJ=-2", "CDR=GQ", "CDR=P9")</f>
        <v>45874</v>
      </c>
      <c r="P663" s="15" cm="1">
        <f t="array" ref="P663">_xll.BDH("XAG Curncy","PX_LAST",N663,N663)</f>
        <v>37.037500000000001</v>
      </c>
      <c r="Q663" s="15" t="str" cm="1">
        <f t="array" ref="Q663">_xll.BDP("SIU5 Comdty",$M$32)</f>
        <v>02/09/2025</v>
      </c>
      <c r="R663" s="15">
        <f t="shared" si="432"/>
        <v>28</v>
      </c>
      <c r="S663" s="23">
        <v>0.02</v>
      </c>
      <c r="T663" s="21">
        <f t="shared" si="424"/>
        <v>5.7613888888888888E-2</v>
      </c>
      <c r="U663" s="12">
        <v>0.05</v>
      </c>
      <c r="V663" s="114">
        <f t="shared" si="425"/>
        <v>-0.76138888888888856</v>
      </c>
      <c r="W663" s="15">
        <v>15</v>
      </c>
      <c r="X663" s="15">
        <v>20</v>
      </c>
      <c r="Y663" s="15">
        <v>25</v>
      </c>
      <c r="Z663" s="18">
        <f t="shared" si="433"/>
        <v>5.7613888888888889</v>
      </c>
      <c r="AA663" s="18">
        <f t="shared" si="434"/>
        <v>5</v>
      </c>
      <c r="AB663" s="18">
        <f t="shared" si="435"/>
        <v>-0.76138888888888856</v>
      </c>
      <c r="AE663" s="44" cm="1">
        <f t="array" ref="AE663">_xll.BDH("COMXGOLD Comdty","PX_Last", N663)</f>
        <v>38715598.016999997</v>
      </c>
      <c r="AF663" s="15" t="s">
        <v>60</v>
      </c>
      <c r="AG663" s="44" cm="1">
        <f t="array" ref="AG663">_xll.BDH(AF663,"FUT_AGGTE_OPEN_INT",A663)</f>
        <v>437777</v>
      </c>
      <c r="AH663" s="44">
        <f t="shared" si="436"/>
        <v>43777700</v>
      </c>
      <c r="AI663" s="48">
        <f t="shared" si="437"/>
        <v>0.88436802337719878</v>
      </c>
      <c r="AK663" s="44" cm="1">
        <f t="array" ref="AK663">_xll.BDH("COMXSILV Comdty","PX_Last", N663)</f>
        <v>506661.53</v>
      </c>
      <c r="AL663" s="15" t="s">
        <v>53</v>
      </c>
      <c r="AM663" s="47" cm="1">
        <f t="array" ref="AM663">_xll.BDH(AL663,"FUT_AGGTE_OPEN_INT",A663)</f>
        <v>160117</v>
      </c>
      <c r="AN663" s="45">
        <f t="shared" si="428"/>
        <v>632.86413060449547</v>
      </c>
      <c r="AO663" s="46">
        <f t="shared" si="429"/>
        <v>50666153000</v>
      </c>
      <c r="AP663" s="46">
        <f t="shared" si="430"/>
        <v>800585</v>
      </c>
    </row>
    <row r="664" spans="1:42" x14ac:dyDescent="0.2">
      <c r="A664" s="109">
        <v>45873</v>
      </c>
      <c r="B664" s="16" cm="1">
        <f t="array" ref="B664">_xll.BADDPERIODS(A664, "PER=WD", "NUMBEROFPERIODS=2", "BUSDAYADJ=-2", "CDR=GQ", "CDR=P9")</f>
        <v>45875</v>
      </c>
      <c r="C664" s="15" cm="1">
        <f t="array" ref="C664">_xll.BDH("XAU Curncy","PX_LAST",A664,A664)</f>
        <v>3373.59</v>
      </c>
      <c r="D664" s="15" t="str" cm="1">
        <f t="array" ref="D664">_xll.BDP("GCZ5 Comdty",$M$32)</f>
        <v>01/12/2025</v>
      </c>
      <c r="E664" s="15">
        <f t="shared" si="426"/>
        <v>117</v>
      </c>
      <c r="F664" s="23">
        <v>4.3799999999999999E-2</v>
      </c>
      <c r="G664" s="28">
        <f t="shared" si="422"/>
        <v>48.023053650000001</v>
      </c>
      <c r="H664" s="12">
        <v>53.5</v>
      </c>
      <c r="I664" s="113">
        <f t="shared" si="423"/>
        <v>5.4769463499999986</v>
      </c>
      <c r="J664" s="26">
        <v>4</v>
      </c>
      <c r="K664" s="26">
        <v>6</v>
      </c>
      <c r="L664" s="26">
        <v>8</v>
      </c>
      <c r="N664" s="109">
        <v>45873</v>
      </c>
      <c r="O664" s="16" cm="1">
        <f t="array" ref="O664">_xll.BADDPERIODS(N664, "PER=WD", "NUMBEROFPERIODS=2", "BUSDAYADJ=-2", "CDR=GQ", "CDR=P9")</f>
        <v>45875</v>
      </c>
      <c r="P664" s="15" cm="1">
        <f t="array" ref="P664">_xll.BDH("XAG Curncy","PX_LAST",N664,N664)</f>
        <v>37.410600000000002</v>
      </c>
      <c r="Q664" s="15" t="str" cm="1">
        <f t="array" ref="Q664">_xll.BDP("SIU5 Comdty",$M$32)</f>
        <v>02/09/2025</v>
      </c>
      <c r="R664" s="15">
        <f t="shared" si="432"/>
        <v>27</v>
      </c>
      <c r="S664" s="23">
        <v>0.02</v>
      </c>
      <c r="T664" s="21">
        <f t="shared" si="424"/>
        <v>5.6115900000000003E-2</v>
      </c>
      <c r="U664" s="12">
        <v>4.4999999999999998E-2</v>
      </c>
      <c r="V664" s="114">
        <f t="shared" si="425"/>
        <v>-1.1115900000000005</v>
      </c>
      <c r="W664" s="15">
        <v>15</v>
      </c>
      <c r="X664" s="15">
        <v>20</v>
      </c>
      <c r="Y664" s="15">
        <v>25</v>
      </c>
      <c r="Z664" s="18">
        <f t="shared" si="433"/>
        <v>5.6115900000000005</v>
      </c>
      <c r="AA664" s="18">
        <f t="shared" si="434"/>
        <v>4.5</v>
      </c>
      <c r="AB664" s="18">
        <f t="shared" si="435"/>
        <v>-1.1115900000000005</v>
      </c>
      <c r="AE664" s="44" cm="1">
        <f t="array" ref="AE664">_xll.BDH("COMXGOLD Comdty","PX_Last", N664)</f>
        <v>38793596.744999997</v>
      </c>
      <c r="AF664" s="15" t="s">
        <v>60</v>
      </c>
      <c r="AG664" s="44" cm="1">
        <f t="array" ref="AG664">_xll.BDH(AF664,"FUT_AGGTE_OPEN_INT",A664)</f>
        <v>444682</v>
      </c>
      <c r="AH664" s="44">
        <f t="shared" si="436"/>
        <v>44468200</v>
      </c>
      <c r="AI664" s="48">
        <f t="shared" si="437"/>
        <v>0.87238963450285811</v>
      </c>
      <c r="AK664" s="44" cm="1">
        <f t="array" ref="AK664">_xll.BDH("COMXSILV Comdty","PX_Last", N664)</f>
        <v>506602.13</v>
      </c>
      <c r="AL664" s="15" t="s">
        <v>53</v>
      </c>
      <c r="AM664" s="47" cm="1">
        <f t="array" ref="AM664">_xll.BDH(AL664,"FUT_AGGTE_OPEN_INT",A664)</f>
        <v>160958</v>
      </c>
      <c r="AN664" s="45">
        <f t="shared" si="428"/>
        <v>629.48362926974744</v>
      </c>
      <c r="AO664" s="46">
        <f t="shared" si="429"/>
        <v>50660213000</v>
      </c>
      <c r="AP664" s="46">
        <f t="shared" si="430"/>
        <v>804790</v>
      </c>
    </row>
    <row r="665" spans="1:42" x14ac:dyDescent="0.2">
      <c r="A665" s="109">
        <v>45874</v>
      </c>
      <c r="B665" s="16" cm="1">
        <f t="array" ref="B665">_xll.BADDPERIODS(A665, "PER=WD", "NUMBEROFPERIODS=2", "BUSDAYADJ=-2", "CDR=GQ", "CDR=P9")</f>
        <v>45876</v>
      </c>
      <c r="C665" s="15" cm="1">
        <f t="array" ref="C665">_xll.BDH("XAU Curncy","PX_LAST",A665,A665)</f>
        <v>3380.6</v>
      </c>
      <c r="D665" s="15" t="str" cm="1">
        <f t="array" ref="D665">_xll.BDP("GCZ5 Comdty",$M$32)</f>
        <v>01/12/2025</v>
      </c>
      <c r="E665" s="15">
        <f t="shared" si="426"/>
        <v>116</v>
      </c>
      <c r="F665" s="23">
        <v>4.3700000000000003E-2</v>
      </c>
      <c r="G665" s="28">
        <f t="shared" si="422"/>
        <v>47.602604222222226</v>
      </c>
      <c r="H665" s="12">
        <v>54</v>
      </c>
      <c r="I665" s="113">
        <f t="shared" si="423"/>
        <v>6.3973957777777741</v>
      </c>
      <c r="J665" s="26">
        <v>4</v>
      </c>
      <c r="K665" s="26">
        <v>6</v>
      </c>
      <c r="L665" s="26">
        <v>8</v>
      </c>
      <c r="N665" s="109">
        <v>45874</v>
      </c>
      <c r="O665" s="16" cm="1">
        <f t="array" ref="O665">_xll.BADDPERIODS(N665, "PER=WD", "NUMBEROFPERIODS=2", "BUSDAYADJ=-2", "CDR=GQ", "CDR=P9")</f>
        <v>45876</v>
      </c>
      <c r="P665" s="15" cm="1">
        <f t="array" ref="P665">_xll.BDH("XAG Curncy","PX_LAST",N665,N665)</f>
        <v>37.816499999999998</v>
      </c>
      <c r="Q665" s="15" t="str" cm="1">
        <f t="array" ref="Q665">_xll.BDP("SIU5 Comdty",$M$32)</f>
        <v>02/09/2025</v>
      </c>
      <c r="R665" s="15">
        <f t="shared" si="432"/>
        <v>26</v>
      </c>
      <c r="S665" s="23">
        <v>0.02</v>
      </c>
      <c r="T665" s="21">
        <f t="shared" si="424"/>
        <v>5.4623833333333323E-2</v>
      </c>
      <c r="U665" s="12">
        <v>0.04</v>
      </c>
      <c r="V665" s="114">
        <f t="shared" si="425"/>
        <v>-1.4623833333333323</v>
      </c>
      <c r="W665" s="15">
        <v>15</v>
      </c>
      <c r="X665" s="15">
        <v>20</v>
      </c>
      <c r="Y665" s="15">
        <v>25</v>
      </c>
      <c r="Z665" s="18">
        <f t="shared" si="433"/>
        <v>5.4623833333333325</v>
      </c>
      <c r="AA665" s="18">
        <f t="shared" si="434"/>
        <v>4</v>
      </c>
      <c r="AB665" s="18">
        <f t="shared" si="435"/>
        <v>-1.4623833333333323</v>
      </c>
      <c r="AE665" s="44" cm="1">
        <f t="array" ref="AE665">_xll.BDH("COMXGOLD Comdty","PX_Last", N665)</f>
        <v>38800719.685000002</v>
      </c>
      <c r="AF665" s="15" t="s">
        <v>60</v>
      </c>
      <c r="AG665" s="44" cm="1">
        <f t="array" ref="AG665">_xll.BDH(AF665,"FUT_AGGTE_OPEN_INT",A665)</f>
        <v>449647</v>
      </c>
      <c r="AH665" s="44">
        <f t="shared" si="436"/>
        <v>44964700</v>
      </c>
      <c r="AI665" s="48">
        <f t="shared" si="437"/>
        <v>0.862915124197426</v>
      </c>
      <c r="AK665" s="44" cm="1">
        <f t="array" ref="AK665">_xll.BDH("COMXSILV Comdty","PX_Last", N665)</f>
        <v>506311.75</v>
      </c>
      <c r="AL665" s="15" t="s">
        <v>53</v>
      </c>
      <c r="AM665" s="47" cm="1">
        <f t="array" ref="AM665">_xll.BDH(AL665,"FUT_AGGTE_OPEN_INT",A665)</f>
        <v>161262</v>
      </c>
      <c r="AN665" s="45">
        <f t="shared" si="428"/>
        <v>627.93683570835037</v>
      </c>
      <c r="AO665" s="46">
        <f t="shared" si="429"/>
        <v>50631175000</v>
      </c>
      <c r="AP665" s="46">
        <f t="shared" si="430"/>
        <v>806310</v>
      </c>
    </row>
    <row r="666" spans="1:42" x14ac:dyDescent="0.2">
      <c r="A666" s="109">
        <v>45875</v>
      </c>
      <c r="B666" s="16" cm="1">
        <f t="array" ref="B666">_xll.BADDPERIODS(A666, "PER=WD", "NUMBEROFPERIODS=2", "BUSDAYADJ=-2", "CDR=GQ", "CDR=P9")</f>
        <v>45877</v>
      </c>
      <c r="C666" s="15" cm="1">
        <f t="array" ref="C666">_xll.BDH("XAU Curncy","PX_LAST",A666,A666)</f>
        <v>3369.33</v>
      </c>
      <c r="D666" s="15" t="str" cm="1">
        <f t="array" ref="D666">_xll.BDP("GCZ5 Comdty",$M$32)</f>
        <v>01/12/2025</v>
      </c>
      <c r="E666" s="15">
        <f t="shared" si="426"/>
        <v>115</v>
      </c>
      <c r="F666" s="23">
        <v>4.3400000000000001E-2</v>
      </c>
      <c r="G666" s="28">
        <f t="shared" si="422"/>
        <v>46.712016749999989</v>
      </c>
      <c r="H666" s="12">
        <v>55</v>
      </c>
      <c r="I666" s="113">
        <f t="shared" si="423"/>
        <v>8.2879832500000106</v>
      </c>
      <c r="J666" s="26">
        <v>4</v>
      </c>
      <c r="K666" s="26">
        <v>6</v>
      </c>
      <c r="L666" s="26">
        <v>8</v>
      </c>
      <c r="N666" s="109">
        <v>45875</v>
      </c>
      <c r="O666" s="16" cm="1">
        <f t="array" ref="O666">_xll.BADDPERIODS(N666, "PER=WD", "NUMBEROFPERIODS=2", "BUSDAYADJ=-2", "CDR=GQ", "CDR=P9")</f>
        <v>45877</v>
      </c>
      <c r="P666" s="15" cm="1">
        <f t="array" ref="P666">_xll.BDH("XAG Curncy","PX_LAST",N666,N666)</f>
        <v>37.830100000000002</v>
      </c>
      <c r="Q666" s="15" t="str" cm="1">
        <f t="array" ref="Q666">_xll.BDP("SIU5 Comdty",$M$32)</f>
        <v>02/09/2025</v>
      </c>
      <c r="R666" s="15">
        <f t="shared" si="432"/>
        <v>25</v>
      </c>
      <c r="S666" s="23">
        <v>2.2499999999999999E-2</v>
      </c>
      <c r="T666" s="21">
        <f t="shared" si="424"/>
        <v>5.9109531250000007E-2</v>
      </c>
      <c r="U666" s="12">
        <v>0.05</v>
      </c>
      <c r="V666" s="114">
        <f t="shared" si="425"/>
        <v>-0.91095312500000036</v>
      </c>
      <c r="W666" s="15">
        <v>15</v>
      </c>
      <c r="X666" s="15">
        <v>20</v>
      </c>
      <c r="Y666" s="15">
        <v>25</v>
      </c>
      <c r="Z666" s="18">
        <f t="shared" si="433"/>
        <v>5.9109531250000007</v>
      </c>
      <c r="AA666" s="18">
        <f t="shared" si="434"/>
        <v>5</v>
      </c>
      <c r="AB666" s="18">
        <f t="shared" si="435"/>
        <v>-0.91095312500000036</v>
      </c>
      <c r="AE666" s="44" cm="1">
        <f t="array" ref="AE666">_xll.BDH("COMXGOLD Comdty","PX_Last", N666)</f>
        <v>38679703.321000002</v>
      </c>
      <c r="AF666" s="15" t="s">
        <v>60</v>
      </c>
      <c r="AG666" s="44" cm="1">
        <f t="array" ref="AG666">_xll.BDH(AF666,"FUT_AGGTE_OPEN_INT",A666)</f>
        <v>450807</v>
      </c>
      <c r="AH666" s="44">
        <f t="shared" si="436"/>
        <v>45080700</v>
      </c>
      <c r="AI666" s="48">
        <f t="shared" si="437"/>
        <v>0.85801026428161054</v>
      </c>
      <c r="AK666" s="44" cm="1">
        <f t="array" ref="AK666">_xll.BDH("COMXSILV Comdty","PX_Last", N666)</f>
        <v>505984.13</v>
      </c>
      <c r="AL666" s="15" t="s">
        <v>53</v>
      </c>
      <c r="AM666" s="47" cm="1">
        <f t="array" ref="AM666">_xll.BDH(AL666,"FUT_AGGTE_OPEN_INT",A666)</f>
        <v>160473</v>
      </c>
      <c r="AN666" s="45">
        <f t="shared" si="428"/>
        <v>630.61590423311088</v>
      </c>
      <c r="AO666" s="46">
        <f t="shared" si="429"/>
        <v>50598413000</v>
      </c>
      <c r="AP666" s="46">
        <f t="shared" si="430"/>
        <v>802365</v>
      </c>
    </row>
    <row r="667" spans="1:42" x14ac:dyDescent="0.2">
      <c r="A667" s="109">
        <v>45876</v>
      </c>
      <c r="B667" s="16" cm="1">
        <f t="array" ref="B667">_xll.BADDPERIODS(A667, "PER=WD", "NUMBEROFPERIODS=2", "BUSDAYADJ=-2", "CDR=GQ", "CDR=P9")</f>
        <v>45880</v>
      </c>
      <c r="C667" s="15" cm="1">
        <f t="array" ref="C667">_xll.BDH("XAU Curncy","PX_LAST",A667,A667)</f>
        <v>3396.38</v>
      </c>
      <c r="D667" s="15" t="str" cm="1">
        <f t="array" ref="D667">_xll.BDP("GCZ5 Comdty",$M$32)</f>
        <v>01/12/2025</v>
      </c>
      <c r="E667" s="15">
        <f t="shared" si="426"/>
        <v>112</v>
      </c>
      <c r="F667" s="23">
        <v>4.2999999999999997E-2</v>
      </c>
      <c r="G667" s="28">
        <f t="shared" si="422"/>
        <v>45.436016888888886</v>
      </c>
      <c r="H667" s="22">
        <v>63</v>
      </c>
      <c r="I667" s="113">
        <f t="shared" si="423"/>
        <v>17.563983111111114</v>
      </c>
      <c r="J667" s="26">
        <v>4</v>
      </c>
      <c r="K667" s="26">
        <v>6</v>
      </c>
      <c r="L667" s="26">
        <v>8</v>
      </c>
      <c r="N667" s="109">
        <v>45876</v>
      </c>
      <c r="O667" s="16" cm="1">
        <f t="array" ref="O667">_xll.BADDPERIODS(N667, "PER=WD", "NUMBEROFPERIODS=2", "BUSDAYADJ=-2", "CDR=GQ", "CDR=P9")</f>
        <v>45880</v>
      </c>
      <c r="P667" s="15" cm="1">
        <f t="array" ref="P667">_xll.BDH("XAG Curncy","PX_LAST",N667,N667)</f>
        <v>38.268000000000001</v>
      </c>
      <c r="Q667" s="15" t="str" cm="1">
        <f t="array" ref="Q667">_xll.BDP("SIU5 Comdty",$M$32)</f>
        <v>02/09/2025</v>
      </c>
      <c r="R667" s="15">
        <f t="shared" si="432"/>
        <v>22</v>
      </c>
      <c r="S667" s="23">
        <v>1.4999999999999999E-2</v>
      </c>
      <c r="T667" s="21">
        <f t="shared" si="424"/>
        <v>3.5078999999999999E-2</v>
      </c>
      <c r="U667" s="12">
        <v>0.2</v>
      </c>
      <c r="V667" s="114">
        <f t="shared" si="425"/>
        <v>16.492100000000001</v>
      </c>
      <c r="W667" s="15">
        <v>15</v>
      </c>
      <c r="X667" s="15">
        <v>20</v>
      </c>
      <c r="Y667" s="15">
        <v>25</v>
      </c>
      <c r="Z667" s="18">
        <f t="shared" si="433"/>
        <v>3.5078999999999998</v>
      </c>
      <c r="AA667" s="18">
        <f t="shared" si="434"/>
        <v>20</v>
      </c>
      <c r="AB667" s="18">
        <f t="shared" si="435"/>
        <v>16.492100000000001</v>
      </c>
      <c r="AE667" s="44" cm="1">
        <f t="array" ref="AE667">_xll.BDH("COMXGOLD Comdty","PX_Last", N667)</f>
        <v>38668707.678999998</v>
      </c>
    </row>
    <row r="668" spans="1:42" x14ac:dyDescent="0.2">
      <c r="A668" s="109">
        <v>45877</v>
      </c>
      <c r="B668" s="16" cm="1">
        <f t="array" ref="B668">_xll.BADDPERIODS(A668, "PER=WD", "NUMBEROFPERIODS=2", "BUSDAYADJ=-2", "CDR=GQ", "CDR=P9")</f>
        <v>45881</v>
      </c>
      <c r="C668" s="15" cm="1">
        <f t="array" ref="C668">_xll.BDH("XAU Curncy","PX_LAST",A668,A668)</f>
        <v>3397.75</v>
      </c>
      <c r="D668" s="15" t="str" cm="1">
        <f t="array" ref="D668">_xll.BDP("GCZ5 Comdty",$M$32)</f>
        <v>01/12/2025</v>
      </c>
      <c r="E668" s="15">
        <f t="shared" ref="E668" si="438">_xlfn.DAYS(D668,B668)</f>
        <v>111</v>
      </c>
      <c r="F668" s="23">
        <v>4.2999999999999997E-2</v>
      </c>
      <c r="G668" s="28">
        <f t="shared" si="422"/>
        <v>45.048502083333332</v>
      </c>
      <c r="H668" s="22">
        <v>63</v>
      </c>
      <c r="I668" s="113">
        <f t="shared" si="423"/>
        <v>17.951497916666668</v>
      </c>
      <c r="J668" s="26">
        <v>4</v>
      </c>
      <c r="K668" s="26">
        <v>6</v>
      </c>
      <c r="L668" s="26">
        <v>8</v>
      </c>
      <c r="N668" s="109">
        <v>45877</v>
      </c>
      <c r="O668" s="16" cm="1">
        <f t="array" ref="O668">_xll.BADDPERIODS(N668, "PER=WD", "NUMBEROFPERIODS=2", "BUSDAYADJ=-2", "CDR=GQ", "CDR=P9")</f>
        <v>45881</v>
      </c>
      <c r="P668" s="15" cm="1">
        <f t="array" ref="P668">_xll.BDH("XAG Curncy","PX_LAST",N668,N668)</f>
        <v>38.3444</v>
      </c>
      <c r="Q668" s="15" t="str" cm="1">
        <f t="array" ref="Q668">_xll.BDP("SIU5 Comdty",$M$32)</f>
        <v>02/09/2025</v>
      </c>
      <c r="R668" s="15">
        <f t="shared" ref="R668" si="439">_xlfn.DAYS(Q668,O668)</f>
        <v>21</v>
      </c>
      <c r="S668" s="23">
        <v>0.01</v>
      </c>
      <c r="T668" s="21">
        <f t="shared" ref="T668:T697" si="440">P668*(R668/360)*S668</f>
        <v>2.2367566666666665E-2</v>
      </c>
      <c r="U668" s="22">
        <v>0.27</v>
      </c>
      <c r="V668" s="114">
        <f t="shared" ref="V668:V697" si="441">100*(U668-T668)</f>
        <v>24.763243333333335</v>
      </c>
      <c r="W668" s="15">
        <v>15</v>
      </c>
      <c r="X668" s="15">
        <v>20</v>
      </c>
      <c r="Y668" s="15">
        <v>25</v>
      </c>
      <c r="Z668" s="18">
        <f t="shared" ref="Z668:Z672" si="442">100*T668</f>
        <v>2.2367566666666665</v>
      </c>
      <c r="AA668" s="18">
        <f t="shared" ref="AA668:AA672" si="443">U668*100</f>
        <v>27</v>
      </c>
      <c r="AB668" s="18">
        <f t="shared" ref="AB668:AB672" si="444">V668</f>
        <v>24.763243333333335</v>
      </c>
    </row>
    <row r="669" spans="1:42" x14ac:dyDescent="0.2">
      <c r="A669" s="109">
        <v>45880</v>
      </c>
      <c r="B669" s="16" cm="1">
        <f t="array" ref="B669">_xll.BADDPERIODS(A669, "PER=WD", "NUMBEROFPERIODS=2", "BUSDAYADJ=-2", "CDR=GQ", "CDR=P9")</f>
        <v>45882</v>
      </c>
      <c r="C669" s="15" cm="1">
        <f t="array" ref="C669">_xll.BDH("XAU Curncy","PX_LAST",A669,A669)</f>
        <v>3342.37</v>
      </c>
      <c r="D669" s="15" t="str" cm="1">
        <f t="array" ref="D669">_xll.BDP("GCZ5 Comdty",$M$32)</f>
        <v>01/12/2025</v>
      </c>
      <c r="E669" s="15">
        <f t="shared" ref="E669:E688" si="445">_xlfn.DAYS(D669,B669)</f>
        <v>110</v>
      </c>
      <c r="F669" s="23">
        <v>4.3499999999999997E-2</v>
      </c>
      <c r="G669" s="28">
        <f t="shared" si="422"/>
        <v>44.425667916666669</v>
      </c>
      <c r="H669" s="22">
        <v>58</v>
      </c>
      <c r="I669" s="115">
        <f t="shared" si="423"/>
        <v>13.574332083333331</v>
      </c>
      <c r="J669" s="26">
        <v>4</v>
      </c>
      <c r="K669" s="26">
        <v>6</v>
      </c>
      <c r="L669" s="26">
        <v>8</v>
      </c>
      <c r="N669" s="109">
        <v>45880</v>
      </c>
      <c r="O669" s="16" cm="1">
        <f t="array" ref="O669">_xll.BADDPERIODS(N669, "PER=WD", "NUMBEROFPERIODS=2", "BUSDAYADJ=-2", "CDR=GQ", "CDR=P9")</f>
        <v>45882</v>
      </c>
      <c r="P669" s="15" cm="1">
        <f t="array" ref="P669">_xll.BDH("XAG Curncy","PX_LAST",N669,N669)</f>
        <v>37.613900000000001</v>
      </c>
      <c r="Q669" s="15" t="str" cm="1">
        <f t="array" ref="Q669">_xll.BDP("SIU5 Comdty",$M$32)</f>
        <v>02/09/2025</v>
      </c>
      <c r="R669" s="15">
        <f t="shared" ref="R669:R686" si="446">_xlfn.DAYS(Q669,O669)</f>
        <v>20</v>
      </c>
      <c r="S669" s="23">
        <v>2.75E-2</v>
      </c>
      <c r="T669" s="21">
        <f t="shared" si="440"/>
        <v>5.7465680555555551E-2</v>
      </c>
      <c r="U669" s="12">
        <v>0.08</v>
      </c>
      <c r="V669" s="116">
        <f t="shared" si="441"/>
        <v>2.2534319444444453</v>
      </c>
      <c r="W669" s="15">
        <v>15</v>
      </c>
      <c r="X669" s="15">
        <v>20</v>
      </c>
      <c r="Y669" s="15">
        <v>25</v>
      </c>
      <c r="Z669" s="18">
        <f t="shared" si="442"/>
        <v>5.7465680555555547</v>
      </c>
      <c r="AA669" s="18">
        <f t="shared" si="443"/>
        <v>8</v>
      </c>
      <c r="AB669" s="18">
        <f t="shared" si="444"/>
        <v>2.2534319444444453</v>
      </c>
    </row>
    <row r="670" spans="1:42" x14ac:dyDescent="0.2">
      <c r="A670" s="109">
        <v>45881</v>
      </c>
      <c r="B670" s="16" cm="1">
        <f t="array" ref="B670">_xll.BADDPERIODS(A670, "PER=WD", "NUMBEROFPERIODS=2", "BUSDAYADJ=-2", "CDR=GQ", "CDR=P9")</f>
        <v>45883</v>
      </c>
      <c r="C670" s="15" cm="1">
        <f t="array" ref="C670">_xll.BDH("XAU Curncy","PX_LAST",A670,A670)</f>
        <v>3348.26</v>
      </c>
      <c r="D670" s="15" t="str" cm="1">
        <f t="array" ref="D670">_xll.BDP("GCZ5 Comdty",$M$32)</f>
        <v>01/12/2025</v>
      </c>
      <c r="E670" s="15">
        <f t="shared" si="445"/>
        <v>109</v>
      </c>
      <c r="F670" s="23">
        <v>4.3299999999999998E-2</v>
      </c>
      <c r="G670" s="28">
        <f t="shared" si="422"/>
        <v>43.896618672222218</v>
      </c>
      <c r="H670" s="22">
        <v>49</v>
      </c>
      <c r="I670" s="115">
        <f t="shared" si="423"/>
        <v>5.1033813277777824</v>
      </c>
      <c r="J670" s="26">
        <v>4</v>
      </c>
      <c r="K670" s="26">
        <v>6</v>
      </c>
      <c r="L670" s="26">
        <v>8</v>
      </c>
      <c r="N670" s="109">
        <v>45881</v>
      </c>
      <c r="O670" s="16" cm="1">
        <f t="array" ref="O670">_xll.BADDPERIODS(N670, "PER=WD", "NUMBEROFPERIODS=2", "BUSDAYADJ=-2", "CDR=GQ", "CDR=P9")</f>
        <v>45883</v>
      </c>
      <c r="P670" s="15" cm="1">
        <f t="array" ref="P670">_xll.BDH("XAG Curncy","PX_LAST",N670,N670)</f>
        <v>37.914299999999997</v>
      </c>
      <c r="Q670" s="15" t="str" cm="1">
        <f t="array" ref="Q670">_xll.BDP("SIU5 Comdty",$M$32)</f>
        <v>02/09/2025</v>
      </c>
      <c r="R670" s="15">
        <f t="shared" si="446"/>
        <v>19</v>
      </c>
      <c r="S670" s="23">
        <v>2.75E-2</v>
      </c>
      <c r="T670" s="21">
        <f t="shared" si="440"/>
        <v>5.5028393750000001E-2</v>
      </c>
      <c r="U670" s="12">
        <v>0.02</v>
      </c>
      <c r="V670" s="116">
        <f t="shared" si="441"/>
        <v>-3.5028393749999998</v>
      </c>
      <c r="W670" s="15">
        <v>15</v>
      </c>
      <c r="X670" s="15">
        <v>20</v>
      </c>
      <c r="Y670" s="15">
        <v>25</v>
      </c>
      <c r="Z670" s="18">
        <f t="shared" si="442"/>
        <v>5.5028393749999998</v>
      </c>
      <c r="AA670" s="18">
        <f t="shared" si="443"/>
        <v>2</v>
      </c>
      <c r="AB670" s="18">
        <f t="shared" si="444"/>
        <v>-3.5028393749999998</v>
      </c>
    </row>
    <row r="671" spans="1:42" x14ac:dyDescent="0.2">
      <c r="A671" s="109">
        <v>45882</v>
      </c>
      <c r="B671" s="16" cm="1">
        <f t="array" ref="B671">_xll.BADDPERIODS(A671, "PER=WD", "NUMBEROFPERIODS=2", "BUSDAYADJ=-2", "CDR=GQ", "CDR=P9")</f>
        <v>45884</v>
      </c>
      <c r="C671" s="15" cm="1">
        <f t="array" ref="C671">_xll.BDH("XAU Curncy","PX_LAST",A671,A671)</f>
        <v>3355.86</v>
      </c>
      <c r="D671" s="15" t="str" cm="1">
        <f t="array" ref="D671">_xll.BDP("GCZ5 Comdty",$M$32)</f>
        <v>01/12/2025</v>
      </c>
      <c r="E671" s="15">
        <f t="shared" si="445"/>
        <v>108</v>
      </c>
      <c r="F671" s="23">
        <v>4.3700000000000003E-2</v>
      </c>
      <c r="G671" s="28">
        <f t="shared" si="422"/>
        <v>43.995324600000004</v>
      </c>
      <c r="H671" s="22">
        <v>51</v>
      </c>
      <c r="I671" s="115">
        <f t="shared" si="423"/>
        <v>7.0046753999999964</v>
      </c>
      <c r="J671" s="26">
        <v>4</v>
      </c>
      <c r="K671" s="26">
        <v>6</v>
      </c>
      <c r="L671" s="26">
        <v>8</v>
      </c>
      <c r="N671" s="109">
        <v>45882</v>
      </c>
      <c r="O671" s="16" cm="1">
        <f t="array" ref="O671">_xll.BADDPERIODS(N671, "PER=WD", "NUMBEROFPERIODS=2", "BUSDAYADJ=-2", "CDR=GQ", "CDR=P9")</f>
        <v>45884</v>
      </c>
      <c r="P671" s="15" cm="1">
        <f t="array" ref="P671">_xll.BDH("XAG Curncy","PX_LAST",N671,N671)</f>
        <v>38.5045</v>
      </c>
      <c r="Q671" s="15" t="str" cm="1">
        <f t="array" ref="Q671">_xll.BDP("SIU5 Comdty",$M$32)</f>
        <v>02/09/2025</v>
      </c>
      <c r="R671" s="15">
        <f t="shared" si="446"/>
        <v>18</v>
      </c>
      <c r="S671" s="23">
        <v>2.75E-2</v>
      </c>
      <c r="T671" s="21">
        <f t="shared" si="440"/>
        <v>5.2943687500000003E-2</v>
      </c>
      <c r="U671" s="12">
        <v>0.06</v>
      </c>
      <c r="V671" s="116">
        <f t="shared" si="441"/>
        <v>0.70563124999999949</v>
      </c>
      <c r="W671" s="15">
        <v>15</v>
      </c>
      <c r="X671" s="15">
        <v>20</v>
      </c>
      <c r="Y671" s="15">
        <v>25</v>
      </c>
      <c r="Z671" s="18">
        <f t="shared" si="442"/>
        <v>5.2943687500000003</v>
      </c>
      <c r="AA671" s="18">
        <f t="shared" si="443"/>
        <v>6</v>
      </c>
      <c r="AB671" s="18">
        <f t="shared" si="444"/>
        <v>0.70563124999999949</v>
      </c>
    </row>
    <row r="672" spans="1:42" x14ac:dyDescent="0.2">
      <c r="A672" s="109">
        <v>45883</v>
      </c>
      <c r="B672" s="16" cm="1">
        <f t="array" ref="B672">_xll.BADDPERIODS(A672, "PER=WD", "NUMBEROFPERIODS=2", "BUSDAYADJ=-2", "CDR=GQ", "CDR=P9")</f>
        <v>45887</v>
      </c>
      <c r="C672" s="15" cm="1">
        <f t="array" ref="C672">_xll.BDH("XAU Curncy","PX_LAST",A672,A672)</f>
        <v>3335.39</v>
      </c>
      <c r="D672" s="15" t="str" cm="1">
        <f t="array" ref="D672">_xll.BDP("GCZ5 Comdty",$M$32)</f>
        <v>01/12/2025</v>
      </c>
      <c r="E672" s="15">
        <f t="shared" si="445"/>
        <v>105</v>
      </c>
      <c r="F672" s="23">
        <v>4.3499999999999997E-2</v>
      </c>
      <c r="G672" s="28">
        <f t="shared" si="422"/>
        <v>42.317760624999998</v>
      </c>
      <c r="H672" s="22">
        <v>48</v>
      </c>
      <c r="I672" s="115">
        <f t="shared" si="423"/>
        <v>5.6822393750000018</v>
      </c>
      <c r="J672" s="26">
        <v>4</v>
      </c>
      <c r="K672" s="26">
        <v>6</v>
      </c>
      <c r="L672" s="26">
        <v>8</v>
      </c>
      <c r="N672" s="109">
        <v>45883</v>
      </c>
      <c r="O672" s="16" cm="1">
        <f t="array" ref="O672">_xll.BADDPERIODS(N672, "PER=WD", "NUMBEROFPERIODS=2", "BUSDAYADJ=-2", "CDR=GQ", "CDR=P9")</f>
        <v>45887</v>
      </c>
      <c r="P672" s="15" cm="1">
        <f t="array" ref="P672">_xll.BDH("XAG Curncy","PX_LAST",N672,N672)</f>
        <v>38.014499999999998</v>
      </c>
      <c r="Q672" s="15" t="str" cm="1">
        <f t="array" ref="Q672">_xll.BDP("SIU5 Comdty",$M$32)</f>
        <v>02/09/2025</v>
      </c>
      <c r="R672" s="15">
        <f t="shared" si="446"/>
        <v>15</v>
      </c>
      <c r="S672" s="23">
        <v>2.5999999999999999E-2</v>
      </c>
      <c r="T672" s="21">
        <f t="shared" si="440"/>
        <v>4.1182374999999993E-2</v>
      </c>
      <c r="U672" s="12">
        <v>0.03</v>
      </c>
      <c r="V672" s="116">
        <f t="shared" si="441"/>
        <v>-1.1182374999999993</v>
      </c>
      <c r="W672" s="15">
        <v>15</v>
      </c>
      <c r="X672" s="15">
        <v>20</v>
      </c>
      <c r="Y672" s="15">
        <v>25</v>
      </c>
      <c r="Z672" s="18">
        <f t="shared" si="442"/>
        <v>4.1182374999999993</v>
      </c>
      <c r="AA672" s="18">
        <f t="shared" si="443"/>
        <v>3</v>
      </c>
      <c r="AB672" s="18">
        <f t="shared" si="444"/>
        <v>-1.1182374999999993</v>
      </c>
    </row>
    <row r="673" spans="1:25" x14ac:dyDescent="0.2">
      <c r="A673" s="109">
        <v>45884</v>
      </c>
      <c r="B673" s="16" cm="1">
        <f t="array" ref="B673">_xll.BADDPERIODS(A673, "PER=WD", "NUMBEROFPERIODS=2", "BUSDAYADJ=-2", "CDR=GQ", "CDR=P9")</f>
        <v>45888</v>
      </c>
      <c r="C673" s="15" cm="1">
        <f t="array" ref="C673">_xll.BDH("XAU Curncy","PX_LAST",A673,A673)</f>
        <v>3336.19</v>
      </c>
      <c r="D673" s="15" t="str" cm="1">
        <f t="array" ref="D673">_xll.BDP("GCZ5 Comdty",$M$32)</f>
        <v>01/12/2025</v>
      </c>
      <c r="E673" s="15">
        <f t="shared" si="445"/>
        <v>104</v>
      </c>
      <c r="F673" s="23">
        <v>4.3499999999999997E-2</v>
      </c>
      <c r="G673" s="28">
        <f t="shared" si="422"/>
        <v>41.92478766666666</v>
      </c>
      <c r="H673" s="22">
        <v>48</v>
      </c>
      <c r="I673" s="115">
        <f t="shared" si="423"/>
        <v>6.0752123333333401</v>
      </c>
      <c r="J673" s="26">
        <v>4</v>
      </c>
      <c r="K673" s="26">
        <v>6</v>
      </c>
      <c r="L673" s="26">
        <v>8</v>
      </c>
      <c r="N673" s="109">
        <v>45884</v>
      </c>
      <c r="O673" s="16" cm="1">
        <f t="array" ref="O673">_xll.BADDPERIODS(N673, "PER=WD", "NUMBEROFPERIODS=2", "BUSDAYADJ=-2", "CDR=GQ", "CDR=P9")</f>
        <v>45888</v>
      </c>
      <c r="P673" s="15" cm="1">
        <f t="array" ref="P673">_xll.BDH("XAG Curncy","PX_LAST",N673,N673)</f>
        <v>38.000999999999998</v>
      </c>
      <c r="Q673" s="15" t="str" cm="1">
        <f t="array" ref="Q673">_xll.BDP("SIU5 Comdty",$M$32)</f>
        <v>02/09/2025</v>
      </c>
      <c r="R673" s="15">
        <f t="shared" si="446"/>
        <v>14</v>
      </c>
      <c r="S673" s="23"/>
      <c r="T673" s="21">
        <f t="shared" si="440"/>
        <v>0</v>
      </c>
      <c r="V673" s="116">
        <f t="shared" si="441"/>
        <v>0</v>
      </c>
      <c r="W673" s="15">
        <v>15</v>
      </c>
      <c r="X673" s="15">
        <v>20</v>
      </c>
      <c r="Y673" s="15">
        <v>25</v>
      </c>
    </row>
    <row r="674" spans="1:25" x14ac:dyDescent="0.2">
      <c r="A674" s="109">
        <v>45887</v>
      </c>
      <c r="B674" s="16" cm="1">
        <f t="array" ref="B674">_xll.BADDPERIODS(A674, "PER=WD", "NUMBEROFPERIODS=2", "BUSDAYADJ=-2", "CDR=GQ", "CDR=P9")</f>
        <v>45889</v>
      </c>
      <c r="C674" s="15" cm="1">
        <f t="array" ref="C674">_xll.BDH("XAU Curncy","PX_LAST",A674,A674)</f>
        <v>3332.72</v>
      </c>
      <c r="D674" s="15" t="str" cm="1">
        <f t="array" ref="D674">_xll.BDP("GCZ5 Comdty",$M$32)</f>
        <v>01/12/2025</v>
      </c>
      <c r="E674" s="15">
        <f t="shared" si="445"/>
        <v>103</v>
      </c>
      <c r="F674" s="23">
        <v>4.3499999999999997E-2</v>
      </c>
      <c r="G674" s="28">
        <f t="shared" si="422"/>
        <v>41.478477666666656</v>
      </c>
      <c r="H674" s="22">
        <v>46</v>
      </c>
      <c r="I674" s="115">
        <f t="shared" si="423"/>
        <v>4.5215223333333441</v>
      </c>
      <c r="J674" s="26">
        <v>4</v>
      </c>
      <c r="K674" s="26">
        <v>6</v>
      </c>
      <c r="L674" s="26">
        <v>8</v>
      </c>
      <c r="N674" s="109">
        <v>45887</v>
      </c>
      <c r="O674" s="16" cm="1">
        <f t="array" ref="O674">_xll.BADDPERIODS(N674, "PER=WD", "NUMBEROFPERIODS=2", "BUSDAYADJ=-2", "CDR=GQ", "CDR=P9")</f>
        <v>45889</v>
      </c>
      <c r="P674" s="15" cm="1">
        <f t="array" ref="P674">_xll.BDH("XAG Curncy","PX_LAST",N674,N674)</f>
        <v>38.021299999999997</v>
      </c>
      <c r="Q674" s="15" t="str" cm="1">
        <f t="array" ref="Q674">_xll.BDP("SIU5 Comdty",$M$32)</f>
        <v>02/09/2025</v>
      </c>
      <c r="R674" s="15">
        <f t="shared" si="446"/>
        <v>13</v>
      </c>
      <c r="S674" s="23">
        <v>2.2499999999999999E-2</v>
      </c>
      <c r="T674" s="21">
        <f t="shared" si="440"/>
        <v>3.0892306249999994E-2</v>
      </c>
      <c r="U674" s="12">
        <v>2.5000000000000001E-2</v>
      </c>
      <c r="V674" s="116">
        <f t="shared" si="441"/>
        <v>-0.58923062499999923</v>
      </c>
      <c r="W674" s="15">
        <v>15</v>
      </c>
      <c r="X674" s="15">
        <v>20</v>
      </c>
      <c r="Y674" s="15">
        <v>25</v>
      </c>
    </row>
    <row r="675" spans="1:25" x14ac:dyDescent="0.2">
      <c r="A675" s="109">
        <v>45888</v>
      </c>
      <c r="B675" s="16" cm="1">
        <f t="array" ref="B675">_xll.BADDPERIODS(A675, "PER=WD", "NUMBEROFPERIODS=2", "BUSDAYADJ=-2", "CDR=GQ", "CDR=P9")</f>
        <v>45890</v>
      </c>
      <c r="C675" s="15" cm="1">
        <f t="array" ref="C675">_xll.BDH("XAU Curncy","PX_LAST",A675,A675)</f>
        <v>3315.78</v>
      </c>
      <c r="D675" s="15" t="str" cm="1">
        <f t="array" ref="D675">_xll.BDP("GCZ5 Comdty",$M$32)</f>
        <v>01/12/2025</v>
      </c>
      <c r="E675" s="15">
        <f t="shared" si="445"/>
        <v>102</v>
      </c>
      <c r="F675" s="23">
        <v>4.3200000000000002E-2</v>
      </c>
      <c r="G675" s="28">
        <f t="shared" si="422"/>
        <v>40.585147200000002</v>
      </c>
      <c r="H675" s="22">
        <v>44</v>
      </c>
      <c r="I675" s="115">
        <f t="shared" si="423"/>
        <v>3.4148527999999985</v>
      </c>
      <c r="J675" s="26">
        <v>4</v>
      </c>
      <c r="K675" s="26">
        <v>6</v>
      </c>
      <c r="L675" s="26">
        <v>8</v>
      </c>
      <c r="N675" s="109">
        <v>45888</v>
      </c>
      <c r="O675" s="16" cm="1">
        <f t="array" ref="O675">_xll.BADDPERIODS(N675, "PER=WD", "NUMBEROFPERIODS=2", "BUSDAYADJ=-2", "CDR=GQ", "CDR=P9")</f>
        <v>45890</v>
      </c>
      <c r="P675" s="15" cm="1">
        <f t="array" ref="P675">_xll.BDH("XAG Curncy","PX_LAST",N675,N675)</f>
        <v>37.392699999999998</v>
      </c>
      <c r="Q675" s="15" t="str" cm="1">
        <f t="array" ref="Q675">_xll.BDP("SIU5 Comdty",$M$32)</f>
        <v>02/09/2025</v>
      </c>
      <c r="R675" s="15">
        <f t="shared" si="446"/>
        <v>12</v>
      </c>
      <c r="S675" s="23">
        <v>2.2499999999999999E-2</v>
      </c>
      <c r="T675" s="21">
        <f t="shared" si="440"/>
        <v>2.8044524999999997E-2</v>
      </c>
      <c r="U675" s="12">
        <v>1.4999999999999999E-2</v>
      </c>
      <c r="V675" s="116">
        <f t="shared" si="441"/>
        <v>-1.3044524999999998</v>
      </c>
      <c r="W675" s="15">
        <v>15</v>
      </c>
      <c r="X675" s="15">
        <v>20</v>
      </c>
      <c r="Y675" s="15">
        <v>25</v>
      </c>
    </row>
    <row r="676" spans="1:25" x14ac:dyDescent="0.2">
      <c r="A676" s="109">
        <v>45889</v>
      </c>
      <c r="B676" s="16" cm="1">
        <f t="array" ref="B676">_xll.BADDPERIODS(A676, "PER=WD", "NUMBEROFPERIODS=2", "BUSDAYADJ=-2", "CDR=GQ", "CDR=P9")</f>
        <v>45891</v>
      </c>
      <c r="C676" s="15" cm="1">
        <f t="array" ref="C676">_xll.BDH("XAU Curncy","PX_LAST",A676,A676)</f>
        <v>3348.43</v>
      </c>
      <c r="D676" s="15" t="str" cm="1">
        <f t="array" ref="D676">_xll.BDP("GCZ5 Comdty",$M$32)</f>
        <v>01/12/2025</v>
      </c>
      <c r="E676" s="15">
        <f t="shared" si="445"/>
        <v>101</v>
      </c>
      <c r="F676" s="23"/>
      <c r="G676" s="28">
        <f t="shared" si="422"/>
        <v>0</v>
      </c>
      <c r="H676" s="22"/>
      <c r="I676" s="115">
        <f t="shared" si="423"/>
        <v>0</v>
      </c>
      <c r="J676" s="26">
        <v>4</v>
      </c>
      <c r="K676" s="26">
        <v>6</v>
      </c>
      <c r="L676" s="26">
        <v>8</v>
      </c>
      <c r="N676" s="109">
        <v>45889</v>
      </c>
      <c r="O676" s="16" cm="1">
        <f t="array" ref="O676">_xll.BADDPERIODS(N676, "PER=WD", "NUMBEROFPERIODS=2", "BUSDAYADJ=-2", "CDR=GQ", "CDR=P9")</f>
        <v>45891</v>
      </c>
      <c r="P676" s="15" cm="1">
        <f t="array" ref="P676">_xll.BDH("XAG Curncy","PX_LAST",N676,N676)</f>
        <v>37.900199999999998</v>
      </c>
      <c r="Q676" s="15" t="str" cm="1">
        <f t="array" ref="Q676">_xll.BDP("SIU5 Comdty",$M$32)</f>
        <v>02/09/2025</v>
      </c>
      <c r="R676" s="15">
        <f t="shared" si="446"/>
        <v>11</v>
      </c>
      <c r="S676" s="23"/>
      <c r="T676" s="21">
        <f t="shared" si="440"/>
        <v>0</v>
      </c>
      <c r="V676" s="116">
        <f t="shared" si="441"/>
        <v>0</v>
      </c>
      <c r="W676" s="15">
        <v>15</v>
      </c>
      <c r="X676" s="15">
        <v>20</v>
      </c>
      <c r="Y676" s="15">
        <v>25</v>
      </c>
    </row>
    <row r="677" spans="1:25" x14ac:dyDescent="0.2">
      <c r="A677" s="109">
        <v>45890</v>
      </c>
      <c r="B677" s="16" cm="1">
        <f t="array" ref="B677">_xll.BADDPERIODS(A677, "PER=WD", "NUMBEROFPERIODS=2", "BUSDAYADJ=-2", "CDR=GQ", "CDR=P9")</f>
        <v>45895</v>
      </c>
      <c r="C677" s="15" cm="1">
        <f t="array" ref="C677">_xll.BDH("XAU Curncy","PX_LAST",A677,A677)</f>
        <v>3338.71</v>
      </c>
      <c r="D677" s="15" t="str" cm="1">
        <f t="array" ref="D677">_xll.BDP("GCZ5 Comdty",$M$32)</f>
        <v>01/12/2025</v>
      </c>
      <c r="E677" s="15">
        <f t="shared" si="445"/>
        <v>97</v>
      </c>
      <c r="F677" s="23"/>
      <c r="G677" s="28">
        <f t="shared" ref="G677:G697" si="447">C677*(E677/360)*F677</f>
        <v>0</v>
      </c>
      <c r="H677" s="22"/>
      <c r="I677" s="115">
        <f t="shared" si="423"/>
        <v>0</v>
      </c>
      <c r="J677" s="26">
        <v>4</v>
      </c>
      <c r="K677" s="26">
        <v>6</v>
      </c>
      <c r="L677" s="26">
        <v>8</v>
      </c>
      <c r="N677" s="109">
        <v>45890</v>
      </c>
      <c r="O677" s="16" cm="1">
        <f t="array" ref="O677">_xll.BADDPERIODS(N677, "PER=WD", "NUMBEROFPERIODS=2", "BUSDAYADJ=-2", "CDR=GQ", "CDR=P9")</f>
        <v>45895</v>
      </c>
      <c r="P677" s="15" cm="1">
        <f t="array" ref="P677">_xll.BDH("XAG Curncy","PX_LAST",N677,N677)</f>
        <v>38.1462</v>
      </c>
      <c r="Q677" s="15" t="str" cm="1">
        <f t="array" ref="Q677">_xll.BDP("SIU5 Comdty",$M$32)</f>
        <v>02/09/2025</v>
      </c>
      <c r="R677" s="15">
        <f t="shared" si="446"/>
        <v>7</v>
      </c>
      <c r="S677" s="23"/>
      <c r="T677" s="21">
        <f t="shared" si="440"/>
        <v>0</v>
      </c>
      <c r="V677" s="116">
        <f t="shared" si="441"/>
        <v>0</v>
      </c>
      <c r="W677" s="15">
        <v>15</v>
      </c>
      <c r="X677" s="15">
        <v>20</v>
      </c>
      <c r="Y677" s="15">
        <v>25</v>
      </c>
    </row>
    <row r="678" spans="1:25" x14ac:dyDescent="0.2">
      <c r="A678" s="109">
        <v>45891</v>
      </c>
      <c r="B678" s="16" cm="1">
        <f t="array" ref="B678">_xll.BADDPERIODS(A678, "PER=WD", "NUMBEROFPERIODS=2", "BUSDAYADJ=-2", "CDR=GQ", "CDR=P9")</f>
        <v>45896</v>
      </c>
      <c r="C678" s="15" cm="1">
        <f t="array" ref="C678">_xll.BDH("XAU Curncy","PX_LAST",A678,A678)</f>
        <v>3371.86</v>
      </c>
      <c r="D678" s="15" t="str" cm="1">
        <f t="array" ref="D678">_xll.BDP("GCZ5 Comdty",$M$32)</f>
        <v>01/12/2025</v>
      </c>
      <c r="E678" s="15">
        <f t="shared" si="445"/>
        <v>96</v>
      </c>
      <c r="F678" s="23">
        <v>4.4200000000000003E-2</v>
      </c>
      <c r="G678" s="28">
        <f t="shared" si="447"/>
        <v>39.742989866666669</v>
      </c>
      <c r="H678" s="22">
        <v>46.5</v>
      </c>
      <c r="I678" s="115">
        <f t="shared" si="423"/>
        <v>6.7570101333333312</v>
      </c>
      <c r="J678" s="26">
        <v>4</v>
      </c>
      <c r="K678" s="26">
        <v>6</v>
      </c>
      <c r="L678" s="26">
        <v>8</v>
      </c>
      <c r="N678" s="109">
        <v>45891</v>
      </c>
      <c r="O678" s="16" cm="1">
        <f t="array" ref="O678">_xll.BADDPERIODS(N678, "PER=WD", "NUMBEROFPERIODS=2", "BUSDAYADJ=-2", "CDR=GQ", "CDR=P9")</f>
        <v>45896</v>
      </c>
      <c r="P678" s="15" cm="1">
        <f t="array" ref="P678">_xll.BDH("XAG Curncy","PX_LAST",N678,N678)</f>
        <v>38.888800000000003</v>
      </c>
      <c r="Q678" s="15" t="str" cm="1">
        <f t="array" ref="Q678">_xll.BDP("SIU5 Comdty",$M$32)</f>
        <v>02/09/2025</v>
      </c>
      <c r="R678" s="15">
        <f t="shared" si="446"/>
        <v>6</v>
      </c>
      <c r="S678" s="23">
        <v>1.7999999999999999E-2</v>
      </c>
      <c r="T678" s="21">
        <f t="shared" si="440"/>
        <v>1.1666640000000001E-2</v>
      </c>
      <c r="U678" s="12">
        <v>0.52</v>
      </c>
      <c r="V678" s="116">
        <f t="shared" si="441"/>
        <v>50.83333600000001</v>
      </c>
      <c r="W678" s="15">
        <v>15</v>
      </c>
      <c r="X678" s="15">
        <v>20</v>
      </c>
      <c r="Y678" s="15">
        <v>25</v>
      </c>
    </row>
    <row r="679" spans="1:25" x14ac:dyDescent="0.2">
      <c r="A679" s="109">
        <v>45894</v>
      </c>
      <c r="B679" s="16" cm="1">
        <f t="array" ref="B679">_xll.BADDPERIODS(A679, "PER=WD", "NUMBEROFPERIODS=2", "BUSDAYADJ=-2", "CDR=GQ", "CDR=P9")</f>
        <v>45896</v>
      </c>
      <c r="C679" s="15" cm="1">
        <f t="array" ref="C679">_xll.BDH("XAU Curncy","PX_LAST",A679,A679)</f>
        <v>3365.89</v>
      </c>
      <c r="D679" s="15" t="str" cm="1">
        <f t="array" ref="D679">_xll.BDP("GCZ5 Comdty",$M$32)</f>
        <v>01/12/2025</v>
      </c>
      <c r="E679" s="15">
        <f t="shared" si="445"/>
        <v>96</v>
      </c>
      <c r="F679" s="23">
        <v>4.3999999999999997E-2</v>
      </c>
      <c r="G679" s="28">
        <f t="shared" si="447"/>
        <v>39.493109333333329</v>
      </c>
      <c r="H679" s="22">
        <v>48</v>
      </c>
      <c r="I679" s="115">
        <f t="shared" si="423"/>
        <v>8.5068906666666706</v>
      </c>
      <c r="J679" s="26">
        <v>4</v>
      </c>
      <c r="K679" s="26">
        <v>6</v>
      </c>
      <c r="L679" s="26">
        <v>8</v>
      </c>
      <c r="N679" s="109">
        <v>45894</v>
      </c>
      <c r="O679" s="16" cm="1">
        <f t="array" ref="O679">_xll.BADDPERIODS(N679, "PER=WD", "NUMBEROFPERIODS=2", "BUSDAYADJ=-2", "CDR=GQ", "CDR=P9")</f>
        <v>45896</v>
      </c>
      <c r="P679" s="15" cm="1">
        <f t="array" ref="P679">_xll.BDH("XAG Curncy","PX_LAST",N679,N679)</f>
        <v>38.5745</v>
      </c>
      <c r="Q679" s="15" t="str" cm="1">
        <f t="array" ref="Q679">_xll.BDP("SIU5 Comdty",$M$32)</f>
        <v>02/09/2025</v>
      </c>
      <c r="R679" s="15">
        <f t="shared" si="446"/>
        <v>6</v>
      </c>
      <c r="S679" s="23"/>
      <c r="T679" s="21">
        <f t="shared" si="440"/>
        <v>0</v>
      </c>
      <c r="V679" s="116">
        <f t="shared" si="441"/>
        <v>0</v>
      </c>
      <c r="W679" s="15">
        <v>15</v>
      </c>
      <c r="X679" s="15">
        <v>20</v>
      </c>
      <c r="Y679" s="15">
        <v>25</v>
      </c>
    </row>
    <row r="680" spans="1:25" x14ac:dyDescent="0.2">
      <c r="A680" s="109">
        <v>45895</v>
      </c>
      <c r="B680" s="16" cm="1">
        <f t="array" ref="B680">_xll.BADDPERIODS(A680, "PER=WD", "NUMBEROFPERIODS=2", "BUSDAYADJ=-2", "CDR=GQ", "CDR=P9")</f>
        <v>45897</v>
      </c>
      <c r="C680" s="15" cm="1">
        <f t="array" ref="C680">_xll.BDH("XAU Curncy","PX_LAST",A680,A680)</f>
        <v>3393.57</v>
      </c>
      <c r="D680" s="15" t="str" cm="1">
        <f t="array" ref="D680">_xll.BDP("GCZ5 Comdty",$M$32)</f>
        <v>01/12/2025</v>
      </c>
      <c r="E680" s="15">
        <f t="shared" si="445"/>
        <v>95</v>
      </c>
      <c r="F680" s="23">
        <v>4.3799999999999999E-2</v>
      </c>
      <c r="G680" s="28">
        <f t="shared" si="447"/>
        <v>39.224013249999999</v>
      </c>
      <c r="H680" s="22">
        <v>46</v>
      </c>
      <c r="I680" s="115">
        <f t="shared" si="423"/>
        <v>6.7759867500000013</v>
      </c>
      <c r="J680" s="26">
        <v>4</v>
      </c>
      <c r="K680" s="26">
        <v>6</v>
      </c>
      <c r="L680" s="26">
        <v>8</v>
      </c>
      <c r="N680" s="109">
        <v>45895</v>
      </c>
      <c r="O680" s="16" cm="1">
        <f t="array" ref="O680">_xll.BADDPERIODS(N680, "PER=WD", "NUMBEROFPERIODS=2", "BUSDAYADJ=-2", "CDR=GQ", "CDR=P9")</f>
        <v>45897</v>
      </c>
      <c r="P680" s="15" cm="1">
        <f t="array" ref="P680">_xll.BDH("XAG Curncy","PX_LAST",N680,N680)</f>
        <v>38.610700000000001</v>
      </c>
      <c r="Q680" s="15" t="str" cm="1">
        <f t="array" ref="Q680">_xll.BDP("SIU5 Comdty",$M$32)</f>
        <v>02/09/2025</v>
      </c>
      <c r="R680" s="15">
        <f t="shared" si="446"/>
        <v>5</v>
      </c>
      <c r="S680" s="23"/>
      <c r="T680" s="21">
        <f t="shared" si="440"/>
        <v>0</v>
      </c>
      <c r="V680" s="116">
        <f t="shared" si="441"/>
        <v>0</v>
      </c>
      <c r="W680" s="15">
        <v>15</v>
      </c>
      <c r="X680" s="15">
        <v>20</v>
      </c>
      <c r="Y680" s="15">
        <v>25</v>
      </c>
    </row>
    <row r="681" spans="1:25" x14ac:dyDescent="0.2">
      <c r="A681" s="109">
        <v>45896</v>
      </c>
      <c r="B681" s="16" cm="1">
        <f t="array" ref="B681">_xll.BADDPERIODS(A681, "PER=WD", "NUMBEROFPERIODS=2", "BUSDAYADJ=-2", "CDR=GQ", "CDR=P9")</f>
        <v>45898</v>
      </c>
      <c r="C681" s="15" cm="1">
        <f t="array" ref="C681">_xll.BDH("XAU Curncy","PX_LAST",A681,A681)</f>
        <v>3397.37</v>
      </c>
      <c r="D681" s="15" t="str" cm="1">
        <f t="array" ref="D681">_xll.BDP("GCZ5 Comdty",$M$32)</f>
        <v>01/12/2025</v>
      </c>
      <c r="E681" s="15">
        <f t="shared" si="445"/>
        <v>94</v>
      </c>
      <c r="F681" s="23"/>
      <c r="G681" s="28">
        <f t="shared" si="447"/>
        <v>0</v>
      </c>
      <c r="H681" s="22"/>
      <c r="I681" s="115">
        <f t="shared" si="423"/>
        <v>0</v>
      </c>
      <c r="J681" s="26">
        <v>4</v>
      </c>
      <c r="K681" s="26">
        <v>6</v>
      </c>
      <c r="L681" s="26">
        <v>8</v>
      </c>
      <c r="N681" s="109">
        <v>45896</v>
      </c>
      <c r="O681" s="16" cm="1">
        <f t="array" ref="O681">_xll.BADDPERIODS(N681, "PER=WD", "NUMBEROFPERIODS=2", "BUSDAYADJ=-2", "CDR=GQ", "CDR=P9")</f>
        <v>45898</v>
      </c>
      <c r="P681" s="15" cm="1">
        <f t="array" ref="P681">_xll.BDH("XAG Curncy","PX_LAST",N681,N681)</f>
        <v>38.598999999999997</v>
      </c>
      <c r="Q681" s="15" t="str" cm="1">
        <f t="array" ref="Q681">_xll.BDP("SIU5 Comdty",$M$32)</f>
        <v>02/09/2025</v>
      </c>
      <c r="R681" s="15">
        <f t="shared" si="446"/>
        <v>4</v>
      </c>
      <c r="S681" s="23"/>
      <c r="T681" s="21">
        <f t="shared" si="440"/>
        <v>0</v>
      </c>
      <c r="V681" s="116">
        <f t="shared" si="441"/>
        <v>0</v>
      </c>
      <c r="W681" s="15">
        <v>15</v>
      </c>
      <c r="X681" s="15">
        <v>20</v>
      </c>
      <c r="Y681" s="15">
        <v>25</v>
      </c>
    </row>
    <row r="682" spans="1:25" x14ac:dyDescent="0.2">
      <c r="A682" s="109">
        <v>45897</v>
      </c>
      <c r="B682" s="16" cm="1">
        <f t="array" ref="B682">_xll.BADDPERIODS(A682, "PER=WD", "NUMBEROFPERIODS=2", "BUSDAYADJ=-2", "CDR=GQ", "CDR=P9")</f>
        <v>45902</v>
      </c>
      <c r="C682" s="15" cm="1">
        <f t="array" ref="C682">_xll.BDH("XAU Curncy","PX_LAST",A682,A682)</f>
        <v>3417.08</v>
      </c>
      <c r="D682" s="15" t="str" cm="1">
        <f t="array" ref="D682">_xll.BDP("GCZ5 Comdty",$M$32)</f>
        <v>01/12/2025</v>
      </c>
      <c r="E682" s="15">
        <f t="shared" si="445"/>
        <v>90</v>
      </c>
      <c r="F682" s="23"/>
      <c r="G682" s="28">
        <f t="shared" si="447"/>
        <v>0</v>
      </c>
      <c r="H682" s="22">
        <v>58</v>
      </c>
      <c r="I682" s="115">
        <f t="shared" si="423"/>
        <v>58</v>
      </c>
      <c r="J682" s="26">
        <v>4</v>
      </c>
      <c r="K682" s="26">
        <v>6</v>
      </c>
      <c r="L682" s="26">
        <v>8</v>
      </c>
      <c r="N682" s="109">
        <v>45897</v>
      </c>
      <c r="O682" s="16" cm="1">
        <f t="array" ref="O682">_xll.BADDPERIODS(N682, "PER=WD", "NUMBEROFPERIODS=2", "BUSDAYADJ=-2", "CDR=GQ", "CDR=P9")</f>
        <v>45902</v>
      </c>
      <c r="P682" s="15" cm="1">
        <f t="array" ref="P682">_xll.BDH("XAG Curncy","PX_LAST",N682,N682)</f>
        <v>39.054099999999998</v>
      </c>
      <c r="Q682" s="15" t="str" cm="1">
        <f t="array" ref="Q682">_xll.BDP("SIU5 Comdty",$M$32)</f>
        <v>02/09/2025</v>
      </c>
      <c r="R682" s="15">
        <f t="shared" si="446"/>
        <v>0</v>
      </c>
      <c r="S682" s="23"/>
      <c r="T682" s="21">
        <f t="shared" si="440"/>
        <v>0</v>
      </c>
      <c r="V682" s="116">
        <f t="shared" si="441"/>
        <v>0</v>
      </c>
      <c r="W682" s="15">
        <v>15</v>
      </c>
      <c r="X682" s="15">
        <v>20</v>
      </c>
      <c r="Y682" s="15">
        <v>25</v>
      </c>
    </row>
    <row r="683" spans="1:25" x14ac:dyDescent="0.2">
      <c r="A683" s="109">
        <v>45898</v>
      </c>
      <c r="B683" s="16" cm="1">
        <f t="array" ref="B683">_xll.BADDPERIODS(A683, "PER=WD", "NUMBEROFPERIODS=2", "BUSDAYADJ=-2", "CDR=GQ", "CDR=P9")</f>
        <v>45903</v>
      </c>
      <c r="C683" s="15" cm="1">
        <f t="array" ref="C683">_xll.BDH("XAU Curncy","PX_LAST",A683,A683)</f>
        <v>3447.95</v>
      </c>
      <c r="D683" s="15" t="str" cm="1">
        <f t="array" ref="D683">_xll.BDP("GCZ5 Comdty",$M$32)</f>
        <v>01/12/2025</v>
      </c>
      <c r="E683" s="15">
        <f t="shared" si="445"/>
        <v>89</v>
      </c>
      <c r="F683" s="23">
        <v>4.36E-2</v>
      </c>
      <c r="G683" s="28">
        <f t="shared" si="447"/>
        <v>37.165069944444447</v>
      </c>
      <c r="H683" s="22">
        <v>65</v>
      </c>
      <c r="I683" s="115">
        <f t="shared" si="423"/>
        <v>27.834930055555553</v>
      </c>
      <c r="J683" s="26">
        <v>4</v>
      </c>
      <c r="K683" s="26">
        <v>6</v>
      </c>
      <c r="L683" s="26">
        <v>8</v>
      </c>
      <c r="N683" s="109">
        <v>45898</v>
      </c>
      <c r="O683" s="16" cm="1">
        <f t="array" ref="O683">_xll.BADDPERIODS(N683, "PER=WD", "NUMBEROFPERIODS=2", "BUSDAYADJ=-2", "CDR=GQ", "CDR=P9")</f>
        <v>45903</v>
      </c>
      <c r="P683" s="15" cm="1">
        <f t="array" ref="P683">_xll.BDH("XAG Curncy","PX_LAST",N683,N683)</f>
        <v>39.718899999999998</v>
      </c>
      <c r="Q683" s="15" t="str" cm="1">
        <f t="array" ref="Q683">_xll.BDP("SIz5 Comdty",$M$32)</f>
        <v>01/12/2025</v>
      </c>
      <c r="R683" s="15">
        <f t="shared" si="446"/>
        <v>89</v>
      </c>
      <c r="S683" s="23">
        <v>7.4999999999999997E-3</v>
      </c>
      <c r="T683" s="21">
        <f t="shared" si="440"/>
        <v>7.3645460416666669E-2</v>
      </c>
      <c r="U683" s="12">
        <v>0.7</v>
      </c>
      <c r="V683" s="116">
        <f t="shared" si="441"/>
        <v>62.635453958333329</v>
      </c>
      <c r="W683" s="15">
        <v>15</v>
      </c>
      <c r="X683" s="15">
        <v>20</v>
      </c>
      <c r="Y683" s="15">
        <v>25</v>
      </c>
    </row>
    <row r="684" spans="1:25" x14ac:dyDescent="0.2">
      <c r="A684" s="109">
        <v>45901</v>
      </c>
      <c r="B684" s="16" cm="1">
        <f t="array" ref="B684">_xll.BADDPERIODS(A684, "PER=WD", "NUMBEROFPERIODS=2", "BUSDAYADJ=-2", "CDR=GQ", "CDR=P9")</f>
        <v>45903</v>
      </c>
      <c r="C684" s="15" cm="1">
        <f t="array" ref="C684">_xll.BDH("XAU Curncy","PX_LAST",A684,A684)</f>
        <v>3476.07</v>
      </c>
      <c r="D684" s="15" t="str" cm="1">
        <f t="array" ref="D684">_xll.BDP("GCZ5 Comdty",$M$32)</f>
        <v>01/12/2025</v>
      </c>
      <c r="E684" s="15">
        <f t="shared" si="445"/>
        <v>89</v>
      </c>
      <c r="F684" s="23">
        <v>4.3200000000000002E-2</v>
      </c>
      <c r="G684" s="28">
        <f t="shared" si="447"/>
        <v>37.124427600000004</v>
      </c>
      <c r="H684" s="22">
        <v>72</v>
      </c>
      <c r="I684" s="115">
        <f t="shared" si="423"/>
        <v>34.875572399999996</v>
      </c>
      <c r="J684" s="26">
        <v>4</v>
      </c>
      <c r="K684" s="26">
        <v>6</v>
      </c>
      <c r="L684" s="26">
        <v>8</v>
      </c>
      <c r="N684" s="109">
        <v>45901</v>
      </c>
      <c r="O684" s="16" cm="1">
        <f t="array" ref="O684">_xll.BADDPERIODS(N684, "PER=WD", "NUMBEROFPERIODS=2", "BUSDAYADJ=-2", "CDR=GQ", "CDR=P9")</f>
        <v>45903</v>
      </c>
      <c r="P684" s="15" cm="1">
        <f t="array" ref="P684">_xll.BDH("XAG Curncy","PX_LAST",N684,N684)</f>
        <v>40.6965</v>
      </c>
      <c r="Q684" s="15" t="str" cm="1">
        <f t="array" ref="Q684">_xll.BDP("SIz5 Comdty",$M$32)</f>
        <v>01/12/2025</v>
      </c>
      <c r="R684" s="15">
        <f t="shared" si="446"/>
        <v>89</v>
      </c>
      <c r="S684" s="23">
        <v>5.0000000000000001E-3</v>
      </c>
      <c r="T684" s="21">
        <f t="shared" si="440"/>
        <v>5.0305395833333336E-2</v>
      </c>
      <c r="U684" s="12">
        <v>0.87</v>
      </c>
      <c r="V684" s="116">
        <f t="shared" si="441"/>
        <v>81.969460416666664</v>
      </c>
      <c r="W684" s="15">
        <v>15</v>
      </c>
      <c r="X684" s="15">
        <v>20</v>
      </c>
      <c r="Y684" s="15">
        <v>25</v>
      </c>
    </row>
    <row r="685" spans="1:25" x14ac:dyDescent="0.2">
      <c r="A685" s="109">
        <v>45902</v>
      </c>
      <c r="B685" s="16" cm="1">
        <f t="array" ref="B685">_xll.BADDPERIODS(A685, "PER=WD", "NUMBEROFPERIODS=2", "BUSDAYADJ=-2", "CDR=GQ", "CDR=P9")</f>
        <v>45904</v>
      </c>
      <c r="C685" s="15" cm="1">
        <f t="array" ref="C685">_xll.BDH("XAU Curncy","PX_LAST",A685,A685)</f>
        <v>3533.16</v>
      </c>
      <c r="D685" s="15" t="str" cm="1">
        <f t="array" ref="D685">_xll.BDP("GCZ5 Comdty",$M$32)</f>
        <v>01/12/2025</v>
      </c>
      <c r="E685" s="15">
        <f t="shared" si="445"/>
        <v>88</v>
      </c>
      <c r="F685" s="23">
        <v>4.3200000000000002E-2</v>
      </c>
      <c r="G685" s="28">
        <f t="shared" si="447"/>
        <v>37.310169599999995</v>
      </c>
      <c r="H685" s="22">
        <v>62</v>
      </c>
      <c r="I685" s="115">
        <f t="shared" si="423"/>
        <v>24.689830400000005</v>
      </c>
      <c r="J685" s="26">
        <v>4</v>
      </c>
      <c r="K685" s="26">
        <v>6</v>
      </c>
      <c r="L685" s="26">
        <v>8</v>
      </c>
      <c r="N685" s="109">
        <v>45902</v>
      </c>
      <c r="O685" s="16" cm="1">
        <f t="array" ref="O685">_xll.BADDPERIODS(N685, "PER=WD", "NUMBEROFPERIODS=2", "BUSDAYADJ=-2", "CDR=GQ", "CDR=P9")</f>
        <v>45904</v>
      </c>
      <c r="P685" s="15" cm="1">
        <f t="array" ref="P685">_xll.BDH("XAG Curncy","PX_LAST",N685,N685)</f>
        <v>40.8825</v>
      </c>
      <c r="Q685" s="15" t="str" cm="1">
        <f t="array" ref="Q685">_xll.BDP("SIz5 Comdty",$M$32)</f>
        <v>01/12/2025</v>
      </c>
      <c r="R685" s="15">
        <f t="shared" si="446"/>
        <v>88</v>
      </c>
      <c r="S685" s="23">
        <v>-2.5000000000000001E-3</v>
      </c>
      <c r="T685" s="21">
        <f t="shared" si="440"/>
        <v>-2.4983749999999999E-2</v>
      </c>
      <c r="U685" s="12">
        <v>0.82</v>
      </c>
      <c r="V685" s="116">
        <f t="shared" si="441"/>
        <v>84.498374999999996</v>
      </c>
      <c r="W685" s="15">
        <v>15</v>
      </c>
      <c r="X685" s="15">
        <v>20</v>
      </c>
      <c r="Y685" s="15">
        <v>25</v>
      </c>
    </row>
    <row r="686" spans="1:25" x14ac:dyDescent="0.2">
      <c r="A686" s="109">
        <v>45903</v>
      </c>
      <c r="B686" s="16" cm="1">
        <f t="array" ref="B686">_xll.BADDPERIODS(A686, "PER=WD", "NUMBEROFPERIODS=2", "BUSDAYADJ=-2", "CDR=GQ", "CDR=P9")</f>
        <v>45905</v>
      </c>
      <c r="C686" s="15" cm="1">
        <f t="array" ref="C686">_xll.BDH("XAU Curncy","PX_LAST",A686,A686)</f>
        <v>3559.42</v>
      </c>
      <c r="D686" s="15" t="str" cm="1">
        <f t="array" ref="D686">_xll.BDP("GCZ5 Comdty",$M$32)</f>
        <v>01/12/2025</v>
      </c>
      <c r="E686" s="15">
        <f t="shared" si="445"/>
        <v>87</v>
      </c>
      <c r="F686" s="23">
        <v>4.2999999999999997E-2</v>
      </c>
      <c r="G686" s="28">
        <f t="shared" si="447"/>
        <v>36.988306166666668</v>
      </c>
      <c r="H686" s="22">
        <v>66</v>
      </c>
      <c r="I686" s="115">
        <f t="shared" si="423"/>
        <v>29.011693833333332</v>
      </c>
      <c r="J686" s="26">
        <v>4</v>
      </c>
      <c r="K686" s="26">
        <v>6</v>
      </c>
      <c r="L686" s="26">
        <v>8</v>
      </c>
      <c r="N686" s="109">
        <v>45903</v>
      </c>
      <c r="O686" s="16" cm="1">
        <f t="array" ref="O686">_xll.BADDPERIODS(N686, "PER=WD", "NUMBEROFPERIODS=2", "BUSDAYADJ=-2", "CDR=GQ", "CDR=P9")</f>
        <v>45905</v>
      </c>
      <c r="P686" s="15" cm="1">
        <f t="array" ref="P686">_xll.BDH("XAG Curncy","PX_LAST",N686,N686)</f>
        <v>41.210299999999997</v>
      </c>
      <c r="Q686" s="15" t="str" cm="1">
        <f t="array" ref="Q686">_xll.BDP("SIz5 Comdty",$M$32)</f>
        <v>01/12/2025</v>
      </c>
      <c r="R686" s="15">
        <f t="shared" si="446"/>
        <v>87</v>
      </c>
      <c r="S686" s="23">
        <v>-0.01</v>
      </c>
      <c r="T686" s="21">
        <f t="shared" si="440"/>
        <v>-9.959155833333333E-2</v>
      </c>
      <c r="U686" s="12">
        <v>0.78</v>
      </c>
      <c r="V686" s="116">
        <f t="shared" si="441"/>
        <v>87.959155833333341</v>
      </c>
      <c r="W686" s="15">
        <v>15</v>
      </c>
      <c r="X686" s="15">
        <v>20</v>
      </c>
      <c r="Y686" s="15">
        <v>25</v>
      </c>
    </row>
    <row r="687" spans="1:25" x14ac:dyDescent="0.2">
      <c r="A687" s="109">
        <v>45904</v>
      </c>
      <c r="B687" s="16" cm="1">
        <f t="array" ref="B687">_xll.BADDPERIODS(A687, "PER=WD", "NUMBEROFPERIODS=2", "BUSDAYADJ=-2", "CDR=GQ", "CDR=P9")</f>
        <v>45908</v>
      </c>
      <c r="C687" s="15" cm="1">
        <f t="array" ref="C687">_xll.BDH("XAU Curncy","PX_LAST",A687,A687)</f>
        <v>3545.85</v>
      </c>
      <c r="D687" s="15" t="str" cm="1">
        <f t="array" ref="D687">_xll.BDP("GCZ5 Comdty",$M$32)</f>
        <v>01/12/2025</v>
      </c>
      <c r="E687" s="15">
        <f t="shared" si="445"/>
        <v>84</v>
      </c>
      <c r="F687" s="23">
        <v>4.2999999999999997E-2</v>
      </c>
      <c r="G687" s="28">
        <f t="shared" si="447"/>
        <v>35.576695000000001</v>
      </c>
      <c r="H687" s="12">
        <v>59</v>
      </c>
      <c r="I687" s="115">
        <f t="shared" si="423"/>
        <v>23.423304999999999</v>
      </c>
      <c r="J687" s="26">
        <v>4</v>
      </c>
      <c r="K687" s="26">
        <v>6</v>
      </c>
      <c r="L687" s="26">
        <v>8</v>
      </c>
      <c r="N687" s="109">
        <v>45904</v>
      </c>
      <c r="O687" s="16" cm="1">
        <f t="array" ref="O687">_xll.BADDPERIODS(N687, "PER=WD", "NUMBEROFPERIODS=2", "BUSDAYADJ=-2", "CDR=GQ", "CDR=P9")</f>
        <v>45908</v>
      </c>
      <c r="P687" s="15" cm="1">
        <f t="array" ref="P687">_xll.BDH("XAG Curncy","PX_LAST",N687,N687)</f>
        <v>40.674700000000001</v>
      </c>
      <c r="Q687" s="15" t="str" cm="1">
        <f t="array" ref="Q687">_xll.BDP("SIz5 Comdty",$M$32)</f>
        <v>01/12/2025</v>
      </c>
      <c r="R687" s="15">
        <f t="shared" ref="R687:R697" si="448">_xlfn.DAYS(Q687,O687)</f>
        <v>84</v>
      </c>
      <c r="S687" s="23">
        <v>-0.01</v>
      </c>
      <c r="T687" s="21">
        <f t="shared" si="440"/>
        <v>-9.4907633333333338E-2</v>
      </c>
      <c r="U687" s="12">
        <v>0.69</v>
      </c>
      <c r="V687" s="116">
        <f t="shared" si="441"/>
        <v>78.490763333333319</v>
      </c>
      <c r="W687" s="15">
        <v>15</v>
      </c>
      <c r="X687" s="15">
        <v>20</v>
      </c>
      <c r="Y687" s="15">
        <v>25</v>
      </c>
    </row>
    <row r="688" spans="1:25" x14ac:dyDescent="0.2">
      <c r="A688" s="109">
        <v>45905</v>
      </c>
      <c r="B688" s="16" cm="1">
        <f t="array" ref="B688">_xll.BADDPERIODS(A688, "PER=WD", "NUMBEROFPERIODS=2", "BUSDAYADJ=-2", "CDR=GQ", "CDR=P9")</f>
        <v>45909</v>
      </c>
      <c r="C688" s="15" cm="1">
        <f t="array" ref="C688">_xll.BDH("XAU Curncy","PX_LAST",A688,A688)</f>
        <v>3594.78</v>
      </c>
      <c r="D688" s="15" t="str" cm="1">
        <f t="array" ref="D688">_xll.BDP("GCZ5 Comdty",$M$32)</f>
        <v>01/12/2025</v>
      </c>
      <c r="E688" s="15">
        <f t="shared" si="445"/>
        <v>83</v>
      </c>
      <c r="F688" s="23">
        <v>4.2299999999999997E-2</v>
      </c>
      <c r="G688" s="28">
        <f t="shared" si="447"/>
        <v>35.058091950000005</v>
      </c>
      <c r="H688" s="12">
        <v>56</v>
      </c>
      <c r="I688" s="115">
        <f t="shared" si="423"/>
        <v>20.941908049999995</v>
      </c>
      <c r="J688" s="26">
        <v>4</v>
      </c>
      <c r="K688" s="26">
        <v>6</v>
      </c>
      <c r="L688" s="26">
        <v>8</v>
      </c>
      <c r="N688" s="109">
        <v>45905</v>
      </c>
      <c r="O688" s="16" cm="1">
        <f t="array" ref="O688">_xll.BADDPERIODS(N688, "PER=WD", "NUMBEROFPERIODS=2", "BUSDAYADJ=-2", "CDR=GQ", "CDR=P9")</f>
        <v>45909</v>
      </c>
      <c r="P688" s="15" cm="1">
        <f t="array" ref="P688">_xll.BDH("XAG Curncy","PX_LAST",N688,N688)</f>
        <v>41.021799999999999</v>
      </c>
      <c r="Q688" s="15" t="str" cm="1">
        <f t="array" ref="Q688">_xll.BDP("SIz5 Comdty",$M$32)</f>
        <v>01/12/2025</v>
      </c>
      <c r="R688" s="15">
        <f t="shared" si="448"/>
        <v>83</v>
      </c>
      <c r="S688" s="23">
        <v>0</v>
      </c>
      <c r="T688" s="21">
        <f t="shared" si="440"/>
        <v>0</v>
      </c>
      <c r="U688" s="12">
        <v>0.65</v>
      </c>
      <c r="V688" s="118">
        <f t="shared" si="441"/>
        <v>65</v>
      </c>
      <c r="W688" s="15">
        <v>15</v>
      </c>
      <c r="X688" s="15">
        <v>20</v>
      </c>
      <c r="Y688" s="15">
        <v>25</v>
      </c>
    </row>
    <row r="689" spans="1:25" x14ac:dyDescent="0.2">
      <c r="A689" s="109">
        <v>45908</v>
      </c>
      <c r="B689" s="16" cm="1">
        <f t="array" ref="B689">_xll.BADDPERIODS(A689, "PER=WD", "NUMBEROFPERIODS=2", "BUSDAYADJ=-2", "CDR=GQ", "CDR=P9")</f>
        <v>45910</v>
      </c>
      <c r="C689" s="15" cm="1">
        <f t="array" ref="C689">_xll.BDH("XAU Curncy","PX_LAST",A689,A689)</f>
        <v>3635.98</v>
      </c>
      <c r="D689" s="15" t="str" cm="1">
        <f t="array" ref="D689">_xll.BDP("GCZ5 Comdty",$M$32)</f>
        <v>01/12/2025</v>
      </c>
      <c r="E689" s="15">
        <f t="shared" ref="E689:E697" si="449">_xlfn.DAYS(D689,B689)</f>
        <v>82</v>
      </c>
      <c r="F689" s="23">
        <v>4.2299999999999997E-2</v>
      </c>
      <c r="G689" s="28">
        <f t="shared" si="447"/>
        <v>35.0326673</v>
      </c>
      <c r="H689" s="12">
        <v>56</v>
      </c>
      <c r="I689" s="117">
        <f t="shared" si="423"/>
        <v>20.9673327</v>
      </c>
      <c r="J689" s="26">
        <v>4</v>
      </c>
      <c r="K689" s="26">
        <v>6</v>
      </c>
      <c r="L689" s="26">
        <v>8</v>
      </c>
      <c r="N689" s="109">
        <v>45908</v>
      </c>
      <c r="O689" s="16" cm="1">
        <f t="array" ref="O689">_xll.BADDPERIODS(N689, "PER=WD", "NUMBEROFPERIODS=2", "BUSDAYADJ=-2", "CDR=GQ", "CDR=P9")</f>
        <v>45910</v>
      </c>
      <c r="P689" s="15" cm="1">
        <f t="array" ref="P689">_xll.BDH("XAG Curncy","PX_LAST",N689,N689)</f>
        <v>41.353999999999999</v>
      </c>
      <c r="Q689" s="15" t="str" cm="1">
        <f t="array" ref="Q689">_xll.BDP("SIz5 Comdty",$M$32)</f>
        <v>01/12/2025</v>
      </c>
      <c r="R689" s="15">
        <f t="shared" si="448"/>
        <v>82</v>
      </c>
      <c r="S689" s="23">
        <v>0</v>
      </c>
      <c r="T689" s="21">
        <f t="shared" si="440"/>
        <v>0</v>
      </c>
      <c r="U689" s="12">
        <v>0.65</v>
      </c>
      <c r="V689" s="118">
        <f t="shared" si="441"/>
        <v>65</v>
      </c>
      <c r="W689" s="15">
        <v>15</v>
      </c>
      <c r="X689" s="15">
        <v>20</v>
      </c>
      <c r="Y689" s="15">
        <v>25</v>
      </c>
    </row>
    <row r="690" spans="1:25" x14ac:dyDescent="0.2">
      <c r="A690" s="109">
        <v>45909</v>
      </c>
      <c r="B690" s="16" cm="1">
        <f t="array" ref="B690">_xll.BADDPERIODS(A690, "PER=WD", "NUMBEROFPERIODS=2", "BUSDAYADJ=-2", "CDR=GQ", "CDR=P9")</f>
        <v>45911</v>
      </c>
      <c r="C690" s="15" cm="1">
        <f t="array" ref="C690">_xll.BDH("XAU Curncy","PX_LAST",A690,A690)</f>
        <v>3626.63</v>
      </c>
      <c r="D690" s="15" t="str" cm="1">
        <f t="array" ref="D690">_xll.BDP("GCZ5 Comdty",$M$32)</f>
        <v>01/12/2025</v>
      </c>
      <c r="E690" s="15">
        <f t="shared" si="449"/>
        <v>81</v>
      </c>
      <c r="F690" s="23">
        <v>4.2500000000000003E-2</v>
      </c>
      <c r="G690" s="28">
        <f t="shared" si="447"/>
        <v>34.679649375000004</v>
      </c>
      <c r="H690" s="22">
        <v>40</v>
      </c>
      <c r="I690" s="117">
        <f t="shared" si="423"/>
        <v>5.3203506249999961</v>
      </c>
      <c r="J690" s="26">
        <v>4</v>
      </c>
      <c r="K690" s="26">
        <v>6</v>
      </c>
      <c r="L690" s="26">
        <v>8</v>
      </c>
      <c r="N690" s="109">
        <v>45909</v>
      </c>
      <c r="O690" s="16" cm="1">
        <f t="array" ref="O690">_xll.BADDPERIODS(N690, "PER=WD", "NUMBEROFPERIODS=2", "BUSDAYADJ=-2", "CDR=GQ", "CDR=P9")</f>
        <v>45911</v>
      </c>
      <c r="P690" s="15" cm="1">
        <f t="array" ref="P690">_xll.BDH("XAG Curncy","PX_LAST",N690,N690)</f>
        <v>40.874000000000002</v>
      </c>
      <c r="Q690" s="15" t="str" cm="1">
        <f t="array" ref="Q690">_xll.BDP("SIz5 Comdty",$M$32)</f>
        <v>01/12/2025</v>
      </c>
      <c r="R690" s="15">
        <f t="shared" si="448"/>
        <v>81</v>
      </c>
      <c r="S690" s="23">
        <v>0</v>
      </c>
      <c r="T690" s="21">
        <f t="shared" si="440"/>
        <v>0</v>
      </c>
      <c r="U690" s="12">
        <v>0.64</v>
      </c>
      <c r="V690" s="118">
        <f t="shared" si="441"/>
        <v>64</v>
      </c>
      <c r="W690" s="15">
        <v>15</v>
      </c>
      <c r="X690" s="15">
        <v>20</v>
      </c>
      <c r="Y690" s="15">
        <v>25</v>
      </c>
    </row>
    <row r="691" spans="1:25" x14ac:dyDescent="0.2">
      <c r="A691" s="109">
        <v>45910</v>
      </c>
      <c r="B691" s="16" cm="1">
        <f t="array" ref="B691">_xll.BADDPERIODS(A691, "PER=WD", "NUMBEROFPERIODS=2", "BUSDAYADJ=-2", "CDR=GQ", "CDR=P9")</f>
        <v>45912</v>
      </c>
      <c r="C691" s="15" cm="1">
        <f t="array" ref="C691">_xll.BDH("XAU Curncy","PX_LAST",A691,A691)</f>
        <v>3640.75</v>
      </c>
      <c r="D691" s="15" t="str" cm="1">
        <f t="array" ref="D691">_xll.BDP("GCZ5 Comdty",$M$32)</f>
        <v>01/12/2025</v>
      </c>
      <c r="E691" s="15">
        <f t="shared" si="449"/>
        <v>80</v>
      </c>
      <c r="F691" s="23">
        <v>4.2700000000000002E-2</v>
      </c>
      <c r="G691" s="28">
        <f t="shared" si="447"/>
        <v>34.54667222222222</v>
      </c>
      <c r="H691" s="22">
        <v>39</v>
      </c>
      <c r="I691" s="117">
        <f t="shared" si="423"/>
        <v>4.4533277777777798</v>
      </c>
      <c r="J691" s="26">
        <v>4</v>
      </c>
      <c r="K691" s="26">
        <v>6</v>
      </c>
      <c r="L691" s="26">
        <v>8</v>
      </c>
      <c r="N691" s="109">
        <v>45910</v>
      </c>
      <c r="O691" s="16" cm="1">
        <f t="array" ref="O691">_xll.BADDPERIODS(N691, "PER=WD", "NUMBEROFPERIODS=2", "BUSDAYADJ=-2", "CDR=GQ", "CDR=P9")</f>
        <v>45912</v>
      </c>
      <c r="P691" s="15" cm="1">
        <f t="array" ref="P691">_xll.BDH("XAG Curncy","PX_LAST",N691,N691)</f>
        <v>41.171999999999997</v>
      </c>
      <c r="Q691" s="15" t="str" cm="1">
        <f t="array" ref="Q691">_xll.BDP("SIz5 Comdty",$M$32)</f>
        <v>01/12/2025</v>
      </c>
      <c r="R691" s="15">
        <f t="shared" si="448"/>
        <v>80</v>
      </c>
      <c r="S691" s="23">
        <v>1.4999999999999999E-2</v>
      </c>
      <c r="T691" s="21">
        <f t="shared" si="440"/>
        <v>0.13724</v>
      </c>
      <c r="U691" s="12">
        <v>0.46</v>
      </c>
      <c r="V691" s="118">
        <f t="shared" si="441"/>
        <v>32.276000000000003</v>
      </c>
      <c r="W691" s="15">
        <v>15</v>
      </c>
      <c r="X691" s="15">
        <v>20</v>
      </c>
      <c r="Y691" s="15">
        <v>25</v>
      </c>
    </row>
    <row r="692" spans="1:25" x14ac:dyDescent="0.2">
      <c r="A692" s="109">
        <v>45911</v>
      </c>
      <c r="B692" s="16" cm="1">
        <f t="array" ref="B692">_xll.BADDPERIODS(A692, "PER=WD", "NUMBEROFPERIODS=2", "BUSDAYADJ=-2", "CDR=GQ", "CDR=P9")</f>
        <v>45915</v>
      </c>
      <c r="C692" s="15" cm="1">
        <f t="array" ref="C692">_xll.BDH("XAU Curncy","PX_LAST",A692,A692)</f>
        <v>3634.07</v>
      </c>
      <c r="D692" s="15" t="str" cm="1">
        <f t="array" ref="D692">_xll.BDP("GCZ5 Comdty",$M$32)</f>
        <v>01/12/2025</v>
      </c>
      <c r="E692" s="15">
        <f t="shared" si="449"/>
        <v>77</v>
      </c>
      <c r="F692" s="23">
        <v>4.24E-2</v>
      </c>
      <c r="G692" s="28">
        <f t="shared" si="447"/>
        <v>32.956977044444443</v>
      </c>
      <c r="H692" s="22">
        <v>38</v>
      </c>
      <c r="I692" s="117">
        <f t="shared" si="423"/>
        <v>5.043022955555557</v>
      </c>
      <c r="J692" s="26">
        <v>4</v>
      </c>
      <c r="K692" s="26">
        <v>6</v>
      </c>
      <c r="L692" s="26">
        <v>8</v>
      </c>
      <c r="N692" s="109">
        <v>45911</v>
      </c>
      <c r="O692" s="16" cm="1">
        <f t="array" ref="O692">_xll.BADDPERIODS(N692, "PER=WD", "NUMBEROFPERIODS=2", "BUSDAYADJ=-2", "CDR=GQ", "CDR=P9")</f>
        <v>45915</v>
      </c>
      <c r="P692" s="15" cm="1">
        <f t="array" ref="P692">_xll.BDH("XAG Curncy","PX_LAST",N692,N692)</f>
        <v>41.5578</v>
      </c>
      <c r="Q692" s="15" t="str" cm="1">
        <f t="array" ref="Q692">_xll.BDP("SIz5 Comdty",$M$32)</f>
        <v>01/12/2025</v>
      </c>
      <c r="R692" s="15">
        <f t="shared" si="448"/>
        <v>77</v>
      </c>
      <c r="S692" s="23">
        <v>1.4999999999999999E-2</v>
      </c>
      <c r="T692" s="21">
        <f t="shared" si="440"/>
        <v>0.13333127499999997</v>
      </c>
      <c r="U692" s="12">
        <v>0.5</v>
      </c>
      <c r="V692" s="118">
        <f t="shared" si="441"/>
        <v>36.666872500000004</v>
      </c>
      <c r="W692" s="15">
        <v>15</v>
      </c>
      <c r="X692" s="15">
        <v>20</v>
      </c>
      <c r="Y692" s="15">
        <v>25</v>
      </c>
    </row>
    <row r="693" spans="1:25" x14ac:dyDescent="0.2">
      <c r="A693" s="109">
        <v>45912</v>
      </c>
      <c r="B693" s="16" cm="1">
        <f t="array" ref="B693">_xll.BADDPERIODS(A693, "PER=WD", "NUMBEROFPERIODS=2", "BUSDAYADJ=-2", "CDR=GQ", "CDR=P9")</f>
        <v>45916</v>
      </c>
      <c r="C693" s="15" cm="1">
        <f t="array" ref="C693">_xll.BDH("XAU Curncy","PX_LAST",A693,A693)</f>
        <v>3643.14</v>
      </c>
      <c r="D693" s="15" t="str" cm="1">
        <f t="array" ref="D693">_xll.BDP("GCZ5 Comdty",$M$32)</f>
        <v>01/12/2025</v>
      </c>
      <c r="E693" s="15">
        <f t="shared" si="449"/>
        <v>76</v>
      </c>
      <c r="F693" s="23">
        <v>4.2299999999999997E-2</v>
      </c>
      <c r="G693" s="28">
        <f t="shared" si="447"/>
        <v>32.533240199999995</v>
      </c>
      <c r="H693" s="22">
        <v>38</v>
      </c>
      <c r="I693" s="117">
        <f t="shared" si="423"/>
        <v>5.4667598000000055</v>
      </c>
      <c r="J693" s="26">
        <v>4</v>
      </c>
      <c r="K693" s="26">
        <v>6</v>
      </c>
      <c r="L693" s="26">
        <v>8</v>
      </c>
      <c r="N693" s="109">
        <v>45912</v>
      </c>
      <c r="O693" s="16" cm="1">
        <f t="array" ref="O693">_xll.BADDPERIODS(N693, "PER=WD", "NUMBEROFPERIODS=2", "BUSDAYADJ=-2", "CDR=GQ", "CDR=P9")</f>
        <v>45916</v>
      </c>
      <c r="P693" s="15" cm="1">
        <f t="array" ref="P693">_xll.BDH("XAG Curncy","PX_LAST",N693,N693)</f>
        <v>42.186599999999999</v>
      </c>
      <c r="Q693" s="15" t="str" cm="1">
        <f t="array" ref="Q693">_xll.BDP("SIz5 Comdty",$M$32)</f>
        <v>01/12/2025</v>
      </c>
      <c r="R693" s="15">
        <f t="shared" si="448"/>
        <v>76</v>
      </c>
      <c r="S693" s="23">
        <v>1.4999999999999999E-2</v>
      </c>
      <c r="T693" s="21">
        <f t="shared" si="440"/>
        <v>0.13359089999999998</v>
      </c>
      <c r="U693" s="12">
        <v>0.52</v>
      </c>
      <c r="V693" s="118">
        <f t="shared" si="441"/>
        <v>38.640910000000005</v>
      </c>
      <c r="W693" s="15">
        <v>15</v>
      </c>
      <c r="X693" s="15">
        <v>20</v>
      </c>
      <c r="Y693" s="15">
        <v>25</v>
      </c>
    </row>
    <row r="694" spans="1:25" x14ac:dyDescent="0.2">
      <c r="A694" s="109">
        <v>45915</v>
      </c>
      <c r="B694" s="16" cm="1">
        <f t="array" ref="B694">_xll.BADDPERIODS(A694, "PER=WD", "NUMBEROFPERIODS=2", "BUSDAYADJ=-2", "CDR=GQ", "CDR=P9")</f>
        <v>45917</v>
      </c>
      <c r="C694" s="15" cm="1">
        <f t="array" ref="C694">_xll.BDH("XAU Curncy","PX_LAST",A694,A694)</f>
        <v>3678.99</v>
      </c>
      <c r="D694" s="15" t="str" cm="1">
        <f t="array" ref="D694">_xll.BDP("GCZ5 Comdty",$M$32)</f>
        <v>01/12/2025</v>
      </c>
      <c r="E694" s="15">
        <f t="shared" si="449"/>
        <v>75</v>
      </c>
      <c r="F694" s="23">
        <v>4.2200000000000001E-2</v>
      </c>
      <c r="G694" s="28">
        <f t="shared" si="447"/>
        <v>32.34445375</v>
      </c>
      <c r="H694" s="22">
        <v>38</v>
      </c>
      <c r="I694" s="117">
        <f t="shared" si="423"/>
        <v>5.6555462500000004</v>
      </c>
      <c r="J694" s="26">
        <v>4</v>
      </c>
      <c r="K694" s="26">
        <v>6</v>
      </c>
      <c r="L694" s="26">
        <v>8</v>
      </c>
      <c r="N694" s="109">
        <v>45915</v>
      </c>
      <c r="O694" s="16" cm="1">
        <f t="array" ref="O694">_xll.BADDPERIODS(N694, "PER=WD", "NUMBEROFPERIODS=2", "BUSDAYADJ=-2", "CDR=GQ", "CDR=P9")</f>
        <v>45917</v>
      </c>
      <c r="P694" s="15" cm="1">
        <f t="array" ref="P694">_xll.BDH("XAG Curncy","PX_LAST",N694,N694)</f>
        <v>42.680599999999998</v>
      </c>
      <c r="Q694" s="15" t="str" cm="1">
        <f t="array" ref="Q694">_xll.BDP("SIz5 Comdty",$M$32)</f>
        <v>01/12/2025</v>
      </c>
      <c r="R694" s="15">
        <f t="shared" si="448"/>
        <v>75</v>
      </c>
      <c r="S694" s="23">
        <v>1.2999999999999999E-2</v>
      </c>
      <c r="T694" s="21">
        <f t="shared" si="440"/>
        <v>0.11559329166666665</v>
      </c>
      <c r="U694" s="12">
        <v>0.48</v>
      </c>
      <c r="V694" s="118">
        <f t="shared" si="441"/>
        <v>36.440670833333336</v>
      </c>
      <c r="W694" s="15">
        <v>15</v>
      </c>
      <c r="X694" s="15">
        <v>20</v>
      </c>
      <c r="Y694" s="15">
        <v>25</v>
      </c>
    </row>
    <row r="695" spans="1:25" x14ac:dyDescent="0.2">
      <c r="A695" s="109">
        <v>45916</v>
      </c>
      <c r="B695" s="16" cm="1">
        <f t="array" ref="B695">_xll.BADDPERIODS(A695, "PER=WD", "NUMBEROFPERIODS=2", "BUSDAYADJ=-2", "CDR=GQ", "CDR=P9")</f>
        <v>45918</v>
      </c>
      <c r="C695" s="15" cm="1">
        <f t="array" ref="C695">_xll.BDH("XAU Curncy","PX_LAST",A695,A695)</f>
        <v>3689.98</v>
      </c>
      <c r="D695" s="15" t="str" cm="1">
        <f t="array" ref="D695">_xll.BDP("GCZ5 Comdty",$M$32)</f>
        <v>01/12/2025</v>
      </c>
      <c r="E695" s="15">
        <f t="shared" si="449"/>
        <v>74</v>
      </c>
      <c r="F695" s="23">
        <v>4.2099999999999999E-2</v>
      </c>
      <c r="G695" s="28">
        <f t="shared" si="447"/>
        <v>31.932676922222221</v>
      </c>
      <c r="H695" s="22">
        <v>36</v>
      </c>
      <c r="I695" s="117">
        <f t="shared" si="423"/>
        <v>4.0673230777777789</v>
      </c>
      <c r="J695" s="26">
        <v>4</v>
      </c>
      <c r="K695" s="26">
        <v>6</v>
      </c>
      <c r="L695" s="26">
        <v>8</v>
      </c>
      <c r="N695" s="109">
        <v>45916</v>
      </c>
      <c r="O695" s="16" cm="1">
        <f t="array" ref="O695">_xll.BADDPERIODS(N695, "PER=WD", "NUMBEROFPERIODS=2", "BUSDAYADJ=-2", "CDR=GQ", "CDR=P9")</f>
        <v>45918</v>
      </c>
      <c r="P695" s="15" cm="1">
        <f t="array" ref="P695">_xll.BDH("XAG Curncy","PX_LAST",N695,N695)</f>
        <v>42.563899999999997</v>
      </c>
      <c r="Q695" s="15" t="str" cm="1">
        <f t="array" ref="Q695">_xll.BDP("SIz5 Comdty",$M$32)</f>
        <v>01/12/2025</v>
      </c>
      <c r="R695" s="15">
        <f t="shared" si="448"/>
        <v>74</v>
      </c>
      <c r="S695" s="23">
        <v>1.15E-2</v>
      </c>
      <c r="T695" s="21">
        <f t="shared" si="440"/>
        <v>0.10061633027777778</v>
      </c>
      <c r="U695" s="12">
        <v>0.33</v>
      </c>
      <c r="V695" s="118">
        <f t="shared" si="441"/>
        <v>22.938366972222223</v>
      </c>
      <c r="W695" s="15">
        <v>15</v>
      </c>
      <c r="X695" s="15">
        <v>20</v>
      </c>
      <c r="Y695" s="15">
        <v>25</v>
      </c>
    </row>
    <row r="696" spans="1:25" x14ac:dyDescent="0.2">
      <c r="A696" s="109">
        <v>45917</v>
      </c>
      <c r="B696" s="16" cm="1">
        <f t="array" ref="B696">_xll.BADDPERIODS(A696, "PER=WD", "NUMBEROFPERIODS=2", "BUSDAYADJ=-2", "CDR=GQ", "CDR=P9")</f>
        <v>45919</v>
      </c>
      <c r="C696" s="15" cm="1">
        <f t="array" ref="C696">_xll.BDH("XAU Curncy","PX_LAST",A696,A696)</f>
        <v>3659.9</v>
      </c>
      <c r="D696" s="15" t="str" cm="1">
        <f t="array" ref="D696">_xll.BDP("GCZ5 Comdty",$M$32)</f>
        <v>01/12/2025</v>
      </c>
      <c r="E696" s="15">
        <f t="shared" si="449"/>
        <v>73</v>
      </c>
      <c r="F696" s="23">
        <v>4.2500000000000003E-2</v>
      </c>
      <c r="G696" s="28">
        <f t="shared" si="447"/>
        <v>31.541221527777783</v>
      </c>
      <c r="H696" s="22">
        <v>35</v>
      </c>
      <c r="I696" s="117">
        <f t="shared" si="423"/>
        <v>3.4587784722222175</v>
      </c>
      <c r="J696" s="26">
        <v>4</v>
      </c>
      <c r="K696" s="26">
        <v>6</v>
      </c>
      <c r="L696" s="26">
        <v>8</v>
      </c>
      <c r="N696" s="109">
        <v>45917</v>
      </c>
      <c r="O696" s="16" cm="1">
        <f t="array" ref="O696">_xll.BADDPERIODS(N696, "PER=WD", "NUMBEROFPERIODS=2", "BUSDAYADJ=-2", "CDR=GQ", "CDR=P9")</f>
        <v>45919</v>
      </c>
      <c r="P696" s="15" cm="1">
        <f t="array" ref="P696">_xll.BDH("XAG Curncy","PX_LAST",N696,N696)</f>
        <v>41.674900000000001</v>
      </c>
      <c r="Q696" s="15" t="str" cm="1">
        <f t="array" ref="Q696">_xll.BDP("SIz5 Comdty",$M$32)</f>
        <v>01/12/2025</v>
      </c>
      <c r="R696" s="15">
        <f t="shared" si="448"/>
        <v>73</v>
      </c>
      <c r="S696" s="23">
        <v>0.01</v>
      </c>
      <c r="T696" s="21">
        <f t="shared" si="440"/>
        <v>8.4507436111111112E-2</v>
      </c>
      <c r="U696" s="12">
        <v>0.3</v>
      </c>
      <c r="V696" s="118">
        <f t="shared" si="441"/>
        <v>21.549256388888889</v>
      </c>
      <c r="W696" s="15">
        <v>15</v>
      </c>
      <c r="X696" s="15">
        <v>20</v>
      </c>
      <c r="Y696" s="15">
        <v>25</v>
      </c>
    </row>
    <row r="697" spans="1:25" x14ac:dyDescent="0.2">
      <c r="A697" s="109">
        <v>45918</v>
      </c>
      <c r="B697" s="16" cm="1">
        <f t="array" ref="B697">_xll.BADDPERIODS(A697, "PER=WD", "NUMBEROFPERIODS=2", "BUSDAYADJ=-2", "CDR=GQ", "CDR=P9")</f>
        <v>45922</v>
      </c>
      <c r="C697" s="15" cm="1">
        <f t="array" ref="C697">_xll.BDH("XAU Curncy","PX_LAST",A697,A697)</f>
        <v>3646.27</v>
      </c>
      <c r="D697" s="15" t="str" cm="1">
        <f t="array" ref="D697">_xll.BDP("GCZ5 Comdty",$M$32)</f>
        <v>01/12/2025</v>
      </c>
      <c r="E697" s="15">
        <f t="shared" si="449"/>
        <v>70</v>
      </c>
      <c r="F697" s="23">
        <v>4.2099999999999999E-2</v>
      </c>
      <c r="G697" s="28">
        <f t="shared" si="447"/>
        <v>29.848771361111112</v>
      </c>
      <c r="H697" s="22">
        <v>32</v>
      </c>
      <c r="I697" s="117">
        <f t="shared" si="423"/>
        <v>2.1512286388888882</v>
      </c>
      <c r="J697" s="26">
        <v>4</v>
      </c>
      <c r="K697" s="26">
        <v>6</v>
      </c>
      <c r="L697" s="26">
        <v>8</v>
      </c>
      <c r="N697" s="109">
        <v>45918</v>
      </c>
      <c r="O697" s="16" cm="1">
        <f t="array" ref="O697">_xll.BADDPERIODS(N697, "PER=WD", "NUMBEROFPERIODS=2", "BUSDAYADJ=-2", "CDR=GQ", "CDR=P9")</f>
        <v>45922</v>
      </c>
      <c r="P697" s="15" cm="1">
        <f t="array" ref="P697">_xll.BDH("XAG Curncy","PX_LAST",N697,N697)</f>
        <v>41.648800000000001</v>
      </c>
      <c r="Q697" s="15" t="str" cm="1">
        <f t="array" ref="Q697">_xll.BDP("SIz5 Comdty",$M$32)</f>
        <v>01/12/2025</v>
      </c>
      <c r="R697" s="15">
        <f t="shared" si="448"/>
        <v>70</v>
      </c>
      <c r="S697" s="23">
        <v>0.01</v>
      </c>
      <c r="T697" s="21">
        <f t="shared" si="440"/>
        <v>8.098377777777778E-2</v>
      </c>
      <c r="U697" s="12">
        <v>0.25</v>
      </c>
      <c r="V697" s="118">
        <f t="shared" si="441"/>
        <v>16.901622222222223</v>
      </c>
      <c r="W697" s="15">
        <v>15</v>
      </c>
      <c r="X697" s="15">
        <v>20</v>
      </c>
      <c r="Y697" s="15">
        <v>25</v>
      </c>
    </row>
    <row r="698" spans="1:25" x14ac:dyDescent="0.2">
      <c r="A698" s="109"/>
      <c r="J698" s="26">
        <v>4</v>
      </c>
      <c r="K698" s="26">
        <v>6</v>
      </c>
      <c r="L698" s="26">
        <v>8</v>
      </c>
    </row>
    <row r="699" spans="1:25" x14ac:dyDescent="0.2">
      <c r="A699" s="109"/>
    </row>
    <row r="719" spans="41:41" x14ac:dyDescent="0.2">
      <c r="AO719" t="s">
        <v>59</v>
      </c>
    </row>
  </sheetData>
  <conditionalFormatting sqref="I4:I697">
    <cfRule type="cellIs" dxfId="3" priority="2" operator="lessThan">
      <formula>0</formula>
    </cfRule>
    <cfRule type="cellIs" dxfId="2" priority="1" operator="greaterThan">
      <formula>0</formula>
    </cfRule>
  </conditionalFormatting>
  <conditionalFormatting sqref="V24:V697">
    <cfRule type="cellIs" dxfId="1" priority="45" operator="greaterThan">
      <formula>0</formula>
    </cfRule>
    <cfRule type="cellIs" dxfId="0" priority="46" operator="lessThan">
      <formula>0</formula>
    </cfRule>
  </conditionalFormatting>
  <pageMargins left="0.7" right="0.7" top="0.75" bottom="0.75" header="0.3" footer="0.3"/>
  <pageSetup paperSize="9" orientation="portrait" r:id="rId1"/>
  <headerFooter>
    <oddHeader>&amp;L&amp;"Arial"&amp;9&amp;K0078D7INTERNAL&amp;1#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6065-AE7C-431A-87DE-ECB632970A0A}">
  <sheetPr codeName="Sheet2"/>
  <dimension ref="A1:I16"/>
  <sheetViews>
    <sheetView showGridLines="0" workbookViewId="0">
      <selection activeCell="N14" sqref="N14"/>
    </sheetView>
  </sheetViews>
  <sheetFormatPr defaultRowHeight="15" x14ac:dyDescent="0.2"/>
  <cols>
    <col min="1" max="1" width="10.76171875" bestFit="1" customWidth="1"/>
    <col min="2" max="4" width="14.52734375" customWidth="1"/>
    <col min="6" max="6" width="10.76171875" bestFit="1" customWidth="1"/>
    <col min="7" max="9" width="14.796875" customWidth="1"/>
  </cols>
  <sheetData>
    <row r="1" spans="1:9" ht="74.25" x14ac:dyDescent="0.2">
      <c r="A1" s="10" t="s">
        <v>15</v>
      </c>
      <c r="B1" s="9" t="str">
        <f>Info!G1</f>
        <v>Swap Implied EFP</v>
      </c>
      <c r="C1" s="9" t="str">
        <f>Info!H1</f>
        <v>Traded EFP</v>
      </c>
      <c r="D1" s="9" t="str">
        <f>Info!I1</f>
        <v>Nearby Contract Discount/Premium EFP over Swaps</v>
      </c>
      <c r="F1" s="10" t="s">
        <v>16</v>
      </c>
      <c r="G1" s="9" t="str">
        <f>Info!T1</f>
        <v>Swap Implied EFP</v>
      </c>
      <c r="H1" s="9" t="str">
        <f>Info!U1</f>
        <v>Traded EFP</v>
      </c>
      <c r="I1" s="9" t="str">
        <f>Info!V1</f>
        <v>Nearby Contract/Premium EFP over Swaps</v>
      </c>
    </row>
    <row r="2" spans="1:9" x14ac:dyDescent="0.2">
      <c r="A2" s="8">
        <f>Info!A24</f>
        <v>44929</v>
      </c>
      <c r="B2" s="7">
        <f>Info!G24</f>
        <v>6.0702839999999991</v>
      </c>
      <c r="C2" s="7">
        <f>Info!H24</f>
        <v>6.1</v>
      </c>
      <c r="D2" s="7">
        <f>Info!I24</f>
        <v>2.971600000000052E-2</v>
      </c>
      <c r="F2" s="8">
        <f>Info!N24</f>
        <v>44929</v>
      </c>
      <c r="G2" s="7">
        <f>100*Info!T24</f>
        <v>15.588008333333336</v>
      </c>
      <c r="H2" s="7">
        <f>100*Info!U24</f>
        <v>19.5</v>
      </c>
      <c r="I2" s="7">
        <f>100*Info!V24</f>
        <v>391.19916666666643</v>
      </c>
    </row>
    <row r="3" spans="1:9" x14ac:dyDescent="0.2">
      <c r="A3" s="8">
        <f>Info!A25</f>
        <v>44930</v>
      </c>
      <c r="B3" s="7">
        <f>Info!G25</f>
        <v>5.9603497777777772</v>
      </c>
      <c r="C3" s="7">
        <f>Info!H25</f>
        <v>5.9</v>
      </c>
      <c r="D3" s="7">
        <f>Info!I25</f>
        <v>-6.0349777777776836E-2</v>
      </c>
      <c r="F3" s="8">
        <f>Info!N25</f>
        <v>44930</v>
      </c>
      <c r="G3" s="7">
        <f>100*Info!T25</f>
        <v>15.146808749999998</v>
      </c>
      <c r="H3" s="7">
        <f>100*Info!U25</f>
        <v>16.25</v>
      </c>
      <c r="I3" s="7">
        <f>100*Info!V25</f>
        <v>110.31912500000018</v>
      </c>
    </row>
    <row r="4" spans="1:9" x14ac:dyDescent="0.2">
      <c r="A4" s="8">
        <f>Info!A26</f>
        <v>44931</v>
      </c>
      <c r="B4" s="7">
        <f>Info!G26</f>
        <v>5.2110080972222219</v>
      </c>
      <c r="C4" s="7">
        <f>Info!H26</f>
        <v>4.9000000000000004</v>
      </c>
      <c r="D4" s="7">
        <f>Info!I26</f>
        <v>-0.31100809722222156</v>
      </c>
      <c r="F4" s="8">
        <f>Info!N26</f>
        <v>44931</v>
      </c>
      <c r="G4" s="7">
        <f>100*Info!T26</f>
        <v>13.994704583333334</v>
      </c>
      <c r="H4" s="7">
        <f>100*Info!U26</f>
        <v>14.625</v>
      </c>
      <c r="I4" s="7">
        <f>100*Info!V26</f>
        <v>63.029541666666525</v>
      </c>
    </row>
    <row r="5" spans="1:9" x14ac:dyDescent="0.2">
      <c r="A5" s="8">
        <f>Info!A27</f>
        <v>44932</v>
      </c>
      <c r="B5" s="7">
        <f>Info!G27</f>
        <v>4.9596259166666661</v>
      </c>
      <c r="C5" s="7">
        <f>Info!H27</f>
        <v>5</v>
      </c>
      <c r="D5" s="7">
        <f>Info!I27</f>
        <v>4.0374083333333921E-2</v>
      </c>
      <c r="F5" s="8">
        <f>Info!N27</f>
        <v>44932</v>
      </c>
      <c r="G5" s="7">
        <f>100*Info!T27</f>
        <v>14.066614583333337</v>
      </c>
      <c r="H5" s="7">
        <f>100*Info!U27</f>
        <v>16.25</v>
      </c>
      <c r="I5" s="7">
        <f>100*Info!V27</f>
        <v>218.33854166666637</v>
      </c>
    </row>
    <row r="6" spans="1:9" x14ac:dyDescent="0.2">
      <c r="A6" s="8">
        <f>Info!A28</f>
        <v>44935</v>
      </c>
      <c r="B6" s="7">
        <f>Info!G28</f>
        <v>4.8043123333333329</v>
      </c>
      <c r="C6" s="7">
        <f>Info!H28</f>
        <v>4.75</v>
      </c>
      <c r="D6" s="7">
        <f>Info!I28</f>
        <v>-5.4312333333332852E-2</v>
      </c>
      <c r="F6" s="8">
        <f>Info!N28</f>
        <v>44935</v>
      </c>
      <c r="G6" s="7">
        <f>100*Info!T28</f>
        <v>13.681215138888888</v>
      </c>
      <c r="H6" s="7">
        <f>100*Info!U28</f>
        <v>15</v>
      </c>
      <c r="I6" s="7">
        <f>100*Info!V28</f>
        <v>131.87848611111107</v>
      </c>
    </row>
    <row r="7" spans="1:9" x14ac:dyDescent="0.2">
      <c r="A7" s="8">
        <f>Info!A29</f>
        <v>44936</v>
      </c>
      <c r="B7" s="7">
        <f>Info!G29</f>
        <v>4.5882955555555549</v>
      </c>
      <c r="C7" s="7">
        <f>Info!H29</f>
        <v>4.3</v>
      </c>
      <c r="D7" s="7">
        <f>Info!I29</f>
        <v>-0.28829555555555508</v>
      </c>
      <c r="F7" s="8">
        <f>Info!N29</f>
        <v>44936</v>
      </c>
      <c r="G7" s="7">
        <f>100*Info!T29</f>
        <v>13.375146666666668</v>
      </c>
      <c r="H7" s="7">
        <f>100*Info!U29</f>
        <v>13.5</v>
      </c>
      <c r="I7" s="7">
        <f>100*Info!V29</f>
        <v>12.485333333333292</v>
      </c>
    </row>
    <row r="8" spans="1:9" x14ac:dyDescent="0.2">
      <c r="A8" s="8">
        <f>Info!A30</f>
        <v>44937</v>
      </c>
      <c r="B8" s="7">
        <f>Info!G30</f>
        <v>4.3557689999999996</v>
      </c>
      <c r="C8" s="7">
        <f>Info!H30</f>
        <v>3.9</v>
      </c>
      <c r="D8" s="7">
        <f>Info!I30</f>
        <v>-0.45576899999999965</v>
      </c>
      <c r="F8" s="8">
        <f>Info!N30</f>
        <v>44937</v>
      </c>
      <c r="G8" s="7">
        <f>100*Info!T30</f>
        <v>12.992461319444448</v>
      </c>
      <c r="H8" s="7">
        <f>100*Info!U30</f>
        <v>12.5</v>
      </c>
      <c r="I8" s="7">
        <f>100*Info!V30</f>
        <v>-49.246131944444826</v>
      </c>
    </row>
    <row r="9" spans="1:9" x14ac:dyDescent="0.2">
      <c r="A9" s="8">
        <f>Info!A31</f>
        <v>44938</v>
      </c>
      <c r="B9" s="7">
        <f>Info!G31</f>
        <v>3.4779983333333324</v>
      </c>
      <c r="C9" s="7">
        <f>Info!H31</f>
        <v>3.05</v>
      </c>
      <c r="D9" s="7">
        <f>Info!I31</f>
        <v>-0.42799833333333259</v>
      </c>
      <c r="F9" s="8">
        <f>Info!N31</f>
        <v>44938</v>
      </c>
      <c r="G9" s="7">
        <f>100*Info!T31</f>
        <v>12.070485208333336</v>
      </c>
      <c r="H9" s="7">
        <f>100*Info!U31</f>
        <v>12.5</v>
      </c>
      <c r="I9" s="7">
        <f>100*Info!V31</f>
        <v>42.951479166666445</v>
      </c>
    </row>
    <row r="10" spans="1:9" x14ac:dyDescent="0.2">
      <c r="A10" s="8">
        <f>Info!A32</f>
        <v>44939</v>
      </c>
      <c r="B10" s="7">
        <f>Info!G32</f>
        <v>3.2857268888888886</v>
      </c>
      <c r="C10" s="7">
        <f>Info!H32</f>
        <v>3</v>
      </c>
      <c r="D10" s="7">
        <f>Info!I32</f>
        <v>-0.28572688888888864</v>
      </c>
      <c r="F10" s="8">
        <f>Info!N32</f>
        <v>44939</v>
      </c>
      <c r="G10" s="7">
        <f>100*Info!T32</f>
        <v>12.03104875</v>
      </c>
      <c r="H10" s="7">
        <f>100*Info!U32</f>
        <v>14.249999999999998</v>
      </c>
      <c r="I10" s="7">
        <f>100*Info!V32</f>
        <v>221.89512499999981</v>
      </c>
    </row>
    <row r="11" spans="1:9" x14ac:dyDescent="0.2">
      <c r="A11" s="8">
        <f>Info!A33</f>
        <v>44942</v>
      </c>
      <c r="B11" s="7">
        <f>Info!G33</f>
        <v>3.2785231111111108</v>
      </c>
      <c r="C11" s="7">
        <f>Info!H33</f>
        <v>2.9</v>
      </c>
      <c r="D11" s="7">
        <f>Info!I33</f>
        <v>-0.37852311111111092</v>
      </c>
      <c r="F11" s="8">
        <f>Info!N33</f>
        <v>44942</v>
      </c>
      <c r="G11" s="7">
        <f>100*Info!T33</f>
        <v>12.026189583333334</v>
      </c>
      <c r="H11" s="7">
        <f>100*Info!U33</f>
        <v>15.5</v>
      </c>
      <c r="I11" s="7">
        <f>100*Info!V33</f>
        <v>347.38104166666659</v>
      </c>
    </row>
    <row r="12" spans="1:9" x14ac:dyDescent="0.2">
      <c r="A12" s="8">
        <f>Info!A34</f>
        <v>44943</v>
      </c>
      <c r="B12" s="7">
        <f>Info!G34</f>
        <v>3.032696333333333</v>
      </c>
      <c r="C12" s="7">
        <f>Info!H34</f>
        <v>2.6</v>
      </c>
      <c r="D12" s="7">
        <f>Info!I34</f>
        <v>-0.43269633333333291</v>
      </c>
      <c r="F12" s="8">
        <f>Info!N34</f>
        <v>44943</v>
      </c>
      <c r="G12" s="7">
        <f>100*Info!T34</f>
        <v>11.582107083333334</v>
      </c>
      <c r="H12" s="7">
        <f>100*Info!U34</f>
        <v>14.249999999999998</v>
      </c>
      <c r="I12" s="7">
        <f>100*Info!V34</f>
        <v>266.7892916666666</v>
      </c>
    </row>
    <row r="13" spans="1:9" x14ac:dyDescent="0.2">
      <c r="A13" s="8">
        <f>Info!A35</f>
        <v>44944</v>
      </c>
      <c r="B13" s="7">
        <f>Info!G35</f>
        <v>2.7926946666666663</v>
      </c>
      <c r="C13" s="7">
        <f>Info!H35</f>
        <v>2</v>
      </c>
      <c r="D13" s="7">
        <f>Info!I35</f>
        <v>-0.79269466666666633</v>
      </c>
      <c r="F13" s="8">
        <f>Info!N35</f>
        <v>44944</v>
      </c>
      <c r="G13" s="7">
        <f>100*Info!T35</f>
        <v>11.080458333333334</v>
      </c>
      <c r="H13" s="7">
        <f>100*Info!U35</f>
        <v>14.000000000000002</v>
      </c>
      <c r="I13" s="7">
        <f>100*Info!V35</f>
        <v>291.95416666666671</v>
      </c>
    </row>
    <row r="14" spans="1:9" x14ac:dyDescent="0.2">
      <c r="A14" s="8">
        <f>Info!A36</f>
        <v>44945</v>
      </c>
      <c r="B14" s="7">
        <f>Info!G36</f>
        <v>2.125464</v>
      </c>
      <c r="C14" s="7">
        <f>Info!H36</f>
        <v>1.3</v>
      </c>
      <c r="D14" s="7">
        <f>Info!I36</f>
        <v>-0.82546399999999998</v>
      </c>
      <c r="F14" s="8">
        <f>Info!N36</f>
        <v>44945</v>
      </c>
      <c r="G14" s="7">
        <f>100*Info!T36</f>
        <v>10.539446916666666</v>
      </c>
      <c r="H14" s="7">
        <f>100*Info!U36</f>
        <v>12.25</v>
      </c>
      <c r="I14" s="7">
        <f>100*Info!V36</f>
        <v>171.05530833333341</v>
      </c>
    </row>
    <row r="15" spans="1:9" x14ac:dyDescent="0.2">
      <c r="A15" s="8">
        <f>Info!A37</f>
        <v>44946</v>
      </c>
      <c r="B15" s="7">
        <f>Info!G37</f>
        <v>1.8832782222222222</v>
      </c>
      <c r="C15" s="7">
        <f>Info!H37</f>
        <v>1.3</v>
      </c>
      <c r="D15" s="7">
        <f>Info!I37</f>
        <v>-0.58327822222222214</v>
      </c>
      <c r="F15" s="8">
        <f>Info!N37</f>
        <v>44946</v>
      </c>
      <c r="G15" s="7">
        <f>100*Info!T37</f>
        <v>10.291189999999999</v>
      </c>
      <c r="H15" s="7">
        <f>100*Info!U37</f>
        <v>12</v>
      </c>
      <c r="I15" s="7">
        <f>100*Info!V37</f>
        <v>170.88100000000009</v>
      </c>
    </row>
    <row r="16" spans="1:9" x14ac:dyDescent="0.2">
      <c r="A16" s="8">
        <f>Info!A38</f>
        <v>44949</v>
      </c>
      <c r="B16" s="7">
        <f>Info!G38</f>
        <v>1.652112</v>
      </c>
      <c r="C16" s="7">
        <f>Info!H38</f>
        <v>1.3</v>
      </c>
      <c r="D16" s="7">
        <f>Info!I38</f>
        <v>-0.35211199999999998</v>
      </c>
      <c r="F16" s="8">
        <f>Info!N38</f>
        <v>44949</v>
      </c>
      <c r="G16" s="7">
        <f>100*Info!T38</f>
        <v>10.034811111111111</v>
      </c>
      <c r="H16" s="7">
        <f>100*Info!U38</f>
        <v>11.5</v>
      </c>
      <c r="I16" s="7">
        <f>100*Info!V38</f>
        <v>146.51888888888897</v>
      </c>
    </row>
  </sheetData>
  <pageMargins left="0.7" right="0.7" top="0.75" bottom="0.75" header="0.3" footer="0.3"/>
  <pageSetup paperSize="9" orientation="portrait" r:id="rId1"/>
  <headerFooter>
    <oddHeader>&amp;L&amp;"Arial"&amp;9&amp;K0078D7INTERNAL&amp;1#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Gannon, Kevin</dc:creator>
  <cp:lastModifiedBy>Eckersley, Sascha</cp:lastModifiedBy>
  <dcterms:created xsi:type="dcterms:W3CDTF">2023-01-23T09:02:56Z</dcterms:created>
  <dcterms:modified xsi:type="dcterms:W3CDTF">2025-10-01T11:57:14Z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e60c6-cef6-4cc0-a98d-364c7249d74b_Enabled">
    <vt:lpwstr>true</vt:lpwstr>
  </property>
  <property fmtid="{D5CDD505-2E9C-101B-9397-08002B2CF9AE}" pid="3" name="MSIP_Label_840e60c6-cef6-4cc0-a98d-364c7249d74b_SetDate">
    <vt:lpwstr>2024-04-05T16:38:27Z</vt:lpwstr>
  </property>
  <property fmtid="{D5CDD505-2E9C-101B-9397-08002B2CF9AE}" pid="4" name="MSIP_Label_840e60c6-cef6-4cc0-a98d-364c7249d74b_Method">
    <vt:lpwstr>Privileged</vt:lpwstr>
  </property>
  <property fmtid="{D5CDD505-2E9C-101B-9397-08002B2CF9AE}" pid="5" name="MSIP_Label_840e60c6-cef6-4cc0-a98d-364c7249d74b_Name">
    <vt:lpwstr>840e60c6-cef6-4cc0-a98d-364c7249d74b</vt:lpwstr>
  </property>
  <property fmtid="{D5CDD505-2E9C-101B-9397-08002B2CF9AE}" pid="6" name="MSIP_Label_840e60c6-cef6-4cc0-a98d-364c7249d74b_SiteId">
    <vt:lpwstr>b44900f1-2def-4c3b-9ec6-9020d604e19e</vt:lpwstr>
  </property>
  <property fmtid="{D5CDD505-2E9C-101B-9397-08002B2CF9AE}" pid="7" name="MSIP_Label_840e60c6-cef6-4cc0-a98d-364c7249d74b_ActionId">
    <vt:lpwstr>a279727e-9ff0-451c-90cc-059b1d4293a7</vt:lpwstr>
  </property>
  <property fmtid="{D5CDD505-2E9C-101B-9397-08002B2CF9AE}" pid="8" name="MSIP_Label_840e60c6-cef6-4cc0-a98d-364c7249d74b_ContentBits">
    <vt:lpwstr>1</vt:lpwstr>
  </property>
</Properties>
</file>